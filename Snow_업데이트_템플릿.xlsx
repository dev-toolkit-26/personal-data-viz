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70"/>
  </bookViews>
  <sheets>
    <sheet name="Seoul" sheetId="1" r:id="rId1"/>
    <sheet name="Busan" sheetId="4" r:id="rId2"/>
    <sheet name="Daegu" sheetId="6" r:id="rId3"/>
    <sheet name="Jeju" sheetId="7" r:id="rId4"/>
    <sheet name="Daejeon" sheetId="8" r:id="rId5"/>
    <sheet name="Gwangju" sheetId="9" r:id="rId6"/>
    <sheet name="Sheet2" sheetId="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" hidden="1">Busan!$B$2:$V$743</definedName>
    <definedName name="_xlnm._FilterDatabase" localSheetId="2" hidden="1">Daegu!$B$2:$V$743</definedName>
    <definedName name="_xlnm._FilterDatabase" localSheetId="4" hidden="1">Daejeon!$B$2:$V$743</definedName>
    <definedName name="_xlnm._FilterDatabase" localSheetId="5" hidden="1">Gwangju!$B$2:$V$743</definedName>
    <definedName name="_xlnm._FilterDatabase" localSheetId="3" hidden="1">Jeju!$B$2:$V$743</definedName>
    <definedName name="_xlnm._FilterDatabase" localSheetId="0" hidden="1">Seoul!$B$2:$V$529</definedName>
    <definedName name="_xlnm._FilterDatabase" localSheetId="6" hidden="1">Sheet2!$B$2:$G$1223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3" i="9" l="1"/>
  <c r="B742" i="9"/>
  <c r="B741" i="9"/>
  <c r="B740" i="9"/>
  <c r="B739" i="9"/>
  <c r="B738" i="9"/>
  <c r="B737" i="9"/>
  <c r="B736" i="9"/>
  <c r="B735" i="9"/>
  <c r="E734" i="9"/>
  <c r="D734" i="9"/>
  <c r="B734" i="9"/>
  <c r="E733" i="9"/>
  <c r="D733" i="9"/>
  <c r="B733" i="9"/>
  <c r="E732" i="9"/>
  <c r="D732" i="9"/>
  <c r="B732" i="9"/>
  <c r="E731" i="9"/>
  <c r="D731" i="9"/>
  <c r="B731" i="9"/>
  <c r="E730" i="9"/>
  <c r="D730" i="9"/>
  <c r="B730" i="9"/>
  <c r="E729" i="9"/>
  <c r="D729" i="9"/>
  <c r="B729" i="9"/>
  <c r="E728" i="9"/>
  <c r="D728" i="9"/>
  <c r="B728" i="9"/>
  <c r="E727" i="9"/>
  <c r="D727" i="9"/>
  <c r="B727" i="9"/>
  <c r="E726" i="9"/>
  <c r="D726" i="9"/>
  <c r="B726" i="9"/>
  <c r="E725" i="9"/>
  <c r="D725" i="9"/>
  <c r="B725" i="9"/>
  <c r="E724" i="9"/>
  <c r="D724" i="9"/>
  <c r="B724" i="9"/>
  <c r="E723" i="9"/>
  <c r="D723" i="9"/>
  <c r="B723" i="9"/>
  <c r="E722" i="9"/>
  <c r="D722" i="9"/>
  <c r="B722" i="9"/>
  <c r="E721" i="9"/>
  <c r="D721" i="9"/>
  <c r="B721" i="9"/>
  <c r="E720" i="9"/>
  <c r="D720" i="9"/>
  <c r="B720" i="9"/>
  <c r="E719" i="9"/>
  <c r="D719" i="9"/>
  <c r="B719" i="9"/>
  <c r="E718" i="9"/>
  <c r="D718" i="9"/>
  <c r="B718" i="9"/>
  <c r="E717" i="9"/>
  <c r="D717" i="9"/>
  <c r="B717" i="9"/>
  <c r="E716" i="9"/>
  <c r="D716" i="9"/>
  <c r="B716" i="9"/>
  <c r="E715" i="9"/>
  <c r="D715" i="9"/>
  <c r="B715" i="9"/>
  <c r="E714" i="9"/>
  <c r="D714" i="9"/>
  <c r="B714" i="9"/>
  <c r="E713" i="9"/>
  <c r="D713" i="9"/>
  <c r="B713" i="9"/>
  <c r="E712" i="9"/>
  <c r="D712" i="9"/>
  <c r="B712" i="9"/>
  <c r="E711" i="9"/>
  <c r="D711" i="9"/>
  <c r="B711" i="9"/>
  <c r="E710" i="9"/>
  <c r="D710" i="9"/>
  <c r="B710" i="9"/>
  <c r="E709" i="9"/>
  <c r="D709" i="9"/>
  <c r="B709" i="9"/>
  <c r="E708" i="9"/>
  <c r="D708" i="9"/>
  <c r="B708" i="9"/>
  <c r="E707" i="9"/>
  <c r="D707" i="9"/>
  <c r="B707" i="9"/>
  <c r="E706" i="9"/>
  <c r="D706" i="9"/>
  <c r="B706" i="9"/>
  <c r="E705" i="9"/>
  <c r="D705" i="9"/>
  <c r="B705" i="9"/>
  <c r="E704" i="9"/>
  <c r="D704" i="9"/>
  <c r="B704" i="9"/>
  <c r="E703" i="9"/>
  <c r="D703" i="9"/>
  <c r="B703" i="9"/>
  <c r="E702" i="9"/>
  <c r="D702" i="9"/>
  <c r="B702" i="9"/>
  <c r="E701" i="9"/>
  <c r="D701" i="9"/>
  <c r="B701" i="9"/>
  <c r="E700" i="9"/>
  <c r="D700" i="9"/>
  <c r="B700" i="9"/>
  <c r="E699" i="9"/>
  <c r="D699" i="9"/>
  <c r="B699" i="9"/>
  <c r="E698" i="9"/>
  <c r="D698" i="9"/>
  <c r="B698" i="9"/>
  <c r="E697" i="9"/>
  <c r="D697" i="9"/>
  <c r="B697" i="9"/>
  <c r="E696" i="9"/>
  <c r="D696" i="9"/>
  <c r="B696" i="9"/>
  <c r="E695" i="9"/>
  <c r="D695" i="9"/>
  <c r="B695" i="9"/>
  <c r="E694" i="9"/>
  <c r="D694" i="9"/>
  <c r="B694" i="9"/>
  <c r="E693" i="9"/>
  <c r="D693" i="9"/>
  <c r="B693" i="9"/>
  <c r="E692" i="9"/>
  <c r="D692" i="9"/>
  <c r="B692" i="9"/>
  <c r="E691" i="9"/>
  <c r="D691" i="9"/>
  <c r="B691" i="9"/>
  <c r="E690" i="9"/>
  <c r="D690" i="9"/>
  <c r="B690" i="9"/>
  <c r="E689" i="9"/>
  <c r="D689" i="9"/>
  <c r="B689" i="9"/>
  <c r="E688" i="9"/>
  <c r="D688" i="9"/>
  <c r="B688" i="9"/>
  <c r="E687" i="9"/>
  <c r="D687" i="9"/>
  <c r="B687" i="9"/>
  <c r="E686" i="9"/>
  <c r="D686" i="9"/>
  <c r="B686" i="9"/>
  <c r="E685" i="9"/>
  <c r="D685" i="9"/>
  <c r="B685" i="9"/>
  <c r="E684" i="9"/>
  <c r="D684" i="9"/>
  <c r="B684" i="9"/>
  <c r="E683" i="9"/>
  <c r="D683" i="9"/>
  <c r="B683" i="9"/>
  <c r="E682" i="9"/>
  <c r="D682" i="9"/>
  <c r="B682" i="9"/>
  <c r="E681" i="9"/>
  <c r="D681" i="9"/>
  <c r="B681" i="9"/>
  <c r="E680" i="9"/>
  <c r="D680" i="9"/>
  <c r="B680" i="9"/>
  <c r="E679" i="9"/>
  <c r="D679" i="9"/>
  <c r="B679" i="9"/>
  <c r="E678" i="9"/>
  <c r="D678" i="9"/>
  <c r="B678" i="9"/>
  <c r="E677" i="9"/>
  <c r="D677" i="9"/>
  <c r="B677" i="9"/>
  <c r="E676" i="9"/>
  <c r="D676" i="9"/>
  <c r="B676" i="9"/>
  <c r="E675" i="9"/>
  <c r="D675" i="9"/>
  <c r="B675" i="9"/>
  <c r="E674" i="9"/>
  <c r="D674" i="9"/>
  <c r="B674" i="9"/>
  <c r="E673" i="9"/>
  <c r="D673" i="9"/>
  <c r="B673" i="9"/>
  <c r="E672" i="9"/>
  <c r="D672" i="9"/>
  <c r="B672" i="9"/>
  <c r="E671" i="9"/>
  <c r="D671" i="9"/>
  <c r="B671" i="9"/>
  <c r="E670" i="9"/>
  <c r="D670" i="9"/>
  <c r="B670" i="9"/>
  <c r="E669" i="9"/>
  <c r="D669" i="9"/>
  <c r="B669" i="9"/>
  <c r="E668" i="9"/>
  <c r="D668" i="9"/>
  <c r="B668" i="9"/>
  <c r="E667" i="9"/>
  <c r="D667" i="9"/>
  <c r="B667" i="9"/>
  <c r="E666" i="9"/>
  <c r="D666" i="9"/>
  <c r="B666" i="9"/>
  <c r="E665" i="9"/>
  <c r="D665" i="9"/>
  <c r="B665" i="9"/>
  <c r="E664" i="9"/>
  <c r="D664" i="9"/>
  <c r="B664" i="9"/>
  <c r="E663" i="9"/>
  <c r="D663" i="9"/>
  <c r="B663" i="9"/>
  <c r="E662" i="9"/>
  <c r="D662" i="9"/>
  <c r="B662" i="9"/>
  <c r="E661" i="9"/>
  <c r="D661" i="9"/>
  <c r="B661" i="9"/>
  <c r="E660" i="9"/>
  <c r="D660" i="9"/>
  <c r="B660" i="9"/>
  <c r="E659" i="9"/>
  <c r="D659" i="9"/>
  <c r="B659" i="9"/>
  <c r="E658" i="9"/>
  <c r="D658" i="9"/>
  <c r="B658" i="9"/>
  <c r="E657" i="9"/>
  <c r="D657" i="9"/>
  <c r="B657" i="9"/>
  <c r="E656" i="9"/>
  <c r="D656" i="9"/>
  <c r="B656" i="9"/>
  <c r="E655" i="9"/>
  <c r="D655" i="9"/>
  <c r="B655" i="9"/>
  <c r="E654" i="9"/>
  <c r="D654" i="9"/>
  <c r="B654" i="9"/>
  <c r="E653" i="9"/>
  <c r="D653" i="9"/>
  <c r="B653" i="9"/>
  <c r="E652" i="9"/>
  <c r="D652" i="9"/>
  <c r="B652" i="9"/>
  <c r="E651" i="9"/>
  <c r="D651" i="9"/>
  <c r="B651" i="9"/>
  <c r="E650" i="9"/>
  <c r="D650" i="9"/>
  <c r="B650" i="9"/>
  <c r="E649" i="9"/>
  <c r="D649" i="9"/>
  <c r="B649" i="9"/>
  <c r="E648" i="9"/>
  <c r="D648" i="9"/>
  <c r="B648" i="9"/>
  <c r="E647" i="9"/>
  <c r="D647" i="9"/>
  <c r="B647" i="9"/>
  <c r="E646" i="9"/>
  <c r="D646" i="9"/>
  <c r="B646" i="9"/>
  <c r="E645" i="9"/>
  <c r="D645" i="9"/>
  <c r="B645" i="9"/>
  <c r="E644" i="9"/>
  <c r="D644" i="9"/>
  <c r="B644" i="9"/>
  <c r="E643" i="9"/>
  <c r="D643" i="9"/>
  <c r="B643" i="9"/>
  <c r="E642" i="9"/>
  <c r="D642" i="9"/>
  <c r="B642" i="9"/>
  <c r="E641" i="9"/>
  <c r="D641" i="9"/>
  <c r="B641" i="9"/>
  <c r="E640" i="9"/>
  <c r="D640" i="9"/>
  <c r="B640" i="9"/>
  <c r="E639" i="9"/>
  <c r="D639" i="9"/>
  <c r="B639" i="9"/>
  <c r="E638" i="9"/>
  <c r="D638" i="9"/>
  <c r="B638" i="9"/>
  <c r="E637" i="9"/>
  <c r="D637" i="9"/>
  <c r="B637" i="9"/>
  <c r="E636" i="9"/>
  <c r="D636" i="9"/>
  <c r="B636" i="9"/>
  <c r="E635" i="9"/>
  <c r="D635" i="9"/>
  <c r="B635" i="9"/>
  <c r="E634" i="9"/>
  <c r="D634" i="9"/>
  <c r="B634" i="9"/>
  <c r="E633" i="9"/>
  <c r="D633" i="9"/>
  <c r="B633" i="9"/>
  <c r="E632" i="9"/>
  <c r="D632" i="9"/>
  <c r="B632" i="9"/>
  <c r="E631" i="9"/>
  <c r="D631" i="9"/>
  <c r="B631" i="9"/>
  <c r="E630" i="9"/>
  <c r="D630" i="9"/>
  <c r="B630" i="9"/>
  <c r="E629" i="9"/>
  <c r="D629" i="9"/>
  <c r="B629" i="9"/>
  <c r="E628" i="9"/>
  <c r="D628" i="9"/>
  <c r="B628" i="9"/>
  <c r="E627" i="9"/>
  <c r="D627" i="9"/>
  <c r="B627" i="9"/>
  <c r="E626" i="9"/>
  <c r="D626" i="9"/>
  <c r="B626" i="9"/>
  <c r="E625" i="9"/>
  <c r="D625" i="9"/>
  <c r="B625" i="9"/>
  <c r="E624" i="9"/>
  <c r="D624" i="9"/>
  <c r="B624" i="9"/>
  <c r="E623" i="9"/>
  <c r="D623" i="9"/>
  <c r="B623" i="9"/>
  <c r="E622" i="9"/>
  <c r="D622" i="9"/>
  <c r="B622" i="9"/>
  <c r="E621" i="9"/>
  <c r="D621" i="9"/>
  <c r="B621" i="9"/>
  <c r="E620" i="9"/>
  <c r="D620" i="9"/>
  <c r="B620" i="9"/>
  <c r="E619" i="9"/>
  <c r="D619" i="9"/>
  <c r="B619" i="9"/>
  <c r="E618" i="9"/>
  <c r="D618" i="9"/>
  <c r="B618" i="9"/>
  <c r="E617" i="9"/>
  <c r="D617" i="9"/>
  <c r="B617" i="9"/>
  <c r="E616" i="9"/>
  <c r="D616" i="9"/>
  <c r="B616" i="9"/>
  <c r="E615" i="9"/>
  <c r="D615" i="9"/>
  <c r="B615" i="9"/>
  <c r="E614" i="9"/>
  <c r="D614" i="9"/>
  <c r="B614" i="9"/>
  <c r="E613" i="9"/>
  <c r="D613" i="9"/>
  <c r="B613" i="9"/>
  <c r="E612" i="9"/>
  <c r="D612" i="9"/>
  <c r="B612" i="9"/>
  <c r="E611" i="9"/>
  <c r="D611" i="9"/>
  <c r="B611" i="9"/>
  <c r="E610" i="9"/>
  <c r="D610" i="9"/>
  <c r="B610" i="9"/>
  <c r="E609" i="9"/>
  <c r="D609" i="9"/>
  <c r="B609" i="9"/>
  <c r="E608" i="9"/>
  <c r="D608" i="9"/>
  <c r="B608" i="9"/>
  <c r="E607" i="9"/>
  <c r="D607" i="9"/>
  <c r="B607" i="9"/>
  <c r="E606" i="9"/>
  <c r="D606" i="9"/>
  <c r="B606" i="9"/>
  <c r="E605" i="9"/>
  <c r="D605" i="9"/>
  <c r="B605" i="9"/>
  <c r="E604" i="9"/>
  <c r="D604" i="9"/>
  <c r="B604" i="9"/>
  <c r="E603" i="9"/>
  <c r="D603" i="9"/>
  <c r="B603" i="9"/>
  <c r="E602" i="9"/>
  <c r="D602" i="9"/>
  <c r="B602" i="9"/>
  <c r="E601" i="9"/>
  <c r="D601" i="9"/>
  <c r="B601" i="9"/>
  <c r="E600" i="9"/>
  <c r="D600" i="9"/>
  <c r="B600" i="9"/>
  <c r="E599" i="9"/>
  <c r="D599" i="9"/>
  <c r="B599" i="9"/>
  <c r="E598" i="9"/>
  <c r="D598" i="9"/>
  <c r="B598" i="9"/>
  <c r="E597" i="9"/>
  <c r="D597" i="9"/>
  <c r="B597" i="9"/>
  <c r="E596" i="9"/>
  <c r="D596" i="9"/>
  <c r="B596" i="9"/>
  <c r="E595" i="9"/>
  <c r="D595" i="9"/>
  <c r="B595" i="9"/>
  <c r="E594" i="9"/>
  <c r="D594" i="9"/>
  <c r="B594" i="9"/>
  <c r="E593" i="9"/>
  <c r="D593" i="9"/>
  <c r="B593" i="9"/>
  <c r="E592" i="9"/>
  <c r="D592" i="9"/>
  <c r="B592" i="9"/>
  <c r="E591" i="9"/>
  <c r="D591" i="9"/>
  <c r="B591" i="9"/>
  <c r="E590" i="9"/>
  <c r="D590" i="9"/>
  <c r="B590" i="9"/>
  <c r="E589" i="9"/>
  <c r="D589" i="9"/>
  <c r="B589" i="9"/>
  <c r="E588" i="9"/>
  <c r="D588" i="9"/>
  <c r="B588" i="9"/>
  <c r="E587" i="9"/>
  <c r="D587" i="9"/>
  <c r="B587" i="9"/>
  <c r="E586" i="9"/>
  <c r="D586" i="9"/>
  <c r="B586" i="9"/>
  <c r="E585" i="9"/>
  <c r="D585" i="9"/>
  <c r="B585" i="9"/>
  <c r="E584" i="9"/>
  <c r="D584" i="9"/>
  <c r="B584" i="9"/>
  <c r="E583" i="9"/>
  <c r="D583" i="9"/>
  <c r="B583" i="9"/>
  <c r="E582" i="9"/>
  <c r="D582" i="9"/>
  <c r="B582" i="9"/>
  <c r="E581" i="9"/>
  <c r="D581" i="9"/>
  <c r="B581" i="9"/>
  <c r="E580" i="9"/>
  <c r="D580" i="9"/>
  <c r="B580" i="9"/>
  <c r="E579" i="9"/>
  <c r="D579" i="9"/>
  <c r="B579" i="9"/>
  <c r="E578" i="9"/>
  <c r="D578" i="9"/>
  <c r="B578" i="9"/>
  <c r="E577" i="9"/>
  <c r="D577" i="9"/>
  <c r="B577" i="9"/>
  <c r="E576" i="9"/>
  <c r="D576" i="9"/>
  <c r="B576" i="9"/>
  <c r="E575" i="9"/>
  <c r="D575" i="9"/>
  <c r="B575" i="9"/>
  <c r="E574" i="9"/>
  <c r="D574" i="9"/>
  <c r="B574" i="9"/>
  <c r="E573" i="9"/>
  <c r="D573" i="9"/>
  <c r="B573" i="9"/>
  <c r="E572" i="9"/>
  <c r="D572" i="9"/>
  <c r="B572" i="9"/>
  <c r="E571" i="9"/>
  <c r="D571" i="9"/>
  <c r="B571" i="9"/>
  <c r="E570" i="9"/>
  <c r="D570" i="9"/>
  <c r="B570" i="9"/>
  <c r="E569" i="9"/>
  <c r="D569" i="9"/>
  <c r="B569" i="9"/>
  <c r="E568" i="9"/>
  <c r="D568" i="9"/>
  <c r="B568" i="9"/>
  <c r="E567" i="9"/>
  <c r="D567" i="9"/>
  <c r="B567" i="9"/>
  <c r="E566" i="9"/>
  <c r="D566" i="9"/>
  <c r="B566" i="9"/>
  <c r="E565" i="9"/>
  <c r="D565" i="9"/>
  <c r="B565" i="9"/>
  <c r="E564" i="9"/>
  <c r="D564" i="9"/>
  <c r="B564" i="9"/>
  <c r="E563" i="9"/>
  <c r="D563" i="9"/>
  <c r="B563" i="9"/>
  <c r="E562" i="9"/>
  <c r="D562" i="9"/>
  <c r="B562" i="9"/>
  <c r="E561" i="9"/>
  <c r="D561" i="9"/>
  <c r="B561" i="9"/>
  <c r="E560" i="9"/>
  <c r="D560" i="9"/>
  <c r="B560" i="9"/>
  <c r="E559" i="9"/>
  <c r="D559" i="9"/>
  <c r="B559" i="9"/>
  <c r="E558" i="9"/>
  <c r="D558" i="9"/>
  <c r="B558" i="9"/>
  <c r="E557" i="9"/>
  <c r="D557" i="9"/>
  <c r="B557" i="9"/>
  <c r="E556" i="9"/>
  <c r="D556" i="9"/>
  <c r="B556" i="9"/>
  <c r="E555" i="9"/>
  <c r="D555" i="9"/>
  <c r="B555" i="9"/>
  <c r="E554" i="9"/>
  <c r="D554" i="9"/>
  <c r="B554" i="9"/>
  <c r="E553" i="9"/>
  <c r="D553" i="9"/>
  <c r="B553" i="9"/>
  <c r="E552" i="9"/>
  <c r="D552" i="9"/>
  <c r="B552" i="9"/>
  <c r="E551" i="9"/>
  <c r="D551" i="9"/>
  <c r="B551" i="9"/>
  <c r="E550" i="9"/>
  <c r="D550" i="9"/>
  <c r="B550" i="9"/>
  <c r="E549" i="9"/>
  <c r="D549" i="9"/>
  <c r="B549" i="9"/>
  <c r="E548" i="9"/>
  <c r="D548" i="9"/>
  <c r="B548" i="9"/>
  <c r="E547" i="9"/>
  <c r="D547" i="9"/>
  <c r="B547" i="9"/>
  <c r="E546" i="9"/>
  <c r="D546" i="9"/>
  <c r="B546" i="9"/>
  <c r="E545" i="9"/>
  <c r="D545" i="9"/>
  <c r="B545" i="9"/>
  <c r="E544" i="9"/>
  <c r="D544" i="9"/>
  <c r="B544" i="9"/>
  <c r="E543" i="9"/>
  <c r="D543" i="9"/>
  <c r="B543" i="9"/>
  <c r="E542" i="9"/>
  <c r="D542" i="9"/>
  <c r="B542" i="9"/>
  <c r="E541" i="9"/>
  <c r="D541" i="9"/>
  <c r="B541" i="9"/>
  <c r="E540" i="9"/>
  <c r="D540" i="9"/>
  <c r="B540" i="9"/>
  <c r="E539" i="9"/>
  <c r="D539" i="9"/>
  <c r="B539" i="9"/>
  <c r="E538" i="9"/>
  <c r="D538" i="9"/>
  <c r="B538" i="9"/>
  <c r="E537" i="9"/>
  <c r="D537" i="9"/>
  <c r="B537" i="9"/>
  <c r="E536" i="9"/>
  <c r="D536" i="9"/>
  <c r="B536" i="9"/>
  <c r="E535" i="9"/>
  <c r="D535" i="9"/>
  <c r="B535" i="9"/>
  <c r="E534" i="9"/>
  <c r="D534" i="9"/>
  <c r="B534" i="9"/>
  <c r="E533" i="9"/>
  <c r="D533" i="9"/>
  <c r="B533" i="9"/>
  <c r="E532" i="9"/>
  <c r="D532" i="9"/>
  <c r="B532" i="9"/>
  <c r="E531" i="9"/>
  <c r="D531" i="9"/>
  <c r="B531" i="9"/>
  <c r="E530" i="9"/>
  <c r="D530" i="9"/>
  <c r="B530" i="9"/>
  <c r="E529" i="9"/>
  <c r="D529" i="9"/>
  <c r="B529" i="9"/>
  <c r="E528" i="9"/>
  <c r="D528" i="9"/>
  <c r="B528" i="9"/>
  <c r="E527" i="9"/>
  <c r="D527" i="9"/>
  <c r="B527" i="9"/>
  <c r="E526" i="9"/>
  <c r="D526" i="9"/>
  <c r="B526" i="9"/>
  <c r="E525" i="9"/>
  <c r="D525" i="9"/>
  <c r="B525" i="9"/>
  <c r="E524" i="9"/>
  <c r="D524" i="9"/>
  <c r="B524" i="9"/>
  <c r="E523" i="9"/>
  <c r="D523" i="9"/>
  <c r="B523" i="9"/>
  <c r="E522" i="9"/>
  <c r="D522" i="9"/>
  <c r="B522" i="9"/>
  <c r="E521" i="9"/>
  <c r="D521" i="9"/>
  <c r="B521" i="9"/>
  <c r="E520" i="9"/>
  <c r="D520" i="9"/>
  <c r="B520" i="9"/>
  <c r="E519" i="9"/>
  <c r="D519" i="9"/>
  <c r="B519" i="9"/>
  <c r="E518" i="9"/>
  <c r="D518" i="9"/>
  <c r="B518" i="9"/>
  <c r="E517" i="9"/>
  <c r="D517" i="9"/>
  <c r="B517" i="9"/>
  <c r="E516" i="9"/>
  <c r="D516" i="9"/>
  <c r="B516" i="9"/>
  <c r="E515" i="9"/>
  <c r="D515" i="9"/>
  <c r="B515" i="9"/>
  <c r="E514" i="9"/>
  <c r="D514" i="9"/>
  <c r="B514" i="9"/>
  <c r="E513" i="9"/>
  <c r="D513" i="9"/>
  <c r="B513" i="9"/>
  <c r="E512" i="9"/>
  <c r="D512" i="9"/>
  <c r="B512" i="9"/>
  <c r="E511" i="9"/>
  <c r="D511" i="9"/>
  <c r="B511" i="9"/>
  <c r="E510" i="9"/>
  <c r="D510" i="9"/>
  <c r="B510" i="9"/>
  <c r="E509" i="9"/>
  <c r="D509" i="9"/>
  <c r="B509" i="9"/>
  <c r="E508" i="9"/>
  <c r="D508" i="9"/>
  <c r="B508" i="9"/>
  <c r="E507" i="9"/>
  <c r="D507" i="9"/>
  <c r="B507" i="9"/>
  <c r="E506" i="9"/>
  <c r="D506" i="9"/>
  <c r="B506" i="9"/>
  <c r="E505" i="9"/>
  <c r="D505" i="9"/>
  <c r="B505" i="9"/>
  <c r="E504" i="9"/>
  <c r="D504" i="9"/>
  <c r="B504" i="9"/>
  <c r="E503" i="9"/>
  <c r="D503" i="9"/>
  <c r="B503" i="9"/>
  <c r="E502" i="9"/>
  <c r="D502" i="9"/>
  <c r="B502" i="9"/>
  <c r="E501" i="9"/>
  <c r="D501" i="9"/>
  <c r="B501" i="9"/>
  <c r="E500" i="9"/>
  <c r="D500" i="9"/>
  <c r="B500" i="9"/>
  <c r="E499" i="9"/>
  <c r="D499" i="9"/>
  <c r="B499" i="9"/>
  <c r="E498" i="9"/>
  <c r="D498" i="9"/>
  <c r="B498" i="9"/>
  <c r="E497" i="9"/>
  <c r="D497" i="9"/>
  <c r="B497" i="9"/>
  <c r="E496" i="9"/>
  <c r="D496" i="9"/>
  <c r="B496" i="9"/>
  <c r="E495" i="9"/>
  <c r="D495" i="9"/>
  <c r="B495" i="9"/>
  <c r="E494" i="9"/>
  <c r="D494" i="9"/>
  <c r="B494" i="9"/>
  <c r="E493" i="9"/>
  <c r="D493" i="9"/>
  <c r="B493" i="9"/>
  <c r="E492" i="9"/>
  <c r="D492" i="9"/>
  <c r="B492" i="9"/>
  <c r="E491" i="9"/>
  <c r="D491" i="9"/>
  <c r="B491" i="9"/>
  <c r="E490" i="9"/>
  <c r="D490" i="9"/>
  <c r="B490" i="9"/>
  <c r="E489" i="9"/>
  <c r="D489" i="9"/>
  <c r="B489" i="9"/>
  <c r="E488" i="9"/>
  <c r="D488" i="9"/>
  <c r="B488" i="9"/>
  <c r="E487" i="9"/>
  <c r="D487" i="9"/>
  <c r="B487" i="9"/>
  <c r="E486" i="9"/>
  <c r="D486" i="9"/>
  <c r="B486" i="9"/>
  <c r="E485" i="9"/>
  <c r="D485" i="9"/>
  <c r="B485" i="9"/>
  <c r="E484" i="9"/>
  <c r="D484" i="9"/>
  <c r="B484" i="9"/>
  <c r="E483" i="9"/>
  <c r="D483" i="9"/>
  <c r="B483" i="9"/>
  <c r="E482" i="9"/>
  <c r="D482" i="9"/>
  <c r="B482" i="9"/>
  <c r="E481" i="9"/>
  <c r="D481" i="9"/>
  <c r="B481" i="9"/>
  <c r="E480" i="9"/>
  <c r="D480" i="9"/>
  <c r="B480" i="9"/>
  <c r="E479" i="9"/>
  <c r="D479" i="9"/>
  <c r="B479" i="9"/>
  <c r="E478" i="9"/>
  <c r="D478" i="9"/>
  <c r="B478" i="9"/>
  <c r="E477" i="9"/>
  <c r="D477" i="9"/>
  <c r="B477" i="9"/>
  <c r="E476" i="9"/>
  <c r="D476" i="9"/>
  <c r="B476" i="9"/>
  <c r="E475" i="9"/>
  <c r="D475" i="9"/>
  <c r="B475" i="9"/>
  <c r="E474" i="9"/>
  <c r="D474" i="9"/>
  <c r="B474" i="9"/>
  <c r="E473" i="9"/>
  <c r="D473" i="9"/>
  <c r="B473" i="9"/>
  <c r="E472" i="9"/>
  <c r="D472" i="9"/>
  <c r="B472" i="9"/>
  <c r="E471" i="9"/>
  <c r="D471" i="9"/>
  <c r="B471" i="9"/>
  <c r="E470" i="9"/>
  <c r="D470" i="9"/>
  <c r="B470" i="9"/>
  <c r="E469" i="9"/>
  <c r="D469" i="9"/>
  <c r="B469" i="9"/>
  <c r="E468" i="9"/>
  <c r="D468" i="9"/>
  <c r="B468" i="9"/>
  <c r="E467" i="9"/>
  <c r="D467" i="9"/>
  <c r="B467" i="9"/>
  <c r="E466" i="9"/>
  <c r="D466" i="9"/>
  <c r="B466" i="9"/>
  <c r="E465" i="9"/>
  <c r="D465" i="9"/>
  <c r="B465" i="9"/>
  <c r="E464" i="9"/>
  <c r="D464" i="9"/>
  <c r="B464" i="9"/>
  <c r="E463" i="9"/>
  <c r="D463" i="9"/>
  <c r="B463" i="9"/>
  <c r="E462" i="9"/>
  <c r="D462" i="9"/>
  <c r="B462" i="9"/>
  <c r="E461" i="9"/>
  <c r="D461" i="9"/>
  <c r="B461" i="9"/>
  <c r="E460" i="9"/>
  <c r="D460" i="9"/>
  <c r="B460" i="9"/>
  <c r="E459" i="9"/>
  <c r="D459" i="9"/>
  <c r="B459" i="9"/>
  <c r="E458" i="9"/>
  <c r="D458" i="9"/>
  <c r="B458" i="9"/>
  <c r="E457" i="9"/>
  <c r="D457" i="9"/>
  <c r="B457" i="9"/>
  <c r="E456" i="9"/>
  <c r="D456" i="9"/>
  <c r="B456" i="9"/>
  <c r="E455" i="9"/>
  <c r="D455" i="9"/>
  <c r="B455" i="9"/>
  <c r="E454" i="9"/>
  <c r="D454" i="9"/>
  <c r="B454" i="9"/>
  <c r="E453" i="9"/>
  <c r="D453" i="9"/>
  <c r="B453" i="9"/>
  <c r="E452" i="9"/>
  <c r="D452" i="9"/>
  <c r="B452" i="9"/>
  <c r="E451" i="9"/>
  <c r="D451" i="9"/>
  <c r="B451" i="9"/>
  <c r="E450" i="9"/>
  <c r="D450" i="9"/>
  <c r="B450" i="9"/>
  <c r="E449" i="9"/>
  <c r="D449" i="9"/>
  <c r="B449" i="9"/>
  <c r="E448" i="9"/>
  <c r="D448" i="9"/>
  <c r="B448" i="9"/>
  <c r="E447" i="9"/>
  <c r="D447" i="9"/>
  <c r="B447" i="9"/>
  <c r="E446" i="9"/>
  <c r="D446" i="9"/>
  <c r="B446" i="9"/>
  <c r="E445" i="9"/>
  <c r="D445" i="9"/>
  <c r="B445" i="9"/>
  <c r="E444" i="9"/>
  <c r="D444" i="9"/>
  <c r="B444" i="9"/>
  <c r="E443" i="9"/>
  <c r="D443" i="9"/>
  <c r="B443" i="9"/>
  <c r="E442" i="9"/>
  <c r="D442" i="9"/>
  <c r="B442" i="9"/>
  <c r="E441" i="9"/>
  <c r="D441" i="9"/>
  <c r="B441" i="9"/>
  <c r="E440" i="9"/>
  <c r="D440" i="9"/>
  <c r="B440" i="9"/>
  <c r="E439" i="9"/>
  <c r="D439" i="9"/>
  <c r="B439" i="9"/>
  <c r="E438" i="9"/>
  <c r="D438" i="9"/>
  <c r="B438" i="9"/>
  <c r="E437" i="9"/>
  <c r="D437" i="9"/>
  <c r="B437" i="9"/>
  <c r="E436" i="9"/>
  <c r="D436" i="9"/>
  <c r="B436" i="9"/>
  <c r="E435" i="9"/>
  <c r="D435" i="9"/>
  <c r="B435" i="9"/>
  <c r="E434" i="9"/>
  <c r="D434" i="9"/>
  <c r="B434" i="9"/>
  <c r="E433" i="9"/>
  <c r="D433" i="9"/>
  <c r="B433" i="9"/>
  <c r="E432" i="9"/>
  <c r="D432" i="9"/>
  <c r="B432" i="9"/>
  <c r="E431" i="9"/>
  <c r="D431" i="9"/>
  <c r="B431" i="9"/>
  <c r="E430" i="9"/>
  <c r="D430" i="9"/>
  <c r="B430" i="9"/>
  <c r="E429" i="9"/>
  <c r="D429" i="9"/>
  <c r="B429" i="9"/>
  <c r="E428" i="9"/>
  <c r="D428" i="9"/>
  <c r="B428" i="9"/>
  <c r="E427" i="9"/>
  <c r="D427" i="9"/>
  <c r="B427" i="9"/>
  <c r="E426" i="9"/>
  <c r="D426" i="9"/>
  <c r="B426" i="9"/>
  <c r="E425" i="9"/>
  <c r="D425" i="9"/>
  <c r="B425" i="9"/>
  <c r="E424" i="9"/>
  <c r="D424" i="9"/>
  <c r="B424" i="9"/>
  <c r="E423" i="9"/>
  <c r="D423" i="9"/>
  <c r="B423" i="9"/>
  <c r="E422" i="9"/>
  <c r="D422" i="9"/>
  <c r="B422" i="9"/>
  <c r="E421" i="9"/>
  <c r="D421" i="9"/>
  <c r="B421" i="9"/>
  <c r="E420" i="9"/>
  <c r="D420" i="9"/>
  <c r="B420" i="9"/>
  <c r="E419" i="9"/>
  <c r="D419" i="9"/>
  <c r="B419" i="9"/>
  <c r="E418" i="9"/>
  <c r="D418" i="9"/>
  <c r="B418" i="9"/>
  <c r="E417" i="9"/>
  <c r="D417" i="9"/>
  <c r="B417" i="9"/>
  <c r="E416" i="9"/>
  <c r="D416" i="9"/>
  <c r="B416" i="9"/>
  <c r="E415" i="9"/>
  <c r="D415" i="9"/>
  <c r="B415" i="9"/>
  <c r="E414" i="9"/>
  <c r="D414" i="9"/>
  <c r="B414" i="9"/>
  <c r="E413" i="9"/>
  <c r="D413" i="9"/>
  <c r="B413" i="9"/>
  <c r="E412" i="9"/>
  <c r="D412" i="9"/>
  <c r="B412" i="9"/>
  <c r="E411" i="9"/>
  <c r="D411" i="9"/>
  <c r="B411" i="9"/>
  <c r="E410" i="9"/>
  <c r="D410" i="9"/>
  <c r="B410" i="9"/>
  <c r="E409" i="9"/>
  <c r="D409" i="9"/>
  <c r="B409" i="9"/>
  <c r="E408" i="9"/>
  <c r="D408" i="9"/>
  <c r="B408" i="9"/>
  <c r="E407" i="9"/>
  <c r="D407" i="9"/>
  <c r="B407" i="9"/>
  <c r="E406" i="9"/>
  <c r="D406" i="9"/>
  <c r="B406" i="9"/>
  <c r="E405" i="9"/>
  <c r="D405" i="9"/>
  <c r="B405" i="9"/>
  <c r="E404" i="9"/>
  <c r="D404" i="9"/>
  <c r="B404" i="9"/>
  <c r="E403" i="9"/>
  <c r="D403" i="9"/>
  <c r="B403" i="9"/>
  <c r="E402" i="9"/>
  <c r="D402" i="9"/>
  <c r="B402" i="9"/>
  <c r="E401" i="9"/>
  <c r="D401" i="9"/>
  <c r="B401" i="9"/>
  <c r="E400" i="9"/>
  <c r="D400" i="9"/>
  <c r="B400" i="9"/>
  <c r="E399" i="9"/>
  <c r="D399" i="9"/>
  <c r="B399" i="9"/>
  <c r="E398" i="9"/>
  <c r="D398" i="9"/>
  <c r="B398" i="9"/>
  <c r="E397" i="9"/>
  <c r="D397" i="9"/>
  <c r="B397" i="9"/>
  <c r="E396" i="9"/>
  <c r="D396" i="9"/>
  <c r="B396" i="9"/>
  <c r="E395" i="9"/>
  <c r="D395" i="9"/>
  <c r="B395" i="9"/>
  <c r="E394" i="9"/>
  <c r="D394" i="9"/>
  <c r="B394" i="9"/>
  <c r="E393" i="9"/>
  <c r="D393" i="9"/>
  <c r="B393" i="9"/>
  <c r="E392" i="9"/>
  <c r="D392" i="9"/>
  <c r="B392" i="9"/>
  <c r="E391" i="9"/>
  <c r="D391" i="9"/>
  <c r="B391" i="9"/>
  <c r="E390" i="9"/>
  <c r="D390" i="9"/>
  <c r="B390" i="9"/>
  <c r="E389" i="9"/>
  <c r="D389" i="9"/>
  <c r="B389" i="9"/>
  <c r="E388" i="9"/>
  <c r="D388" i="9"/>
  <c r="B388" i="9"/>
  <c r="E387" i="9"/>
  <c r="D387" i="9"/>
  <c r="B387" i="9"/>
  <c r="E386" i="9"/>
  <c r="D386" i="9"/>
  <c r="B386" i="9"/>
  <c r="E385" i="9"/>
  <c r="D385" i="9"/>
  <c r="B385" i="9"/>
  <c r="E384" i="9"/>
  <c r="D384" i="9"/>
  <c r="B384" i="9"/>
  <c r="E383" i="9"/>
  <c r="D383" i="9"/>
  <c r="B383" i="9"/>
  <c r="E382" i="9"/>
  <c r="D382" i="9"/>
  <c r="B382" i="9"/>
  <c r="E381" i="9"/>
  <c r="D381" i="9"/>
  <c r="B381" i="9"/>
  <c r="E380" i="9"/>
  <c r="D380" i="9"/>
  <c r="B380" i="9"/>
  <c r="E379" i="9"/>
  <c r="D379" i="9"/>
  <c r="B379" i="9"/>
  <c r="E378" i="9"/>
  <c r="D378" i="9"/>
  <c r="B378" i="9"/>
  <c r="E377" i="9"/>
  <c r="D377" i="9"/>
  <c r="B377" i="9"/>
  <c r="E376" i="9"/>
  <c r="D376" i="9"/>
  <c r="B376" i="9"/>
  <c r="E375" i="9"/>
  <c r="D375" i="9"/>
  <c r="B375" i="9"/>
  <c r="E374" i="9"/>
  <c r="D374" i="9"/>
  <c r="B374" i="9"/>
  <c r="E373" i="9"/>
  <c r="D373" i="9"/>
  <c r="B373" i="9"/>
  <c r="E372" i="9"/>
  <c r="D372" i="9"/>
  <c r="B372" i="9"/>
  <c r="E371" i="9"/>
  <c r="D371" i="9"/>
  <c r="B371" i="9"/>
  <c r="E370" i="9"/>
  <c r="D370" i="9"/>
  <c r="B370" i="9"/>
  <c r="E369" i="9"/>
  <c r="D369" i="9"/>
  <c r="B369" i="9"/>
  <c r="E368" i="9"/>
  <c r="D368" i="9"/>
  <c r="B368" i="9"/>
  <c r="E367" i="9"/>
  <c r="D367" i="9"/>
  <c r="B367" i="9"/>
  <c r="E366" i="9"/>
  <c r="D366" i="9"/>
  <c r="B366" i="9"/>
  <c r="E365" i="9"/>
  <c r="D365" i="9"/>
  <c r="B365" i="9"/>
  <c r="E364" i="9"/>
  <c r="D364" i="9"/>
  <c r="B364" i="9"/>
  <c r="E363" i="9"/>
  <c r="D363" i="9"/>
  <c r="B363" i="9"/>
  <c r="E362" i="9"/>
  <c r="D362" i="9"/>
  <c r="B362" i="9"/>
  <c r="E361" i="9"/>
  <c r="D361" i="9"/>
  <c r="B361" i="9"/>
  <c r="E360" i="9"/>
  <c r="D360" i="9"/>
  <c r="B360" i="9"/>
  <c r="E359" i="9"/>
  <c r="D359" i="9"/>
  <c r="B359" i="9"/>
  <c r="E358" i="9"/>
  <c r="D358" i="9"/>
  <c r="B358" i="9"/>
  <c r="E357" i="9"/>
  <c r="D357" i="9"/>
  <c r="B357" i="9"/>
  <c r="E356" i="9"/>
  <c r="D356" i="9"/>
  <c r="B356" i="9"/>
  <c r="E355" i="9"/>
  <c r="D355" i="9"/>
  <c r="B355" i="9"/>
  <c r="E354" i="9"/>
  <c r="D354" i="9"/>
  <c r="B354" i="9"/>
  <c r="E353" i="9"/>
  <c r="D353" i="9"/>
  <c r="B353" i="9"/>
  <c r="E352" i="9"/>
  <c r="D352" i="9"/>
  <c r="B352" i="9"/>
  <c r="E351" i="9"/>
  <c r="D351" i="9"/>
  <c r="B351" i="9"/>
  <c r="E350" i="9"/>
  <c r="D350" i="9"/>
  <c r="B350" i="9"/>
  <c r="E349" i="9"/>
  <c r="D349" i="9"/>
  <c r="B349" i="9"/>
  <c r="E348" i="9"/>
  <c r="D348" i="9"/>
  <c r="B348" i="9"/>
  <c r="E347" i="9"/>
  <c r="D347" i="9"/>
  <c r="B347" i="9"/>
  <c r="E346" i="9"/>
  <c r="D346" i="9"/>
  <c r="B346" i="9"/>
  <c r="E345" i="9"/>
  <c r="D345" i="9"/>
  <c r="B345" i="9"/>
  <c r="E344" i="9"/>
  <c r="D344" i="9"/>
  <c r="B344" i="9"/>
  <c r="E343" i="9"/>
  <c r="D343" i="9"/>
  <c r="B343" i="9"/>
  <c r="E342" i="9"/>
  <c r="D342" i="9"/>
  <c r="B342" i="9"/>
  <c r="E341" i="9"/>
  <c r="D341" i="9"/>
  <c r="B341" i="9"/>
  <c r="E340" i="9"/>
  <c r="D340" i="9"/>
  <c r="B340" i="9"/>
  <c r="E339" i="9"/>
  <c r="D339" i="9"/>
  <c r="B339" i="9"/>
  <c r="E338" i="9"/>
  <c r="D338" i="9"/>
  <c r="B338" i="9"/>
  <c r="E337" i="9"/>
  <c r="D337" i="9"/>
  <c r="B337" i="9"/>
  <c r="E336" i="9"/>
  <c r="D336" i="9"/>
  <c r="B336" i="9"/>
  <c r="E335" i="9"/>
  <c r="D335" i="9"/>
  <c r="B335" i="9"/>
  <c r="E334" i="9"/>
  <c r="D334" i="9"/>
  <c r="B334" i="9"/>
  <c r="E333" i="9"/>
  <c r="D333" i="9"/>
  <c r="B333" i="9"/>
  <c r="E332" i="9"/>
  <c r="D332" i="9"/>
  <c r="B332" i="9"/>
  <c r="E331" i="9"/>
  <c r="D331" i="9"/>
  <c r="B331" i="9"/>
  <c r="E330" i="9"/>
  <c r="D330" i="9"/>
  <c r="B330" i="9"/>
  <c r="E329" i="9"/>
  <c r="D329" i="9"/>
  <c r="B329" i="9"/>
  <c r="E328" i="9"/>
  <c r="D328" i="9"/>
  <c r="B328" i="9"/>
  <c r="E327" i="9"/>
  <c r="D327" i="9"/>
  <c r="B327" i="9"/>
  <c r="E326" i="9"/>
  <c r="D326" i="9"/>
  <c r="B326" i="9"/>
  <c r="E325" i="9"/>
  <c r="D325" i="9"/>
  <c r="B325" i="9"/>
  <c r="E324" i="9"/>
  <c r="D324" i="9"/>
  <c r="B324" i="9"/>
  <c r="E323" i="9"/>
  <c r="D323" i="9"/>
  <c r="B323" i="9"/>
  <c r="E322" i="9"/>
  <c r="D322" i="9"/>
  <c r="B322" i="9"/>
  <c r="E321" i="9"/>
  <c r="D321" i="9"/>
  <c r="B321" i="9"/>
  <c r="E320" i="9"/>
  <c r="D320" i="9"/>
  <c r="B320" i="9"/>
  <c r="E319" i="9"/>
  <c r="D319" i="9"/>
  <c r="B319" i="9"/>
  <c r="E318" i="9"/>
  <c r="D318" i="9"/>
  <c r="B318" i="9"/>
  <c r="E317" i="9"/>
  <c r="D317" i="9"/>
  <c r="B317" i="9"/>
  <c r="E316" i="9"/>
  <c r="D316" i="9"/>
  <c r="B316" i="9"/>
  <c r="E315" i="9"/>
  <c r="D315" i="9"/>
  <c r="B315" i="9"/>
  <c r="E314" i="9"/>
  <c r="D314" i="9"/>
  <c r="B314" i="9"/>
  <c r="E313" i="9"/>
  <c r="D313" i="9"/>
  <c r="B313" i="9"/>
  <c r="E312" i="9"/>
  <c r="D312" i="9"/>
  <c r="B312" i="9"/>
  <c r="E311" i="9"/>
  <c r="D311" i="9"/>
  <c r="B311" i="9"/>
  <c r="E310" i="9"/>
  <c r="D310" i="9"/>
  <c r="B310" i="9"/>
  <c r="E309" i="9"/>
  <c r="D309" i="9"/>
  <c r="B309" i="9"/>
  <c r="E308" i="9"/>
  <c r="D308" i="9"/>
  <c r="B308" i="9"/>
  <c r="E307" i="9"/>
  <c r="D307" i="9"/>
  <c r="B307" i="9"/>
  <c r="E306" i="9"/>
  <c r="D306" i="9"/>
  <c r="B306" i="9"/>
  <c r="E305" i="9"/>
  <c r="D305" i="9"/>
  <c r="B305" i="9"/>
  <c r="E304" i="9"/>
  <c r="D304" i="9"/>
  <c r="B304" i="9"/>
  <c r="E303" i="9"/>
  <c r="D303" i="9"/>
  <c r="B303" i="9"/>
  <c r="E302" i="9"/>
  <c r="D302" i="9"/>
  <c r="B302" i="9"/>
  <c r="E301" i="9"/>
  <c r="D301" i="9"/>
  <c r="B301" i="9"/>
  <c r="E300" i="9"/>
  <c r="D300" i="9"/>
  <c r="B300" i="9"/>
  <c r="E299" i="9"/>
  <c r="D299" i="9"/>
  <c r="B299" i="9"/>
  <c r="E298" i="9"/>
  <c r="D298" i="9"/>
  <c r="B298" i="9"/>
  <c r="E297" i="9"/>
  <c r="D297" i="9"/>
  <c r="B297" i="9"/>
  <c r="E296" i="9"/>
  <c r="D296" i="9"/>
  <c r="B296" i="9"/>
  <c r="E295" i="9"/>
  <c r="D295" i="9"/>
  <c r="B295" i="9"/>
  <c r="E294" i="9"/>
  <c r="D294" i="9"/>
  <c r="B294" i="9"/>
  <c r="E293" i="9"/>
  <c r="D293" i="9"/>
  <c r="B293" i="9"/>
  <c r="E292" i="9"/>
  <c r="D292" i="9"/>
  <c r="B292" i="9"/>
  <c r="E291" i="9"/>
  <c r="D291" i="9"/>
  <c r="B291" i="9"/>
  <c r="E290" i="9"/>
  <c r="D290" i="9"/>
  <c r="B290" i="9"/>
  <c r="E289" i="9"/>
  <c r="D289" i="9"/>
  <c r="B289" i="9"/>
  <c r="E288" i="9"/>
  <c r="D288" i="9"/>
  <c r="B288" i="9"/>
  <c r="E287" i="9"/>
  <c r="D287" i="9"/>
  <c r="B287" i="9"/>
  <c r="E286" i="9"/>
  <c r="D286" i="9"/>
  <c r="B286" i="9"/>
  <c r="E285" i="9"/>
  <c r="D285" i="9"/>
  <c r="B285" i="9"/>
  <c r="E284" i="9"/>
  <c r="D284" i="9"/>
  <c r="B284" i="9"/>
  <c r="E283" i="9"/>
  <c r="D283" i="9"/>
  <c r="B283" i="9"/>
  <c r="E282" i="9"/>
  <c r="D282" i="9"/>
  <c r="B282" i="9"/>
  <c r="E281" i="9"/>
  <c r="D281" i="9"/>
  <c r="B281" i="9"/>
  <c r="E280" i="9"/>
  <c r="D280" i="9"/>
  <c r="B280" i="9"/>
  <c r="E279" i="9"/>
  <c r="D279" i="9"/>
  <c r="B279" i="9"/>
  <c r="E278" i="9"/>
  <c r="D278" i="9"/>
  <c r="B278" i="9"/>
  <c r="E277" i="9"/>
  <c r="D277" i="9"/>
  <c r="B277" i="9"/>
  <c r="E276" i="9"/>
  <c r="D276" i="9"/>
  <c r="B276" i="9"/>
  <c r="E275" i="9"/>
  <c r="D275" i="9"/>
  <c r="B275" i="9"/>
  <c r="E274" i="9"/>
  <c r="D274" i="9"/>
  <c r="B274" i="9"/>
  <c r="E273" i="9"/>
  <c r="D273" i="9"/>
  <c r="B273" i="9"/>
  <c r="E272" i="9"/>
  <c r="D272" i="9"/>
  <c r="B272" i="9"/>
  <c r="E271" i="9"/>
  <c r="D271" i="9"/>
  <c r="B271" i="9"/>
  <c r="E270" i="9"/>
  <c r="D270" i="9"/>
  <c r="B270" i="9"/>
  <c r="E269" i="9"/>
  <c r="D269" i="9"/>
  <c r="B269" i="9"/>
  <c r="E268" i="9"/>
  <c r="D268" i="9"/>
  <c r="B268" i="9"/>
  <c r="E267" i="9"/>
  <c r="D267" i="9"/>
  <c r="B267" i="9"/>
  <c r="E266" i="9"/>
  <c r="D266" i="9"/>
  <c r="B266" i="9"/>
  <c r="E265" i="9"/>
  <c r="D265" i="9"/>
  <c r="B265" i="9"/>
  <c r="E264" i="9"/>
  <c r="D264" i="9"/>
  <c r="B264" i="9"/>
  <c r="E263" i="9"/>
  <c r="D263" i="9"/>
  <c r="B263" i="9"/>
  <c r="E262" i="9"/>
  <c r="D262" i="9"/>
  <c r="B262" i="9"/>
  <c r="E261" i="9"/>
  <c r="D261" i="9"/>
  <c r="B261" i="9"/>
  <c r="E260" i="9"/>
  <c r="D260" i="9"/>
  <c r="B260" i="9"/>
  <c r="E259" i="9"/>
  <c r="D259" i="9"/>
  <c r="B259" i="9"/>
  <c r="E258" i="9"/>
  <c r="D258" i="9"/>
  <c r="B258" i="9"/>
  <c r="E257" i="9"/>
  <c r="D257" i="9"/>
  <c r="B257" i="9"/>
  <c r="E256" i="9"/>
  <c r="D256" i="9"/>
  <c r="B256" i="9"/>
  <c r="E255" i="9"/>
  <c r="D255" i="9"/>
  <c r="B255" i="9"/>
  <c r="E254" i="9"/>
  <c r="D254" i="9"/>
  <c r="B254" i="9"/>
  <c r="E253" i="9"/>
  <c r="D253" i="9"/>
  <c r="B253" i="9"/>
  <c r="E252" i="9"/>
  <c r="D252" i="9"/>
  <c r="B252" i="9"/>
  <c r="E251" i="9"/>
  <c r="D251" i="9"/>
  <c r="B251" i="9"/>
  <c r="E250" i="9"/>
  <c r="D250" i="9"/>
  <c r="B250" i="9"/>
  <c r="E249" i="9"/>
  <c r="D249" i="9"/>
  <c r="B249" i="9"/>
  <c r="E248" i="9"/>
  <c r="D248" i="9"/>
  <c r="B248" i="9"/>
  <c r="E247" i="9"/>
  <c r="D247" i="9"/>
  <c r="B247" i="9"/>
  <c r="E246" i="9"/>
  <c r="D246" i="9"/>
  <c r="B246" i="9"/>
  <c r="E245" i="9"/>
  <c r="D245" i="9"/>
  <c r="B245" i="9"/>
  <c r="E244" i="9"/>
  <c r="D244" i="9"/>
  <c r="B244" i="9"/>
  <c r="E243" i="9"/>
  <c r="D243" i="9"/>
  <c r="B243" i="9"/>
  <c r="E242" i="9"/>
  <c r="D242" i="9"/>
  <c r="B242" i="9"/>
  <c r="E241" i="9"/>
  <c r="D241" i="9"/>
  <c r="B241" i="9"/>
  <c r="E240" i="9"/>
  <c r="D240" i="9"/>
  <c r="B240" i="9"/>
  <c r="E239" i="9"/>
  <c r="D239" i="9"/>
  <c r="B239" i="9"/>
  <c r="E238" i="9"/>
  <c r="D238" i="9"/>
  <c r="B238" i="9"/>
  <c r="E237" i="9"/>
  <c r="D237" i="9"/>
  <c r="B237" i="9"/>
  <c r="E236" i="9"/>
  <c r="D236" i="9"/>
  <c r="B236" i="9"/>
  <c r="E235" i="9"/>
  <c r="D235" i="9"/>
  <c r="B235" i="9"/>
  <c r="E234" i="9"/>
  <c r="D234" i="9"/>
  <c r="B234" i="9"/>
  <c r="E233" i="9"/>
  <c r="D233" i="9"/>
  <c r="B233" i="9"/>
  <c r="E232" i="9"/>
  <c r="D232" i="9"/>
  <c r="B232" i="9"/>
  <c r="E231" i="9"/>
  <c r="D231" i="9"/>
  <c r="B231" i="9"/>
  <c r="E230" i="9"/>
  <c r="D230" i="9"/>
  <c r="B230" i="9"/>
  <c r="E229" i="9"/>
  <c r="D229" i="9"/>
  <c r="B229" i="9"/>
  <c r="E228" i="9"/>
  <c r="D228" i="9"/>
  <c r="B228" i="9"/>
  <c r="E227" i="9"/>
  <c r="D227" i="9"/>
  <c r="B227" i="9"/>
  <c r="E226" i="9"/>
  <c r="D226" i="9"/>
  <c r="B226" i="9"/>
  <c r="E225" i="9"/>
  <c r="D225" i="9"/>
  <c r="B225" i="9"/>
  <c r="E224" i="9"/>
  <c r="D224" i="9"/>
  <c r="B224" i="9"/>
  <c r="E223" i="9"/>
  <c r="D223" i="9"/>
  <c r="B223" i="9"/>
  <c r="E222" i="9"/>
  <c r="D222" i="9"/>
  <c r="B222" i="9"/>
  <c r="E221" i="9"/>
  <c r="D221" i="9"/>
  <c r="B221" i="9"/>
  <c r="E220" i="9"/>
  <c r="D220" i="9"/>
  <c r="B220" i="9"/>
  <c r="E219" i="9"/>
  <c r="D219" i="9"/>
  <c r="B219" i="9"/>
  <c r="E218" i="9"/>
  <c r="D218" i="9"/>
  <c r="B218" i="9"/>
  <c r="E217" i="9"/>
  <c r="D217" i="9"/>
  <c r="B217" i="9"/>
  <c r="E216" i="9"/>
  <c r="D216" i="9"/>
  <c r="B216" i="9"/>
  <c r="E215" i="9"/>
  <c r="D215" i="9"/>
  <c r="B215" i="9"/>
  <c r="E214" i="9"/>
  <c r="D214" i="9"/>
  <c r="B214" i="9"/>
  <c r="E213" i="9"/>
  <c r="D213" i="9"/>
  <c r="B213" i="9"/>
  <c r="E212" i="9"/>
  <c r="D212" i="9"/>
  <c r="B212" i="9"/>
  <c r="E211" i="9"/>
  <c r="D211" i="9"/>
  <c r="B211" i="9"/>
  <c r="E210" i="9"/>
  <c r="D210" i="9"/>
  <c r="B210" i="9"/>
  <c r="E209" i="9"/>
  <c r="D209" i="9"/>
  <c r="B209" i="9"/>
  <c r="E208" i="9"/>
  <c r="D208" i="9"/>
  <c r="B208" i="9"/>
  <c r="E207" i="9"/>
  <c r="D207" i="9"/>
  <c r="B207" i="9"/>
  <c r="E206" i="9"/>
  <c r="D206" i="9"/>
  <c r="B206" i="9"/>
  <c r="E205" i="9"/>
  <c r="D205" i="9"/>
  <c r="B205" i="9"/>
  <c r="E204" i="9"/>
  <c r="D204" i="9"/>
  <c r="B204" i="9"/>
  <c r="E203" i="9"/>
  <c r="D203" i="9"/>
  <c r="B203" i="9"/>
  <c r="E202" i="9"/>
  <c r="D202" i="9"/>
  <c r="B202" i="9"/>
  <c r="E201" i="9"/>
  <c r="D201" i="9"/>
  <c r="B201" i="9"/>
  <c r="E200" i="9"/>
  <c r="D200" i="9"/>
  <c r="B200" i="9"/>
  <c r="E199" i="9"/>
  <c r="D199" i="9"/>
  <c r="B199" i="9"/>
  <c r="E198" i="9"/>
  <c r="D198" i="9"/>
  <c r="B198" i="9"/>
  <c r="E197" i="9"/>
  <c r="D197" i="9"/>
  <c r="B197" i="9"/>
  <c r="E196" i="9"/>
  <c r="D196" i="9"/>
  <c r="B196" i="9"/>
  <c r="E195" i="9"/>
  <c r="D195" i="9"/>
  <c r="B195" i="9"/>
  <c r="E194" i="9"/>
  <c r="D194" i="9"/>
  <c r="B194" i="9"/>
  <c r="E193" i="9"/>
  <c r="D193" i="9"/>
  <c r="B193" i="9"/>
  <c r="E192" i="9"/>
  <c r="D192" i="9"/>
  <c r="B192" i="9"/>
  <c r="E191" i="9"/>
  <c r="D191" i="9"/>
  <c r="B191" i="9"/>
  <c r="E190" i="9"/>
  <c r="D190" i="9"/>
  <c r="B190" i="9"/>
  <c r="E189" i="9"/>
  <c r="D189" i="9"/>
  <c r="B189" i="9"/>
  <c r="E188" i="9"/>
  <c r="D188" i="9"/>
  <c r="B188" i="9"/>
  <c r="E187" i="9"/>
  <c r="D187" i="9"/>
  <c r="B187" i="9"/>
  <c r="E186" i="9"/>
  <c r="D186" i="9"/>
  <c r="B186" i="9"/>
  <c r="E185" i="9"/>
  <c r="D185" i="9"/>
  <c r="B185" i="9"/>
  <c r="E184" i="9"/>
  <c r="D184" i="9"/>
  <c r="B184" i="9"/>
  <c r="E183" i="9"/>
  <c r="D183" i="9"/>
  <c r="B183" i="9"/>
  <c r="E182" i="9"/>
  <c r="D182" i="9"/>
  <c r="B182" i="9"/>
  <c r="E181" i="9"/>
  <c r="D181" i="9"/>
  <c r="B181" i="9"/>
  <c r="E180" i="9"/>
  <c r="D180" i="9"/>
  <c r="B180" i="9"/>
  <c r="E179" i="9"/>
  <c r="D179" i="9"/>
  <c r="B179" i="9"/>
  <c r="E178" i="9"/>
  <c r="D178" i="9"/>
  <c r="B178" i="9"/>
  <c r="E177" i="9"/>
  <c r="D177" i="9"/>
  <c r="B177" i="9"/>
  <c r="E176" i="9"/>
  <c r="D176" i="9"/>
  <c r="B176" i="9"/>
  <c r="E175" i="9"/>
  <c r="D175" i="9"/>
  <c r="B175" i="9"/>
  <c r="E174" i="9"/>
  <c r="D174" i="9"/>
  <c r="B174" i="9"/>
  <c r="E173" i="9"/>
  <c r="D173" i="9"/>
  <c r="B173" i="9"/>
  <c r="E172" i="9"/>
  <c r="D172" i="9"/>
  <c r="B172" i="9"/>
  <c r="E171" i="9"/>
  <c r="D171" i="9"/>
  <c r="B171" i="9"/>
  <c r="E170" i="9"/>
  <c r="D170" i="9"/>
  <c r="B170" i="9"/>
  <c r="E169" i="9"/>
  <c r="D169" i="9"/>
  <c r="B169" i="9"/>
  <c r="E168" i="9"/>
  <c r="D168" i="9"/>
  <c r="B168" i="9"/>
  <c r="E167" i="9"/>
  <c r="D167" i="9"/>
  <c r="B167" i="9"/>
  <c r="E166" i="9"/>
  <c r="D166" i="9"/>
  <c r="B166" i="9"/>
  <c r="E165" i="9"/>
  <c r="D165" i="9"/>
  <c r="B165" i="9"/>
  <c r="E164" i="9"/>
  <c r="D164" i="9"/>
  <c r="B164" i="9"/>
  <c r="E163" i="9"/>
  <c r="D163" i="9"/>
  <c r="B163" i="9"/>
  <c r="E162" i="9"/>
  <c r="D162" i="9"/>
  <c r="B162" i="9"/>
  <c r="E161" i="9"/>
  <c r="D161" i="9"/>
  <c r="B161" i="9"/>
  <c r="E160" i="9"/>
  <c r="D160" i="9"/>
  <c r="B160" i="9"/>
  <c r="E159" i="9"/>
  <c r="D159" i="9"/>
  <c r="B159" i="9"/>
  <c r="E158" i="9"/>
  <c r="D158" i="9"/>
  <c r="B158" i="9"/>
  <c r="E157" i="9"/>
  <c r="D157" i="9"/>
  <c r="B157" i="9"/>
  <c r="E156" i="9"/>
  <c r="D156" i="9"/>
  <c r="B156" i="9"/>
  <c r="E155" i="9"/>
  <c r="D155" i="9"/>
  <c r="B155" i="9"/>
  <c r="E154" i="9"/>
  <c r="D154" i="9"/>
  <c r="B154" i="9"/>
  <c r="E153" i="9"/>
  <c r="D153" i="9"/>
  <c r="B153" i="9"/>
  <c r="E152" i="9"/>
  <c r="D152" i="9"/>
  <c r="B152" i="9"/>
  <c r="E151" i="9"/>
  <c r="D151" i="9"/>
  <c r="B151" i="9"/>
  <c r="E150" i="9"/>
  <c r="D150" i="9"/>
  <c r="B150" i="9"/>
  <c r="E149" i="9"/>
  <c r="D149" i="9"/>
  <c r="B149" i="9"/>
  <c r="E148" i="9"/>
  <c r="D148" i="9"/>
  <c r="B148" i="9"/>
  <c r="E147" i="9"/>
  <c r="D147" i="9"/>
  <c r="B147" i="9"/>
  <c r="E146" i="9"/>
  <c r="D146" i="9"/>
  <c r="B146" i="9"/>
  <c r="E145" i="9"/>
  <c r="D145" i="9"/>
  <c r="B145" i="9"/>
  <c r="E144" i="9"/>
  <c r="D144" i="9"/>
  <c r="B144" i="9"/>
  <c r="E143" i="9"/>
  <c r="D143" i="9"/>
  <c r="B143" i="9"/>
  <c r="E142" i="9"/>
  <c r="D142" i="9"/>
  <c r="B142" i="9"/>
  <c r="E141" i="9"/>
  <c r="D141" i="9"/>
  <c r="B141" i="9"/>
  <c r="E140" i="9"/>
  <c r="D140" i="9"/>
  <c r="B140" i="9"/>
  <c r="E139" i="9"/>
  <c r="D139" i="9"/>
  <c r="B139" i="9"/>
  <c r="E138" i="9"/>
  <c r="D138" i="9"/>
  <c r="B138" i="9"/>
  <c r="E137" i="9"/>
  <c r="D137" i="9"/>
  <c r="B137" i="9"/>
  <c r="E136" i="9"/>
  <c r="D136" i="9"/>
  <c r="B136" i="9"/>
  <c r="E135" i="9"/>
  <c r="D135" i="9"/>
  <c r="B135" i="9"/>
  <c r="E134" i="9"/>
  <c r="D134" i="9"/>
  <c r="B134" i="9"/>
  <c r="E133" i="9"/>
  <c r="D133" i="9"/>
  <c r="B133" i="9"/>
  <c r="E132" i="9"/>
  <c r="D132" i="9"/>
  <c r="B132" i="9"/>
  <c r="E131" i="9"/>
  <c r="D131" i="9"/>
  <c r="B131" i="9"/>
  <c r="E130" i="9"/>
  <c r="D130" i="9"/>
  <c r="B130" i="9"/>
  <c r="E129" i="9"/>
  <c r="D129" i="9"/>
  <c r="B129" i="9"/>
  <c r="E128" i="9"/>
  <c r="D128" i="9"/>
  <c r="B128" i="9"/>
  <c r="E127" i="9"/>
  <c r="D127" i="9"/>
  <c r="B127" i="9"/>
  <c r="E126" i="9"/>
  <c r="D126" i="9"/>
  <c r="B126" i="9"/>
  <c r="E125" i="9"/>
  <c r="D125" i="9"/>
  <c r="B125" i="9"/>
  <c r="E124" i="9"/>
  <c r="D124" i="9"/>
  <c r="B124" i="9"/>
  <c r="E123" i="9"/>
  <c r="D123" i="9"/>
  <c r="B123" i="9"/>
  <c r="E122" i="9"/>
  <c r="D122" i="9"/>
  <c r="B122" i="9"/>
  <c r="E121" i="9"/>
  <c r="D121" i="9"/>
  <c r="B121" i="9"/>
  <c r="E120" i="9"/>
  <c r="D120" i="9"/>
  <c r="B120" i="9"/>
  <c r="E119" i="9"/>
  <c r="D119" i="9"/>
  <c r="B119" i="9"/>
  <c r="E118" i="9"/>
  <c r="D118" i="9"/>
  <c r="B118" i="9"/>
  <c r="E117" i="9"/>
  <c r="D117" i="9"/>
  <c r="B117" i="9"/>
  <c r="E116" i="9"/>
  <c r="D116" i="9"/>
  <c r="B116" i="9"/>
  <c r="E115" i="9"/>
  <c r="D115" i="9"/>
  <c r="B115" i="9"/>
  <c r="E114" i="9"/>
  <c r="D114" i="9"/>
  <c r="B114" i="9"/>
  <c r="E113" i="9"/>
  <c r="D113" i="9"/>
  <c r="B113" i="9"/>
  <c r="E112" i="9"/>
  <c r="D112" i="9"/>
  <c r="B112" i="9"/>
  <c r="E111" i="9"/>
  <c r="D111" i="9"/>
  <c r="B111" i="9"/>
  <c r="E110" i="9"/>
  <c r="D110" i="9"/>
  <c r="B110" i="9"/>
  <c r="E109" i="9"/>
  <c r="D109" i="9"/>
  <c r="B109" i="9"/>
  <c r="E108" i="9"/>
  <c r="D108" i="9"/>
  <c r="B108" i="9"/>
  <c r="E107" i="9"/>
  <c r="D107" i="9"/>
  <c r="B107" i="9"/>
  <c r="E106" i="9"/>
  <c r="D106" i="9"/>
  <c r="B106" i="9"/>
  <c r="E105" i="9"/>
  <c r="D105" i="9"/>
  <c r="B105" i="9"/>
  <c r="E104" i="9"/>
  <c r="D104" i="9"/>
  <c r="B104" i="9"/>
  <c r="E103" i="9"/>
  <c r="D103" i="9"/>
  <c r="B103" i="9"/>
  <c r="E102" i="9"/>
  <c r="D102" i="9"/>
  <c r="B102" i="9"/>
  <c r="E101" i="9"/>
  <c r="D101" i="9"/>
  <c r="B101" i="9"/>
  <c r="E100" i="9"/>
  <c r="D100" i="9"/>
  <c r="B100" i="9"/>
  <c r="E99" i="9"/>
  <c r="D99" i="9"/>
  <c r="B99" i="9"/>
  <c r="E98" i="9"/>
  <c r="D98" i="9"/>
  <c r="B98" i="9"/>
  <c r="E97" i="9"/>
  <c r="D97" i="9"/>
  <c r="B97" i="9"/>
  <c r="E96" i="9"/>
  <c r="D96" i="9"/>
  <c r="B96" i="9"/>
  <c r="E95" i="9"/>
  <c r="D95" i="9"/>
  <c r="B95" i="9"/>
  <c r="E94" i="9"/>
  <c r="D94" i="9"/>
  <c r="B94" i="9"/>
  <c r="E93" i="9"/>
  <c r="D93" i="9"/>
  <c r="B93" i="9"/>
  <c r="E92" i="9"/>
  <c r="D92" i="9"/>
  <c r="B92" i="9"/>
  <c r="E91" i="9"/>
  <c r="D91" i="9"/>
  <c r="B91" i="9"/>
  <c r="E90" i="9"/>
  <c r="D90" i="9"/>
  <c r="B90" i="9"/>
  <c r="E89" i="9"/>
  <c r="D89" i="9"/>
  <c r="B89" i="9"/>
  <c r="E88" i="9"/>
  <c r="D88" i="9"/>
  <c r="B88" i="9"/>
  <c r="E87" i="9"/>
  <c r="D87" i="9"/>
  <c r="B87" i="9"/>
  <c r="E86" i="9"/>
  <c r="D86" i="9"/>
  <c r="B86" i="9"/>
  <c r="E85" i="9"/>
  <c r="D85" i="9"/>
  <c r="B85" i="9"/>
  <c r="E84" i="9"/>
  <c r="D84" i="9"/>
  <c r="B84" i="9"/>
  <c r="E83" i="9"/>
  <c r="D83" i="9"/>
  <c r="B83" i="9"/>
  <c r="E82" i="9"/>
  <c r="D82" i="9"/>
  <c r="B82" i="9"/>
  <c r="E81" i="9"/>
  <c r="D81" i="9"/>
  <c r="B81" i="9"/>
  <c r="E80" i="9"/>
  <c r="D80" i="9"/>
  <c r="B80" i="9"/>
  <c r="E79" i="9"/>
  <c r="D79" i="9"/>
  <c r="B79" i="9"/>
  <c r="E78" i="9"/>
  <c r="D78" i="9"/>
  <c r="B78" i="9"/>
  <c r="E77" i="9"/>
  <c r="D77" i="9"/>
  <c r="B77" i="9"/>
  <c r="E76" i="9"/>
  <c r="D76" i="9"/>
  <c r="B76" i="9"/>
  <c r="E75" i="9"/>
  <c r="D75" i="9"/>
  <c r="B75" i="9"/>
  <c r="E74" i="9"/>
  <c r="D74" i="9"/>
  <c r="B74" i="9"/>
  <c r="E73" i="9"/>
  <c r="D73" i="9"/>
  <c r="B73" i="9"/>
  <c r="E72" i="9"/>
  <c r="D72" i="9"/>
  <c r="B72" i="9"/>
  <c r="E71" i="9"/>
  <c r="D71" i="9"/>
  <c r="B71" i="9"/>
  <c r="E70" i="9"/>
  <c r="D70" i="9"/>
  <c r="B70" i="9"/>
  <c r="E69" i="9"/>
  <c r="D69" i="9"/>
  <c r="B69" i="9"/>
  <c r="E68" i="9"/>
  <c r="D68" i="9"/>
  <c r="B68" i="9"/>
  <c r="E67" i="9"/>
  <c r="D67" i="9"/>
  <c r="B67" i="9"/>
  <c r="E66" i="9"/>
  <c r="D66" i="9"/>
  <c r="B66" i="9"/>
  <c r="E65" i="9"/>
  <c r="D65" i="9"/>
  <c r="B65" i="9"/>
  <c r="E64" i="9"/>
  <c r="D64" i="9"/>
  <c r="B64" i="9"/>
  <c r="E63" i="9"/>
  <c r="D63" i="9"/>
  <c r="B63" i="9"/>
  <c r="E62" i="9"/>
  <c r="D62" i="9"/>
  <c r="B62" i="9"/>
  <c r="E61" i="9"/>
  <c r="D61" i="9"/>
  <c r="B61" i="9"/>
  <c r="E60" i="9"/>
  <c r="D60" i="9"/>
  <c r="B60" i="9"/>
  <c r="E59" i="9"/>
  <c r="D59" i="9"/>
  <c r="B59" i="9"/>
  <c r="E58" i="9"/>
  <c r="D58" i="9"/>
  <c r="B58" i="9"/>
  <c r="E57" i="9"/>
  <c r="D57" i="9"/>
  <c r="B57" i="9"/>
  <c r="E56" i="9"/>
  <c r="D56" i="9"/>
  <c r="B56" i="9"/>
  <c r="E55" i="9"/>
  <c r="D55" i="9"/>
  <c r="B55" i="9"/>
  <c r="E54" i="9"/>
  <c r="D54" i="9"/>
  <c r="B54" i="9"/>
  <c r="E53" i="9"/>
  <c r="D53" i="9"/>
  <c r="B53" i="9"/>
  <c r="E52" i="9"/>
  <c r="D52" i="9"/>
  <c r="B52" i="9"/>
  <c r="E51" i="9"/>
  <c r="D51" i="9"/>
  <c r="B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E44" i="9"/>
  <c r="D44" i="9"/>
  <c r="B44" i="9"/>
  <c r="E43" i="9"/>
  <c r="D43" i="9"/>
  <c r="B43" i="9"/>
  <c r="E42" i="9"/>
  <c r="D42" i="9"/>
  <c r="B42" i="9"/>
  <c r="E41" i="9"/>
  <c r="D41" i="9"/>
  <c r="B41" i="9"/>
  <c r="E40" i="9"/>
  <c r="D40" i="9"/>
  <c r="B40" i="9"/>
  <c r="E39" i="9"/>
  <c r="D39" i="9"/>
  <c r="B39" i="9"/>
  <c r="E38" i="9"/>
  <c r="D38" i="9"/>
  <c r="B38" i="9"/>
  <c r="E37" i="9"/>
  <c r="D37" i="9"/>
  <c r="B37" i="9"/>
  <c r="E36" i="9"/>
  <c r="D36" i="9"/>
  <c r="B36" i="9"/>
  <c r="E35" i="9"/>
  <c r="D35" i="9"/>
  <c r="B35" i="9"/>
  <c r="E34" i="9"/>
  <c r="D34" i="9"/>
  <c r="B34" i="9"/>
  <c r="E33" i="9"/>
  <c r="D33" i="9"/>
  <c r="B33" i="9"/>
  <c r="E32" i="9"/>
  <c r="D32" i="9"/>
  <c r="B32" i="9"/>
  <c r="E31" i="9"/>
  <c r="D31" i="9"/>
  <c r="B31" i="9"/>
  <c r="E30" i="9"/>
  <c r="D30" i="9"/>
  <c r="B30" i="9"/>
  <c r="E29" i="9"/>
  <c r="D29" i="9"/>
  <c r="B29" i="9"/>
  <c r="E28" i="9"/>
  <c r="D28" i="9"/>
  <c r="B28" i="9"/>
  <c r="E27" i="9"/>
  <c r="D27" i="9"/>
  <c r="B27" i="9"/>
  <c r="E26" i="9"/>
  <c r="D26" i="9"/>
  <c r="B26" i="9"/>
  <c r="E25" i="9"/>
  <c r="D25" i="9"/>
  <c r="B25" i="9"/>
  <c r="E24" i="9"/>
  <c r="D24" i="9"/>
  <c r="B24" i="9"/>
  <c r="E23" i="9"/>
  <c r="D23" i="9"/>
  <c r="B23" i="9"/>
  <c r="E22" i="9"/>
  <c r="D22" i="9"/>
  <c r="B22" i="9"/>
  <c r="E21" i="9"/>
  <c r="D21" i="9"/>
  <c r="B21" i="9"/>
  <c r="E20" i="9"/>
  <c r="D20" i="9"/>
  <c r="B20" i="9"/>
  <c r="E19" i="9"/>
  <c r="D19" i="9"/>
  <c r="B19" i="9"/>
  <c r="E18" i="9"/>
  <c r="D18" i="9"/>
  <c r="B18" i="9"/>
  <c r="E17" i="9"/>
  <c r="D17" i="9"/>
  <c r="B17" i="9"/>
  <c r="E16" i="9"/>
  <c r="D16" i="9"/>
  <c r="B16" i="9"/>
  <c r="E15" i="9"/>
  <c r="D15" i="9"/>
  <c r="B15" i="9"/>
  <c r="E14" i="9"/>
  <c r="D14" i="9"/>
  <c r="B14" i="9"/>
  <c r="E13" i="9"/>
  <c r="D13" i="9"/>
  <c r="B13" i="9"/>
  <c r="E12" i="9"/>
  <c r="D12" i="9"/>
  <c r="B12" i="9"/>
  <c r="E11" i="9"/>
  <c r="D11" i="9"/>
  <c r="B11" i="9"/>
  <c r="E10" i="9"/>
  <c r="D10" i="9"/>
  <c r="B10" i="9"/>
  <c r="E9" i="9"/>
  <c r="D9" i="9"/>
  <c r="B9" i="9"/>
  <c r="E8" i="9"/>
  <c r="D8" i="9"/>
  <c r="B8" i="9"/>
  <c r="E7" i="9"/>
  <c r="D7" i="9"/>
  <c r="B7" i="9"/>
  <c r="E6" i="9"/>
  <c r="D6" i="9"/>
  <c r="B6" i="9"/>
  <c r="E5" i="9"/>
  <c r="D5" i="9"/>
  <c r="B5" i="9"/>
  <c r="E4" i="9"/>
  <c r="D4" i="9"/>
  <c r="B4" i="9"/>
  <c r="E3" i="9"/>
  <c r="D3" i="9"/>
  <c r="B3" i="9"/>
  <c r="B743" i="8" l="1"/>
  <c r="B742" i="8"/>
  <c r="B741" i="8"/>
  <c r="B740" i="8"/>
  <c r="B739" i="8"/>
  <c r="B738" i="8"/>
  <c r="B737" i="8"/>
  <c r="B736" i="8"/>
  <c r="B735" i="8"/>
  <c r="E734" i="8"/>
  <c r="D734" i="8"/>
  <c r="B734" i="8"/>
  <c r="E733" i="8"/>
  <c r="D733" i="8"/>
  <c r="B733" i="8"/>
  <c r="E732" i="8"/>
  <c r="D732" i="8"/>
  <c r="B732" i="8"/>
  <c r="E731" i="8"/>
  <c r="D731" i="8"/>
  <c r="B731" i="8"/>
  <c r="E730" i="8"/>
  <c r="D730" i="8"/>
  <c r="B730" i="8"/>
  <c r="E729" i="8"/>
  <c r="D729" i="8"/>
  <c r="B729" i="8"/>
  <c r="E728" i="8"/>
  <c r="D728" i="8"/>
  <c r="B728" i="8"/>
  <c r="E727" i="8"/>
  <c r="D727" i="8"/>
  <c r="B727" i="8"/>
  <c r="E726" i="8"/>
  <c r="D726" i="8"/>
  <c r="B726" i="8"/>
  <c r="E725" i="8"/>
  <c r="D725" i="8"/>
  <c r="B725" i="8"/>
  <c r="E724" i="8"/>
  <c r="D724" i="8"/>
  <c r="B724" i="8"/>
  <c r="E723" i="8"/>
  <c r="D723" i="8"/>
  <c r="B723" i="8"/>
  <c r="E722" i="8"/>
  <c r="D722" i="8"/>
  <c r="B722" i="8"/>
  <c r="E721" i="8"/>
  <c r="D721" i="8"/>
  <c r="B721" i="8"/>
  <c r="E720" i="8"/>
  <c r="D720" i="8"/>
  <c r="B720" i="8"/>
  <c r="E719" i="8"/>
  <c r="D719" i="8"/>
  <c r="B719" i="8"/>
  <c r="E718" i="8"/>
  <c r="D718" i="8"/>
  <c r="B718" i="8"/>
  <c r="E717" i="8"/>
  <c r="D717" i="8"/>
  <c r="B717" i="8"/>
  <c r="E716" i="8"/>
  <c r="D716" i="8"/>
  <c r="B716" i="8"/>
  <c r="E715" i="8"/>
  <c r="D715" i="8"/>
  <c r="B715" i="8"/>
  <c r="E714" i="8"/>
  <c r="D714" i="8"/>
  <c r="B714" i="8"/>
  <c r="E713" i="8"/>
  <c r="D713" i="8"/>
  <c r="B713" i="8"/>
  <c r="E712" i="8"/>
  <c r="D712" i="8"/>
  <c r="B712" i="8"/>
  <c r="E711" i="8"/>
  <c r="D711" i="8"/>
  <c r="B711" i="8"/>
  <c r="E710" i="8"/>
  <c r="D710" i="8"/>
  <c r="B710" i="8"/>
  <c r="E709" i="8"/>
  <c r="D709" i="8"/>
  <c r="B709" i="8"/>
  <c r="E708" i="8"/>
  <c r="D708" i="8"/>
  <c r="B708" i="8"/>
  <c r="E707" i="8"/>
  <c r="D707" i="8"/>
  <c r="B707" i="8"/>
  <c r="E706" i="8"/>
  <c r="D706" i="8"/>
  <c r="B706" i="8"/>
  <c r="E705" i="8"/>
  <c r="D705" i="8"/>
  <c r="B705" i="8"/>
  <c r="E704" i="8"/>
  <c r="D704" i="8"/>
  <c r="B704" i="8"/>
  <c r="E703" i="8"/>
  <c r="D703" i="8"/>
  <c r="B703" i="8"/>
  <c r="E702" i="8"/>
  <c r="D702" i="8"/>
  <c r="B702" i="8"/>
  <c r="E701" i="8"/>
  <c r="D701" i="8"/>
  <c r="B701" i="8"/>
  <c r="E700" i="8"/>
  <c r="D700" i="8"/>
  <c r="B700" i="8"/>
  <c r="E699" i="8"/>
  <c r="D699" i="8"/>
  <c r="B699" i="8"/>
  <c r="E698" i="8"/>
  <c r="D698" i="8"/>
  <c r="B698" i="8"/>
  <c r="E697" i="8"/>
  <c r="D697" i="8"/>
  <c r="B697" i="8"/>
  <c r="E696" i="8"/>
  <c r="D696" i="8"/>
  <c r="B696" i="8"/>
  <c r="E695" i="8"/>
  <c r="D695" i="8"/>
  <c r="B695" i="8"/>
  <c r="E694" i="8"/>
  <c r="D694" i="8"/>
  <c r="B694" i="8"/>
  <c r="E693" i="8"/>
  <c r="D693" i="8"/>
  <c r="B693" i="8"/>
  <c r="E692" i="8"/>
  <c r="D692" i="8"/>
  <c r="B692" i="8"/>
  <c r="E691" i="8"/>
  <c r="D691" i="8"/>
  <c r="B691" i="8"/>
  <c r="E690" i="8"/>
  <c r="D690" i="8"/>
  <c r="B690" i="8"/>
  <c r="E689" i="8"/>
  <c r="D689" i="8"/>
  <c r="B689" i="8"/>
  <c r="E688" i="8"/>
  <c r="D688" i="8"/>
  <c r="B688" i="8"/>
  <c r="E687" i="8"/>
  <c r="D687" i="8"/>
  <c r="B687" i="8"/>
  <c r="E686" i="8"/>
  <c r="D686" i="8"/>
  <c r="B686" i="8"/>
  <c r="E685" i="8"/>
  <c r="D685" i="8"/>
  <c r="B685" i="8"/>
  <c r="E684" i="8"/>
  <c r="D684" i="8"/>
  <c r="B684" i="8"/>
  <c r="E683" i="8"/>
  <c r="D683" i="8"/>
  <c r="B683" i="8"/>
  <c r="E682" i="8"/>
  <c r="D682" i="8"/>
  <c r="B682" i="8"/>
  <c r="E681" i="8"/>
  <c r="D681" i="8"/>
  <c r="B681" i="8"/>
  <c r="E680" i="8"/>
  <c r="D680" i="8"/>
  <c r="B680" i="8"/>
  <c r="E679" i="8"/>
  <c r="D679" i="8"/>
  <c r="B679" i="8"/>
  <c r="E678" i="8"/>
  <c r="D678" i="8"/>
  <c r="B678" i="8"/>
  <c r="E677" i="8"/>
  <c r="D677" i="8"/>
  <c r="B677" i="8"/>
  <c r="E676" i="8"/>
  <c r="D676" i="8"/>
  <c r="B676" i="8"/>
  <c r="E675" i="8"/>
  <c r="D675" i="8"/>
  <c r="B675" i="8"/>
  <c r="E674" i="8"/>
  <c r="D674" i="8"/>
  <c r="B674" i="8"/>
  <c r="E673" i="8"/>
  <c r="D673" i="8"/>
  <c r="B673" i="8"/>
  <c r="E672" i="8"/>
  <c r="D672" i="8"/>
  <c r="B672" i="8"/>
  <c r="E671" i="8"/>
  <c r="D671" i="8"/>
  <c r="B671" i="8"/>
  <c r="E670" i="8"/>
  <c r="D670" i="8"/>
  <c r="B670" i="8"/>
  <c r="E669" i="8"/>
  <c r="D669" i="8"/>
  <c r="B669" i="8"/>
  <c r="E668" i="8"/>
  <c r="D668" i="8"/>
  <c r="B668" i="8"/>
  <c r="E667" i="8"/>
  <c r="D667" i="8"/>
  <c r="B667" i="8"/>
  <c r="E666" i="8"/>
  <c r="D666" i="8"/>
  <c r="B666" i="8"/>
  <c r="E665" i="8"/>
  <c r="D665" i="8"/>
  <c r="B665" i="8"/>
  <c r="E664" i="8"/>
  <c r="D664" i="8"/>
  <c r="B664" i="8"/>
  <c r="E663" i="8"/>
  <c r="D663" i="8"/>
  <c r="B663" i="8"/>
  <c r="E662" i="8"/>
  <c r="D662" i="8"/>
  <c r="B662" i="8"/>
  <c r="E661" i="8"/>
  <c r="D661" i="8"/>
  <c r="B661" i="8"/>
  <c r="E660" i="8"/>
  <c r="D660" i="8"/>
  <c r="B660" i="8"/>
  <c r="E659" i="8"/>
  <c r="D659" i="8"/>
  <c r="B659" i="8"/>
  <c r="E658" i="8"/>
  <c r="D658" i="8"/>
  <c r="B658" i="8"/>
  <c r="E657" i="8"/>
  <c r="D657" i="8"/>
  <c r="B657" i="8"/>
  <c r="E656" i="8"/>
  <c r="D656" i="8"/>
  <c r="B656" i="8"/>
  <c r="E655" i="8"/>
  <c r="D655" i="8"/>
  <c r="B655" i="8"/>
  <c r="E654" i="8"/>
  <c r="D654" i="8"/>
  <c r="B654" i="8"/>
  <c r="E653" i="8"/>
  <c r="D653" i="8"/>
  <c r="B653" i="8"/>
  <c r="E652" i="8"/>
  <c r="D652" i="8"/>
  <c r="B652" i="8"/>
  <c r="E651" i="8"/>
  <c r="D651" i="8"/>
  <c r="B651" i="8"/>
  <c r="E650" i="8"/>
  <c r="D650" i="8"/>
  <c r="B650" i="8"/>
  <c r="E649" i="8"/>
  <c r="D649" i="8"/>
  <c r="B649" i="8"/>
  <c r="E648" i="8"/>
  <c r="D648" i="8"/>
  <c r="B648" i="8"/>
  <c r="E647" i="8"/>
  <c r="D647" i="8"/>
  <c r="B647" i="8"/>
  <c r="E646" i="8"/>
  <c r="D646" i="8"/>
  <c r="B646" i="8"/>
  <c r="E645" i="8"/>
  <c r="D645" i="8"/>
  <c r="B645" i="8"/>
  <c r="E644" i="8"/>
  <c r="D644" i="8"/>
  <c r="B644" i="8"/>
  <c r="E643" i="8"/>
  <c r="D643" i="8"/>
  <c r="B643" i="8"/>
  <c r="E642" i="8"/>
  <c r="D642" i="8"/>
  <c r="B642" i="8"/>
  <c r="E641" i="8"/>
  <c r="D641" i="8"/>
  <c r="B641" i="8"/>
  <c r="E640" i="8"/>
  <c r="D640" i="8"/>
  <c r="B640" i="8"/>
  <c r="E639" i="8"/>
  <c r="D639" i="8"/>
  <c r="B639" i="8"/>
  <c r="E638" i="8"/>
  <c r="D638" i="8"/>
  <c r="B638" i="8"/>
  <c r="E637" i="8"/>
  <c r="D637" i="8"/>
  <c r="B637" i="8"/>
  <c r="E636" i="8"/>
  <c r="D636" i="8"/>
  <c r="B636" i="8"/>
  <c r="E635" i="8"/>
  <c r="D635" i="8"/>
  <c r="B635" i="8"/>
  <c r="E634" i="8"/>
  <c r="D634" i="8"/>
  <c r="B634" i="8"/>
  <c r="E633" i="8"/>
  <c r="D633" i="8"/>
  <c r="B633" i="8"/>
  <c r="E632" i="8"/>
  <c r="D632" i="8"/>
  <c r="B632" i="8"/>
  <c r="E631" i="8"/>
  <c r="D631" i="8"/>
  <c r="B631" i="8"/>
  <c r="E630" i="8"/>
  <c r="D630" i="8"/>
  <c r="B630" i="8"/>
  <c r="E629" i="8"/>
  <c r="D629" i="8"/>
  <c r="B629" i="8"/>
  <c r="E628" i="8"/>
  <c r="D628" i="8"/>
  <c r="B628" i="8"/>
  <c r="E627" i="8"/>
  <c r="D627" i="8"/>
  <c r="B627" i="8"/>
  <c r="E626" i="8"/>
  <c r="D626" i="8"/>
  <c r="B626" i="8"/>
  <c r="E625" i="8"/>
  <c r="D625" i="8"/>
  <c r="B625" i="8"/>
  <c r="E624" i="8"/>
  <c r="D624" i="8"/>
  <c r="B624" i="8"/>
  <c r="E623" i="8"/>
  <c r="D623" i="8"/>
  <c r="B623" i="8"/>
  <c r="E622" i="8"/>
  <c r="D622" i="8"/>
  <c r="B622" i="8"/>
  <c r="E621" i="8"/>
  <c r="D621" i="8"/>
  <c r="B621" i="8"/>
  <c r="E620" i="8"/>
  <c r="D620" i="8"/>
  <c r="B620" i="8"/>
  <c r="E619" i="8"/>
  <c r="D619" i="8"/>
  <c r="B619" i="8"/>
  <c r="E618" i="8"/>
  <c r="D618" i="8"/>
  <c r="B618" i="8"/>
  <c r="E617" i="8"/>
  <c r="D617" i="8"/>
  <c r="B617" i="8"/>
  <c r="E616" i="8"/>
  <c r="D616" i="8"/>
  <c r="B616" i="8"/>
  <c r="E615" i="8"/>
  <c r="D615" i="8"/>
  <c r="B615" i="8"/>
  <c r="E614" i="8"/>
  <c r="D614" i="8"/>
  <c r="B614" i="8"/>
  <c r="E613" i="8"/>
  <c r="D613" i="8"/>
  <c r="B613" i="8"/>
  <c r="E612" i="8"/>
  <c r="D612" i="8"/>
  <c r="B612" i="8"/>
  <c r="E611" i="8"/>
  <c r="D611" i="8"/>
  <c r="B611" i="8"/>
  <c r="E610" i="8"/>
  <c r="D610" i="8"/>
  <c r="B610" i="8"/>
  <c r="E609" i="8"/>
  <c r="D609" i="8"/>
  <c r="B609" i="8"/>
  <c r="E608" i="8"/>
  <c r="D608" i="8"/>
  <c r="B608" i="8"/>
  <c r="E607" i="8"/>
  <c r="D607" i="8"/>
  <c r="B607" i="8"/>
  <c r="E606" i="8"/>
  <c r="D606" i="8"/>
  <c r="B606" i="8"/>
  <c r="E605" i="8"/>
  <c r="D605" i="8"/>
  <c r="B605" i="8"/>
  <c r="E604" i="8"/>
  <c r="D604" i="8"/>
  <c r="B604" i="8"/>
  <c r="E603" i="8"/>
  <c r="D603" i="8"/>
  <c r="B603" i="8"/>
  <c r="E602" i="8"/>
  <c r="D602" i="8"/>
  <c r="B602" i="8"/>
  <c r="E601" i="8"/>
  <c r="D601" i="8"/>
  <c r="B601" i="8"/>
  <c r="E600" i="8"/>
  <c r="D600" i="8"/>
  <c r="B600" i="8"/>
  <c r="E599" i="8"/>
  <c r="D599" i="8"/>
  <c r="B599" i="8"/>
  <c r="E598" i="8"/>
  <c r="D598" i="8"/>
  <c r="B598" i="8"/>
  <c r="E597" i="8"/>
  <c r="D597" i="8"/>
  <c r="B597" i="8"/>
  <c r="E596" i="8"/>
  <c r="D596" i="8"/>
  <c r="B596" i="8"/>
  <c r="E595" i="8"/>
  <c r="D595" i="8"/>
  <c r="B595" i="8"/>
  <c r="E594" i="8"/>
  <c r="D594" i="8"/>
  <c r="B594" i="8"/>
  <c r="E593" i="8"/>
  <c r="D593" i="8"/>
  <c r="B593" i="8"/>
  <c r="E592" i="8"/>
  <c r="D592" i="8"/>
  <c r="B592" i="8"/>
  <c r="E591" i="8"/>
  <c r="D591" i="8"/>
  <c r="B591" i="8"/>
  <c r="E590" i="8"/>
  <c r="D590" i="8"/>
  <c r="B590" i="8"/>
  <c r="E589" i="8"/>
  <c r="D589" i="8"/>
  <c r="B589" i="8"/>
  <c r="E588" i="8"/>
  <c r="D588" i="8"/>
  <c r="B588" i="8"/>
  <c r="E587" i="8"/>
  <c r="D587" i="8"/>
  <c r="B587" i="8"/>
  <c r="E586" i="8"/>
  <c r="D586" i="8"/>
  <c r="B586" i="8"/>
  <c r="E585" i="8"/>
  <c r="D585" i="8"/>
  <c r="B585" i="8"/>
  <c r="E584" i="8"/>
  <c r="D584" i="8"/>
  <c r="B584" i="8"/>
  <c r="E583" i="8"/>
  <c r="D583" i="8"/>
  <c r="B583" i="8"/>
  <c r="E582" i="8"/>
  <c r="D582" i="8"/>
  <c r="B582" i="8"/>
  <c r="E581" i="8"/>
  <c r="D581" i="8"/>
  <c r="B581" i="8"/>
  <c r="E580" i="8"/>
  <c r="D580" i="8"/>
  <c r="B580" i="8"/>
  <c r="E579" i="8"/>
  <c r="D579" i="8"/>
  <c r="B579" i="8"/>
  <c r="E578" i="8"/>
  <c r="D578" i="8"/>
  <c r="B578" i="8"/>
  <c r="E577" i="8"/>
  <c r="D577" i="8"/>
  <c r="B577" i="8"/>
  <c r="E576" i="8"/>
  <c r="D576" i="8"/>
  <c r="B576" i="8"/>
  <c r="E575" i="8"/>
  <c r="D575" i="8"/>
  <c r="B575" i="8"/>
  <c r="E574" i="8"/>
  <c r="D574" i="8"/>
  <c r="B574" i="8"/>
  <c r="E573" i="8"/>
  <c r="D573" i="8"/>
  <c r="B573" i="8"/>
  <c r="E572" i="8"/>
  <c r="D572" i="8"/>
  <c r="B572" i="8"/>
  <c r="E571" i="8"/>
  <c r="D571" i="8"/>
  <c r="B571" i="8"/>
  <c r="E570" i="8"/>
  <c r="D570" i="8"/>
  <c r="B570" i="8"/>
  <c r="E569" i="8"/>
  <c r="D569" i="8"/>
  <c r="B569" i="8"/>
  <c r="E568" i="8"/>
  <c r="D568" i="8"/>
  <c r="B568" i="8"/>
  <c r="E567" i="8"/>
  <c r="D567" i="8"/>
  <c r="B567" i="8"/>
  <c r="E566" i="8"/>
  <c r="D566" i="8"/>
  <c r="B566" i="8"/>
  <c r="E565" i="8"/>
  <c r="D565" i="8"/>
  <c r="B565" i="8"/>
  <c r="E564" i="8"/>
  <c r="D564" i="8"/>
  <c r="B564" i="8"/>
  <c r="E563" i="8"/>
  <c r="D563" i="8"/>
  <c r="B563" i="8"/>
  <c r="E562" i="8"/>
  <c r="D562" i="8"/>
  <c r="B562" i="8"/>
  <c r="E561" i="8"/>
  <c r="D561" i="8"/>
  <c r="B561" i="8"/>
  <c r="E560" i="8"/>
  <c r="D560" i="8"/>
  <c r="B560" i="8"/>
  <c r="E559" i="8"/>
  <c r="D559" i="8"/>
  <c r="B559" i="8"/>
  <c r="E558" i="8"/>
  <c r="D558" i="8"/>
  <c r="B558" i="8"/>
  <c r="E557" i="8"/>
  <c r="D557" i="8"/>
  <c r="B557" i="8"/>
  <c r="E556" i="8"/>
  <c r="D556" i="8"/>
  <c r="B556" i="8"/>
  <c r="E555" i="8"/>
  <c r="D555" i="8"/>
  <c r="B555" i="8"/>
  <c r="E554" i="8"/>
  <c r="D554" i="8"/>
  <c r="B554" i="8"/>
  <c r="E553" i="8"/>
  <c r="D553" i="8"/>
  <c r="B553" i="8"/>
  <c r="E552" i="8"/>
  <c r="D552" i="8"/>
  <c r="B552" i="8"/>
  <c r="E551" i="8"/>
  <c r="D551" i="8"/>
  <c r="B551" i="8"/>
  <c r="E550" i="8"/>
  <c r="D550" i="8"/>
  <c r="B550" i="8"/>
  <c r="E549" i="8"/>
  <c r="D549" i="8"/>
  <c r="B549" i="8"/>
  <c r="E548" i="8"/>
  <c r="D548" i="8"/>
  <c r="B548" i="8"/>
  <c r="E547" i="8"/>
  <c r="D547" i="8"/>
  <c r="B547" i="8"/>
  <c r="E546" i="8"/>
  <c r="D546" i="8"/>
  <c r="B546" i="8"/>
  <c r="E545" i="8"/>
  <c r="D545" i="8"/>
  <c r="B545" i="8"/>
  <c r="E544" i="8"/>
  <c r="D544" i="8"/>
  <c r="B544" i="8"/>
  <c r="E543" i="8"/>
  <c r="D543" i="8"/>
  <c r="B543" i="8"/>
  <c r="E542" i="8"/>
  <c r="D542" i="8"/>
  <c r="B542" i="8"/>
  <c r="E541" i="8"/>
  <c r="D541" i="8"/>
  <c r="B541" i="8"/>
  <c r="E540" i="8"/>
  <c r="D540" i="8"/>
  <c r="B540" i="8"/>
  <c r="E539" i="8"/>
  <c r="D539" i="8"/>
  <c r="B539" i="8"/>
  <c r="E538" i="8"/>
  <c r="D538" i="8"/>
  <c r="B538" i="8"/>
  <c r="E537" i="8"/>
  <c r="D537" i="8"/>
  <c r="B537" i="8"/>
  <c r="E536" i="8"/>
  <c r="D536" i="8"/>
  <c r="B536" i="8"/>
  <c r="E535" i="8"/>
  <c r="D535" i="8"/>
  <c r="B535" i="8"/>
  <c r="E534" i="8"/>
  <c r="D534" i="8"/>
  <c r="B534" i="8"/>
  <c r="E533" i="8"/>
  <c r="D533" i="8"/>
  <c r="B533" i="8"/>
  <c r="E532" i="8"/>
  <c r="D532" i="8"/>
  <c r="B532" i="8"/>
  <c r="E531" i="8"/>
  <c r="D531" i="8"/>
  <c r="B531" i="8"/>
  <c r="E530" i="8"/>
  <c r="D530" i="8"/>
  <c r="B530" i="8"/>
  <c r="E529" i="8"/>
  <c r="D529" i="8"/>
  <c r="B529" i="8"/>
  <c r="E528" i="8"/>
  <c r="D528" i="8"/>
  <c r="B528" i="8"/>
  <c r="E527" i="8"/>
  <c r="D527" i="8"/>
  <c r="B527" i="8"/>
  <c r="E526" i="8"/>
  <c r="D526" i="8"/>
  <c r="B526" i="8"/>
  <c r="E525" i="8"/>
  <c r="D525" i="8"/>
  <c r="B525" i="8"/>
  <c r="E524" i="8"/>
  <c r="D524" i="8"/>
  <c r="B524" i="8"/>
  <c r="E523" i="8"/>
  <c r="D523" i="8"/>
  <c r="B523" i="8"/>
  <c r="E522" i="8"/>
  <c r="D522" i="8"/>
  <c r="B522" i="8"/>
  <c r="E521" i="8"/>
  <c r="D521" i="8"/>
  <c r="B521" i="8"/>
  <c r="E520" i="8"/>
  <c r="D520" i="8"/>
  <c r="B520" i="8"/>
  <c r="E519" i="8"/>
  <c r="D519" i="8"/>
  <c r="B519" i="8"/>
  <c r="E518" i="8"/>
  <c r="D518" i="8"/>
  <c r="B518" i="8"/>
  <c r="E517" i="8"/>
  <c r="D517" i="8"/>
  <c r="B517" i="8"/>
  <c r="E516" i="8"/>
  <c r="D516" i="8"/>
  <c r="B516" i="8"/>
  <c r="E515" i="8"/>
  <c r="D515" i="8"/>
  <c r="B515" i="8"/>
  <c r="E514" i="8"/>
  <c r="D514" i="8"/>
  <c r="B514" i="8"/>
  <c r="E513" i="8"/>
  <c r="D513" i="8"/>
  <c r="B513" i="8"/>
  <c r="E512" i="8"/>
  <c r="D512" i="8"/>
  <c r="B512" i="8"/>
  <c r="E511" i="8"/>
  <c r="D511" i="8"/>
  <c r="B511" i="8"/>
  <c r="E510" i="8"/>
  <c r="D510" i="8"/>
  <c r="B510" i="8"/>
  <c r="E509" i="8"/>
  <c r="D509" i="8"/>
  <c r="B509" i="8"/>
  <c r="E508" i="8"/>
  <c r="D508" i="8"/>
  <c r="B508" i="8"/>
  <c r="E507" i="8"/>
  <c r="D507" i="8"/>
  <c r="B507" i="8"/>
  <c r="E506" i="8"/>
  <c r="D506" i="8"/>
  <c r="B506" i="8"/>
  <c r="E505" i="8"/>
  <c r="D505" i="8"/>
  <c r="B505" i="8"/>
  <c r="E504" i="8"/>
  <c r="D504" i="8"/>
  <c r="B504" i="8"/>
  <c r="E503" i="8"/>
  <c r="D503" i="8"/>
  <c r="B503" i="8"/>
  <c r="E502" i="8"/>
  <c r="D502" i="8"/>
  <c r="B502" i="8"/>
  <c r="E501" i="8"/>
  <c r="D501" i="8"/>
  <c r="B501" i="8"/>
  <c r="E500" i="8"/>
  <c r="D500" i="8"/>
  <c r="B500" i="8"/>
  <c r="E499" i="8"/>
  <c r="D499" i="8"/>
  <c r="B499" i="8"/>
  <c r="E498" i="8"/>
  <c r="D498" i="8"/>
  <c r="B498" i="8"/>
  <c r="E497" i="8"/>
  <c r="D497" i="8"/>
  <c r="B497" i="8"/>
  <c r="E496" i="8"/>
  <c r="D496" i="8"/>
  <c r="B496" i="8"/>
  <c r="E495" i="8"/>
  <c r="D495" i="8"/>
  <c r="B495" i="8"/>
  <c r="E494" i="8"/>
  <c r="D494" i="8"/>
  <c r="B494" i="8"/>
  <c r="E493" i="8"/>
  <c r="D493" i="8"/>
  <c r="B493" i="8"/>
  <c r="E492" i="8"/>
  <c r="D492" i="8"/>
  <c r="B492" i="8"/>
  <c r="E491" i="8"/>
  <c r="D491" i="8"/>
  <c r="B491" i="8"/>
  <c r="E490" i="8"/>
  <c r="D490" i="8"/>
  <c r="B490" i="8"/>
  <c r="E489" i="8"/>
  <c r="D489" i="8"/>
  <c r="B489" i="8"/>
  <c r="E488" i="8"/>
  <c r="D488" i="8"/>
  <c r="B488" i="8"/>
  <c r="E487" i="8"/>
  <c r="D487" i="8"/>
  <c r="B487" i="8"/>
  <c r="E486" i="8"/>
  <c r="D486" i="8"/>
  <c r="B486" i="8"/>
  <c r="E485" i="8"/>
  <c r="D485" i="8"/>
  <c r="B485" i="8"/>
  <c r="E484" i="8"/>
  <c r="D484" i="8"/>
  <c r="B484" i="8"/>
  <c r="E483" i="8"/>
  <c r="D483" i="8"/>
  <c r="B483" i="8"/>
  <c r="E482" i="8"/>
  <c r="D482" i="8"/>
  <c r="B482" i="8"/>
  <c r="E481" i="8"/>
  <c r="D481" i="8"/>
  <c r="B481" i="8"/>
  <c r="E480" i="8"/>
  <c r="D480" i="8"/>
  <c r="B480" i="8"/>
  <c r="E479" i="8"/>
  <c r="D479" i="8"/>
  <c r="B479" i="8"/>
  <c r="E478" i="8"/>
  <c r="D478" i="8"/>
  <c r="B478" i="8"/>
  <c r="E477" i="8"/>
  <c r="D477" i="8"/>
  <c r="B477" i="8"/>
  <c r="E476" i="8"/>
  <c r="D476" i="8"/>
  <c r="B476" i="8"/>
  <c r="E475" i="8"/>
  <c r="D475" i="8"/>
  <c r="B475" i="8"/>
  <c r="E474" i="8"/>
  <c r="D474" i="8"/>
  <c r="B474" i="8"/>
  <c r="E473" i="8"/>
  <c r="D473" i="8"/>
  <c r="B473" i="8"/>
  <c r="E472" i="8"/>
  <c r="D472" i="8"/>
  <c r="B472" i="8"/>
  <c r="E471" i="8"/>
  <c r="D471" i="8"/>
  <c r="B471" i="8"/>
  <c r="E470" i="8"/>
  <c r="D470" i="8"/>
  <c r="B470" i="8"/>
  <c r="E469" i="8"/>
  <c r="D469" i="8"/>
  <c r="B469" i="8"/>
  <c r="E468" i="8"/>
  <c r="D468" i="8"/>
  <c r="B468" i="8"/>
  <c r="E467" i="8"/>
  <c r="D467" i="8"/>
  <c r="B467" i="8"/>
  <c r="E466" i="8"/>
  <c r="D466" i="8"/>
  <c r="B466" i="8"/>
  <c r="E465" i="8"/>
  <c r="D465" i="8"/>
  <c r="B465" i="8"/>
  <c r="E464" i="8"/>
  <c r="D464" i="8"/>
  <c r="B464" i="8"/>
  <c r="E463" i="8"/>
  <c r="D463" i="8"/>
  <c r="B463" i="8"/>
  <c r="E462" i="8"/>
  <c r="D462" i="8"/>
  <c r="B462" i="8"/>
  <c r="E461" i="8"/>
  <c r="D461" i="8"/>
  <c r="B461" i="8"/>
  <c r="E460" i="8"/>
  <c r="D460" i="8"/>
  <c r="B460" i="8"/>
  <c r="E459" i="8"/>
  <c r="D459" i="8"/>
  <c r="B459" i="8"/>
  <c r="E458" i="8"/>
  <c r="D458" i="8"/>
  <c r="B458" i="8"/>
  <c r="E457" i="8"/>
  <c r="D457" i="8"/>
  <c r="B457" i="8"/>
  <c r="E456" i="8"/>
  <c r="D456" i="8"/>
  <c r="B456" i="8"/>
  <c r="E455" i="8"/>
  <c r="D455" i="8"/>
  <c r="B455" i="8"/>
  <c r="E454" i="8"/>
  <c r="D454" i="8"/>
  <c r="B454" i="8"/>
  <c r="E453" i="8"/>
  <c r="D453" i="8"/>
  <c r="B453" i="8"/>
  <c r="E452" i="8"/>
  <c r="D452" i="8"/>
  <c r="B452" i="8"/>
  <c r="E451" i="8"/>
  <c r="D451" i="8"/>
  <c r="B451" i="8"/>
  <c r="E450" i="8"/>
  <c r="D450" i="8"/>
  <c r="B450" i="8"/>
  <c r="E449" i="8"/>
  <c r="D449" i="8"/>
  <c r="B449" i="8"/>
  <c r="E448" i="8"/>
  <c r="D448" i="8"/>
  <c r="B448" i="8"/>
  <c r="E447" i="8"/>
  <c r="D447" i="8"/>
  <c r="B447" i="8"/>
  <c r="E446" i="8"/>
  <c r="D446" i="8"/>
  <c r="B446" i="8"/>
  <c r="E445" i="8"/>
  <c r="D445" i="8"/>
  <c r="B445" i="8"/>
  <c r="E444" i="8"/>
  <c r="D444" i="8"/>
  <c r="B444" i="8"/>
  <c r="E443" i="8"/>
  <c r="D443" i="8"/>
  <c r="B443" i="8"/>
  <c r="E442" i="8"/>
  <c r="D442" i="8"/>
  <c r="B442" i="8"/>
  <c r="E441" i="8"/>
  <c r="D441" i="8"/>
  <c r="B441" i="8"/>
  <c r="E440" i="8"/>
  <c r="D440" i="8"/>
  <c r="B440" i="8"/>
  <c r="E439" i="8"/>
  <c r="D439" i="8"/>
  <c r="B439" i="8"/>
  <c r="E438" i="8"/>
  <c r="D438" i="8"/>
  <c r="B438" i="8"/>
  <c r="E437" i="8"/>
  <c r="D437" i="8"/>
  <c r="B437" i="8"/>
  <c r="E436" i="8"/>
  <c r="D436" i="8"/>
  <c r="B436" i="8"/>
  <c r="E435" i="8"/>
  <c r="D435" i="8"/>
  <c r="B435" i="8"/>
  <c r="E434" i="8"/>
  <c r="D434" i="8"/>
  <c r="B434" i="8"/>
  <c r="E433" i="8"/>
  <c r="D433" i="8"/>
  <c r="B433" i="8"/>
  <c r="E432" i="8"/>
  <c r="D432" i="8"/>
  <c r="B432" i="8"/>
  <c r="E431" i="8"/>
  <c r="D431" i="8"/>
  <c r="B431" i="8"/>
  <c r="E430" i="8"/>
  <c r="D430" i="8"/>
  <c r="B430" i="8"/>
  <c r="E429" i="8"/>
  <c r="D429" i="8"/>
  <c r="B429" i="8"/>
  <c r="E428" i="8"/>
  <c r="D428" i="8"/>
  <c r="B428" i="8"/>
  <c r="E427" i="8"/>
  <c r="D427" i="8"/>
  <c r="B427" i="8"/>
  <c r="E426" i="8"/>
  <c r="D426" i="8"/>
  <c r="B426" i="8"/>
  <c r="E425" i="8"/>
  <c r="D425" i="8"/>
  <c r="B425" i="8"/>
  <c r="E424" i="8"/>
  <c r="D424" i="8"/>
  <c r="B424" i="8"/>
  <c r="E423" i="8"/>
  <c r="D423" i="8"/>
  <c r="B423" i="8"/>
  <c r="E422" i="8"/>
  <c r="D422" i="8"/>
  <c r="B422" i="8"/>
  <c r="E421" i="8"/>
  <c r="D421" i="8"/>
  <c r="B421" i="8"/>
  <c r="E420" i="8"/>
  <c r="D420" i="8"/>
  <c r="B420" i="8"/>
  <c r="E419" i="8"/>
  <c r="D419" i="8"/>
  <c r="B419" i="8"/>
  <c r="E418" i="8"/>
  <c r="D418" i="8"/>
  <c r="B418" i="8"/>
  <c r="E417" i="8"/>
  <c r="D417" i="8"/>
  <c r="B417" i="8"/>
  <c r="E416" i="8"/>
  <c r="D416" i="8"/>
  <c r="B416" i="8"/>
  <c r="E415" i="8"/>
  <c r="D415" i="8"/>
  <c r="B415" i="8"/>
  <c r="E414" i="8"/>
  <c r="D414" i="8"/>
  <c r="B414" i="8"/>
  <c r="E413" i="8"/>
  <c r="D413" i="8"/>
  <c r="B413" i="8"/>
  <c r="E412" i="8"/>
  <c r="D412" i="8"/>
  <c r="B412" i="8"/>
  <c r="E411" i="8"/>
  <c r="D411" i="8"/>
  <c r="B411" i="8"/>
  <c r="E410" i="8"/>
  <c r="D410" i="8"/>
  <c r="B410" i="8"/>
  <c r="E409" i="8"/>
  <c r="D409" i="8"/>
  <c r="B409" i="8"/>
  <c r="E408" i="8"/>
  <c r="D408" i="8"/>
  <c r="B408" i="8"/>
  <c r="E407" i="8"/>
  <c r="D407" i="8"/>
  <c r="B407" i="8"/>
  <c r="E406" i="8"/>
  <c r="D406" i="8"/>
  <c r="B406" i="8"/>
  <c r="E405" i="8"/>
  <c r="D405" i="8"/>
  <c r="B405" i="8"/>
  <c r="E404" i="8"/>
  <c r="D404" i="8"/>
  <c r="B404" i="8"/>
  <c r="E403" i="8"/>
  <c r="D403" i="8"/>
  <c r="B403" i="8"/>
  <c r="E402" i="8"/>
  <c r="D402" i="8"/>
  <c r="B402" i="8"/>
  <c r="E401" i="8"/>
  <c r="D401" i="8"/>
  <c r="B401" i="8"/>
  <c r="E400" i="8"/>
  <c r="D400" i="8"/>
  <c r="B400" i="8"/>
  <c r="E399" i="8"/>
  <c r="D399" i="8"/>
  <c r="B399" i="8"/>
  <c r="E398" i="8"/>
  <c r="D398" i="8"/>
  <c r="B398" i="8"/>
  <c r="E397" i="8"/>
  <c r="D397" i="8"/>
  <c r="B397" i="8"/>
  <c r="E396" i="8"/>
  <c r="D396" i="8"/>
  <c r="B396" i="8"/>
  <c r="E395" i="8"/>
  <c r="D395" i="8"/>
  <c r="B395" i="8"/>
  <c r="E394" i="8"/>
  <c r="D394" i="8"/>
  <c r="B394" i="8"/>
  <c r="E393" i="8"/>
  <c r="D393" i="8"/>
  <c r="B393" i="8"/>
  <c r="E392" i="8"/>
  <c r="D392" i="8"/>
  <c r="B392" i="8"/>
  <c r="E391" i="8"/>
  <c r="D391" i="8"/>
  <c r="B391" i="8"/>
  <c r="E390" i="8"/>
  <c r="D390" i="8"/>
  <c r="B390" i="8"/>
  <c r="E389" i="8"/>
  <c r="D389" i="8"/>
  <c r="B389" i="8"/>
  <c r="E388" i="8"/>
  <c r="D388" i="8"/>
  <c r="B388" i="8"/>
  <c r="E387" i="8"/>
  <c r="D387" i="8"/>
  <c r="B387" i="8"/>
  <c r="E386" i="8"/>
  <c r="D386" i="8"/>
  <c r="B386" i="8"/>
  <c r="E385" i="8"/>
  <c r="D385" i="8"/>
  <c r="B385" i="8"/>
  <c r="E384" i="8"/>
  <c r="D384" i="8"/>
  <c r="B384" i="8"/>
  <c r="E383" i="8"/>
  <c r="D383" i="8"/>
  <c r="B383" i="8"/>
  <c r="E382" i="8"/>
  <c r="D382" i="8"/>
  <c r="B382" i="8"/>
  <c r="E381" i="8"/>
  <c r="D381" i="8"/>
  <c r="B381" i="8"/>
  <c r="E380" i="8"/>
  <c r="D380" i="8"/>
  <c r="B380" i="8"/>
  <c r="E379" i="8"/>
  <c r="D379" i="8"/>
  <c r="B379" i="8"/>
  <c r="E378" i="8"/>
  <c r="D378" i="8"/>
  <c r="B378" i="8"/>
  <c r="E377" i="8"/>
  <c r="D377" i="8"/>
  <c r="B377" i="8"/>
  <c r="E376" i="8"/>
  <c r="D376" i="8"/>
  <c r="B376" i="8"/>
  <c r="E375" i="8"/>
  <c r="D375" i="8"/>
  <c r="B375" i="8"/>
  <c r="E374" i="8"/>
  <c r="D374" i="8"/>
  <c r="B374" i="8"/>
  <c r="E373" i="8"/>
  <c r="D373" i="8"/>
  <c r="B373" i="8"/>
  <c r="E372" i="8"/>
  <c r="D372" i="8"/>
  <c r="B372" i="8"/>
  <c r="E371" i="8"/>
  <c r="D371" i="8"/>
  <c r="B371" i="8"/>
  <c r="E370" i="8"/>
  <c r="D370" i="8"/>
  <c r="B370" i="8"/>
  <c r="E369" i="8"/>
  <c r="D369" i="8"/>
  <c r="B369" i="8"/>
  <c r="E368" i="8"/>
  <c r="D368" i="8"/>
  <c r="B368" i="8"/>
  <c r="E367" i="8"/>
  <c r="D367" i="8"/>
  <c r="B367" i="8"/>
  <c r="E366" i="8"/>
  <c r="D366" i="8"/>
  <c r="B366" i="8"/>
  <c r="E365" i="8"/>
  <c r="D365" i="8"/>
  <c r="B365" i="8"/>
  <c r="E364" i="8"/>
  <c r="D364" i="8"/>
  <c r="B364" i="8"/>
  <c r="E363" i="8"/>
  <c r="D363" i="8"/>
  <c r="B363" i="8"/>
  <c r="E362" i="8"/>
  <c r="D362" i="8"/>
  <c r="B362" i="8"/>
  <c r="E361" i="8"/>
  <c r="D361" i="8"/>
  <c r="B361" i="8"/>
  <c r="E360" i="8"/>
  <c r="D360" i="8"/>
  <c r="B360" i="8"/>
  <c r="E359" i="8"/>
  <c r="D359" i="8"/>
  <c r="B359" i="8"/>
  <c r="E358" i="8"/>
  <c r="D358" i="8"/>
  <c r="B358" i="8"/>
  <c r="E357" i="8"/>
  <c r="D357" i="8"/>
  <c r="B357" i="8"/>
  <c r="E356" i="8"/>
  <c r="D356" i="8"/>
  <c r="B356" i="8"/>
  <c r="E355" i="8"/>
  <c r="D355" i="8"/>
  <c r="B355" i="8"/>
  <c r="E354" i="8"/>
  <c r="D354" i="8"/>
  <c r="B354" i="8"/>
  <c r="E353" i="8"/>
  <c r="D353" i="8"/>
  <c r="B353" i="8"/>
  <c r="E352" i="8"/>
  <c r="D352" i="8"/>
  <c r="B352" i="8"/>
  <c r="E351" i="8"/>
  <c r="D351" i="8"/>
  <c r="B351" i="8"/>
  <c r="E350" i="8"/>
  <c r="D350" i="8"/>
  <c r="B350" i="8"/>
  <c r="E349" i="8"/>
  <c r="D349" i="8"/>
  <c r="B349" i="8"/>
  <c r="E348" i="8"/>
  <c r="D348" i="8"/>
  <c r="B348" i="8"/>
  <c r="E347" i="8"/>
  <c r="D347" i="8"/>
  <c r="B347" i="8"/>
  <c r="E346" i="8"/>
  <c r="D346" i="8"/>
  <c r="B346" i="8"/>
  <c r="E345" i="8"/>
  <c r="D345" i="8"/>
  <c r="B345" i="8"/>
  <c r="E344" i="8"/>
  <c r="D344" i="8"/>
  <c r="B344" i="8"/>
  <c r="E343" i="8"/>
  <c r="D343" i="8"/>
  <c r="B343" i="8"/>
  <c r="E342" i="8"/>
  <c r="D342" i="8"/>
  <c r="B342" i="8"/>
  <c r="E341" i="8"/>
  <c r="D341" i="8"/>
  <c r="B341" i="8"/>
  <c r="E340" i="8"/>
  <c r="D340" i="8"/>
  <c r="B340" i="8"/>
  <c r="E339" i="8"/>
  <c r="D339" i="8"/>
  <c r="B339" i="8"/>
  <c r="E338" i="8"/>
  <c r="D338" i="8"/>
  <c r="B338" i="8"/>
  <c r="E337" i="8"/>
  <c r="D337" i="8"/>
  <c r="B337" i="8"/>
  <c r="E336" i="8"/>
  <c r="D336" i="8"/>
  <c r="B336" i="8"/>
  <c r="E335" i="8"/>
  <c r="D335" i="8"/>
  <c r="B335" i="8"/>
  <c r="E334" i="8"/>
  <c r="D334" i="8"/>
  <c r="B334" i="8"/>
  <c r="E333" i="8"/>
  <c r="D333" i="8"/>
  <c r="B333" i="8"/>
  <c r="E332" i="8"/>
  <c r="D332" i="8"/>
  <c r="B332" i="8"/>
  <c r="E331" i="8"/>
  <c r="D331" i="8"/>
  <c r="B331" i="8"/>
  <c r="E330" i="8"/>
  <c r="D330" i="8"/>
  <c r="B330" i="8"/>
  <c r="E329" i="8"/>
  <c r="D329" i="8"/>
  <c r="B329" i="8"/>
  <c r="E328" i="8"/>
  <c r="D328" i="8"/>
  <c r="B328" i="8"/>
  <c r="E327" i="8"/>
  <c r="D327" i="8"/>
  <c r="B327" i="8"/>
  <c r="E326" i="8"/>
  <c r="D326" i="8"/>
  <c r="B326" i="8"/>
  <c r="E325" i="8"/>
  <c r="D325" i="8"/>
  <c r="B325" i="8"/>
  <c r="E324" i="8"/>
  <c r="D324" i="8"/>
  <c r="B324" i="8"/>
  <c r="E323" i="8"/>
  <c r="D323" i="8"/>
  <c r="B323" i="8"/>
  <c r="E322" i="8"/>
  <c r="D322" i="8"/>
  <c r="B322" i="8"/>
  <c r="E321" i="8"/>
  <c r="D321" i="8"/>
  <c r="B321" i="8"/>
  <c r="E320" i="8"/>
  <c r="D320" i="8"/>
  <c r="B320" i="8"/>
  <c r="E319" i="8"/>
  <c r="D319" i="8"/>
  <c r="B319" i="8"/>
  <c r="E318" i="8"/>
  <c r="D318" i="8"/>
  <c r="B318" i="8"/>
  <c r="E317" i="8"/>
  <c r="D317" i="8"/>
  <c r="B317" i="8"/>
  <c r="E316" i="8"/>
  <c r="D316" i="8"/>
  <c r="B316" i="8"/>
  <c r="E315" i="8"/>
  <c r="D315" i="8"/>
  <c r="B315" i="8"/>
  <c r="E314" i="8"/>
  <c r="D314" i="8"/>
  <c r="B314" i="8"/>
  <c r="E313" i="8"/>
  <c r="D313" i="8"/>
  <c r="B313" i="8"/>
  <c r="E312" i="8"/>
  <c r="D312" i="8"/>
  <c r="B312" i="8"/>
  <c r="E311" i="8"/>
  <c r="D311" i="8"/>
  <c r="B311" i="8"/>
  <c r="E310" i="8"/>
  <c r="D310" i="8"/>
  <c r="B310" i="8"/>
  <c r="E309" i="8"/>
  <c r="D309" i="8"/>
  <c r="B309" i="8"/>
  <c r="E308" i="8"/>
  <c r="D308" i="8"/>
  <c r="B308" i="8"/>
  <c r="E307" i="8"/>
  <c r="D307" i="8"/>
  <c r="B307" i="8"/>
  <c r="E306" i="8"/>
  <c r="D306" i="8"/>
  <c r="B306" i="8"/>
  <c r="E305" i="8"/>
  <c r="D305" i="8"/>
  <c r="B305" i="8"/>
  <c r="E304" i="8"/>
  <c r="D304" i="8"/>
  <c r="B304" i="8"/>
  <c r="E303" i="8"/>
  <c r="D303" i="8"/>
  <c r="B303" i="8"/>
  <c r="E302" i="8"/>
  <c r="D302" i="8"/>
  <c r="B302" i="8"/>
  <c r="E301" i="8"/>
  <c r="D301" i="8"/>
  <c r="B301" i="8"/>
  <c r="E300" i="8"/>
  <c r="D300" i="8"/>
  <c r="B300" i="8"/>
  <c r="E299" i="8"/>
  <c r="D299" i="8"/>
  <c r="B299" i="8"/>
  <c r="E298" i="8"/>
  <c r="D298" i="8"/>
  <c r="B298" i="8"/>
  <c r="E297" i="8"/>
  <c r="D297" i="8"/>
  <c r="B297" i="8"/>
  <c r="E296" i="8"/>
  <c r="D296" i="8"/>
  <c r="B296" i="8"/>
  <c r="E295" i="8"/>
  <c r="D295" i="8"/>
  <c r="B295" i="8"/>
  <c r="E294" i="8"/>
  <c r="D294" i="8"/>
  <c r="B294" i="8"/>
  <c r="E293" i="8"/>
  <c r="D293" i="8"/>
  <c r="B293" i="8"/>
  <c r="E292" i="8"/>
  <c r="D292" i="8"/>
  <c r="B292" i="8"/>
  <c r="E291" i="8"/>
  <c r="D291" i="8"/>
  <c r="B291" i="8"/>
  <c r="E290" i="8"/>
  <c r="D290" i="8"/>
  <c r="B290" i="8"/>
  <c r="E289" i="8"/>
  <c r="D289" i="8"/>
  <c r="B289" i="8"/>
  <c r="E288" i="8"/>
  <c r="D288" i="8"/>
  <c r="B288" i="8"/>
  <c r="E287" i="8"/>
  <c r="D287" i="8"/>
  <c r="B287" i="8"/>
  <c r="E286" i="8"/>
  <c r="D286" i="8"/>
  <c r="B286" i="8"/>
  <c r="E285" i="8"/>
  <c r="D285" i="8"/>
  <c r="B285" i="8"/>
  <c r="E284" i="8"/>
  <c r="D284" i="8"/>
  <c r="B284" i="8"/>
  <c r="E283" i="8"/>
  <c r="D283" i="8"/>
  <c r="B283" i="8"/>
  <c r="E282" i="8"/>
  <c r="D282" i="8"/>
  <c r="B282" i="8"/>
  <c r="E281" i="8"/>
  <c r="D281" i="8"/>
  <c r="B281" i="8"/>
  <c r="E280" i="8"/>
  <c r="D280" i="8"/>
  <c r="B280" i="8"/>
  <c r="E279" i="8"/>
  <c r="D279" i="8"/>
  <c r="B279" i="8"/>
  <c r="E278" i="8"/>
  <c r="D278" i="8"/>
  <c r="B278" i="8"/>
  <c r="E277" i="8"/>
  <c r="D277" i="8"/>
  <c r="B277" i="8"/>
  <c r="E276" i="8"/>
  <c r="D276" i="8"/>
  <c r="B276" i="8"/>
  <c r="E275" i="8"/>
  <c r="D275" i="8"/>
  <c r="B275" i="8"/>
  <c r="E274" i="8"/>
  <c r="D274" i="8"/>
  <c r="B274" i="8"/>
  <c r="E273" i="8"/>
  <c r="D273" i="8"/>
  <c r="B273" i="8"/>
  <c r="E272" i="8"/>
  <c r="D272" i="8"/>
  <c r="B272" i="8"/>
  <c r="E271" i="8"/>
  <c r="D271" i="8"/>
  <c r="B271" i="8"/>
  <c r="E270" i="8"/>
  <c r="D270" i="8"/>
  <c r="B270" i="8"/>
  <c r="E269" i="8"/>
  <c r="D269" i="8"/>
  <c r="B269" i="8"/>
  <c r="E268" i="8"/>
  <c r="D268" i="8"/>
  <c r="B268" i="8"/>
  <c r="E267" i="8"/>
  <c r="D267" i="8"/>
  <c r="B267" i="8"/>
  <c r="E266" i="8"/>
  <c r="D266" i="8"/>
  <c r="B266" i="8"/>
  <c r="E265" i="8"/>
  <c r="D265" i="8"/>
  <c r="B265" i="8"/>
  <c r="E264" i="8"/>
  <c r="D264" i="8"/>
  <c r="B264" i="8"/>
  <c r="E263" i="8"/>
  <c r="D263" i="8"/>
  <c r="B263" i="8"/>
  <c r="E262" i="8"/>
  <c r="D262" i="8"/>
  <c r="B262" i="8"/>
  <c r="E261" i="8"/>
  <c r="D261" i="8"/>
  <c r="B261" i="8"/>
  <c r="E260" i="8"/>
  <c r="D260" i="8"/>
  <c r="B260" i="8"/>
  <c r="E259" i="8"/>
  <c r="D259" i="8"/>
  <c r="B259" i="8"/>
  <c r="E258" i="8"/>
  <c r="D258" i="8"/>
  <c r="B258" i="8"/>
  <c r="E257" i="8"/>
  <c r="D257" i="8"/>
  <c r="B257" i="8"/>
  <c r="E256" i="8"/>
  <c r="D256" i="8"/>
  <c r="B256" i="8"/>
  <c r="E255" i="8"/>
  <c r="D255" i="8"/>
  <c r="B255" i="8"/>
  <c r="E254" i="8"/>
  <c r="D254" i="8"/>
  <c r="B254" i="8"/>
  <c r="E253" i="8"/>
  <c r="D253" i="8"/>
  <c r="B253" i="8"/>
  <c r="E252" i="8"/>
  <c r="D252" i="8"/>
  <c r="B252" i="8"/>
  <c r="E251" i="8"/>
  <c r="D251" i="8"/>
  <c r="B251" i="8"/>
  <c r="E250" i="8"/>
  <c r="D250" i="8"/>
  <c r="B250" i="8"/>
  <c r="E249" i="8"/>
  <c r="D249" i="8"/>
  <c r="B249" i="8"/>
  <c r="E248" i="8"/>
  <c r="D248" i="8"/>
  <c r="B248" i="8"/>
  <c r="E247" i="8"/>
  <c r="D247" i="8"/>
  <c r="B247" i="8"/>
  <c r="E246" i="8"/>
  <c r="D246" i="8"/>
  <c r="B246" i="8"/>
  <c r="E245" i="8"/>
  <c r="D245" i="8"/>
  <c r="B245" i="8"/>
  <c r="E244" i="8"/>
  <c r="D244" i="8"/>
  <c r="B244" i="8"/>
  <c r="E243" i="8"/>
  <c r="D243" i="8"/>
  <c r="B243" i="8"/>
  <c r="E242" i="8"/>
  <c r="D242" i="8"/>
  <c r="B242" i="8"/>
  <c r="E241" i="8"/>
  <c r="D241" i="8"/>
  <c r="B241" i="8"/>
  <c r="E240" i="8"/>
  <c r="D240" i="8"/>
  <c r="B240" i="8"/>
  <c r="E239" i="8"/>
  <c r="D239" i="8"/>
  <c r="B239" i="8"/>
  <c r="E238" i="8"/>
  <c r="D238" i="8"/>
  <c r="B238" i="8"/>
  <c r="E237" i="8"/>
  <c r="D237" i="8"/>
  <c r="B237" i="8"/>
  <c r="E236" i="8"/>
  <c r="D236" i="8"/>
  <c r="B236" i="8"/>
  <c r="E235" i="8"/>
  <c r="D235" i="8"/>
  <c r="B235" i="8"/>
  <c r="E234" i="8"/>
  <c r="D234" i="8"/>
  <c r="B234" i="8"/>
  <c r="E233" i="8"/>
  <c r="D233" i="8"/>
  <c r="B233" i="8"/>
  <c r="E232" i="8"/>
  <c r="D232" i="8"/>
  <c r="B232" i="8"/>
  <c r="E231" i="8"/>
  <c r="D231" i="8"/>
  <c r="B231" i="8"/>
  <c r="E230" i="8"/>
  <c r="D230" i="8"/>
  <c r="B230" i="8"/>
  <c r="E229" i="8"/>
  <c r="D229" i="8"/>
  <c r="B229" i="8"/>
  <c r="E228" i="8"/>
  <c r="D228" i="8"/>
  <c r="B228" i="8"/>
  <c r="E227" i="8"/>
  <c r="D227" i="8"/>
  <c r="B227" i="8"/>
  <c r="E226" i="8"/>
  <c r="D226" i="8"/>
  <c r="B226" i="8"/>
  <c r="E225" i="8"/>
  <c r="D225" i="8"/>
  <c r="B225" i="8"/>
  <c r="E224" i="8"/>
  <c r="D224" i="8"/>
  <c r="B224" i="8"/>
  <c r="E223" i="8"/>
  <c r="D223" i="8"/>
  <c r="B223" i="8"/>
  <c r="E222" i="8"/>
  <c r="D222" i="8"/>
  <c r="B222" i="8"/>
  <c r="E221" i="8"/>
  <c r="D221" i="8"/>
  <c r="B221" i="8"/>
  <c r="E220" i="8"/>
  <c r="D220" i="8"/>
  <c r="B220" i="8"/>
  <c r="E219" i="8"/>
  <c r="D219" i="8"/>
  <c r="B219" i="8"/>
  <c r="E218" i="8"/>
  <c r="D218" i="8"/>
  <c r="B218" i="8"/>
  <c r="E217" i="8"/>
  <c r="D217" i="8"/>
  <c r="B217" i="8"/>
  <c r="E216" i="8"/>
  <c r="D216" i="8"/>
  <c r="B216" i="8"/>
  <c r="E215" i="8"/>
  <c r="D215" i="8"/>
  <c r="B215" i="8"/>
  <c r="E214" i="8"/>
  <c r="D214" i="8"/>
  <c r="B214" i="8"/>
  <c r="E213" i="8"/>
  <c r="D213" i="8"/>
  <c r="B213" i="8"/>
  <c r="E212" i="8"/>
  <c r="D212" i="8"/>
  <c r="B212" i="8"/>
  <c r="E211" i="8"/>
  <c r="D211" i="8"/>
  <c r="B211" i="8"/>
  <c r="E210" i="8"/>
  <c r="D210" i="8"/>
  <c r="B210" i="8"/>
  <c r="E209" i="8"/>
  <c r="D209" i="8"/>
  <c r="B209" i="8"/>
  <c r="E208" i="8"/>
  <c r="D208" i="8"/>
  <c r="B208" i="8"/>
  <c r="E207" i="8"/>
  <c r="D207" i="8"/>
  <c r="B207" i="8"/>
  <c r="E206" i="8"/>
  <c r="D206" i="8"/>
  <c r="B206" i="8"/>
  <c r="E205" i="8"/>
  <c r="D205" i="8"/>
  <c r="B205" i="8"/>
  <c r="E204" i="8"/>
  <c r="D204" i="8"/>
  <c r="B204" i="8"/>
  <c r="E203" i="8"/>
  <c r="D203" i="8"/>
  <c r="B203" i="8"/>
  <c r="E202" i="8"/>
  <c r="D202" i="8"/>
  <c r="B202" i="8"/>
  <c r="E201" i="8"/>
  <c r="D201" i="8"/>
  <c r="B201" i="8"/>
  <c r="E200" i="8"/>
  <c r="D200" i="8"/>
  <c r="B200" i="8"/>
  <c r="E199" i="8"/>
  <c r="D199" i="8"/>
  <c r="B199" i="8"/>
  <c r="E198" i="8"/>
  <c r="D198" i="8"/>
  <c r="B198" i="8"/>
  <c r="E197" i="8"/>
  <c r="D197" i="8"/>
  <c r="B197" i="8"/>
  <c r="E196" i="8"/>
  <c r="D196" i="8"/>
  <c r="B196" i="8"/>
  <c r="E195" i="8"/>
  <c r="D195" i="8"/>
  <c r="B195" i="8"/>
  <c r="E194" i="8"/>
  <c r="D194" i="8"/>
  <c r="B194" i="8"/>
  <c r="E193" i="8"/>
  <c r="D193" i="8"/>
  <c r="B193" i="8"/>
  <c r="E192" i="8"/>
  <c r="D192" i="8"/>
  <c r="B192" i="8"/>
  <c r="E191" i="8"/>
  <c r="D191" i="8"/>
  <c r="B191" i="8"/>
  <c r="E190" i="8"/>
  <c r="D190" i="8"/>
  <c r="B190" i="8"/>
  <c r="E189" i="8"/>
  <c r="D189" i="8"/>
  <c r="B189" i="8"/>
  <c r="E188" i="8"/>
  <c r="D188" i="8"/>
  <c r="B188" i="8"/>
  <c r="E187" i="8"/>
  <c r="D187" i="8"/>
  <c r="B187" i="8"/>
  <c r="E186" i="8"/>
  <c r="D186" i="8"/>
  <c r="B186" i="8"/>
  <c r="E185" i="8"/>
  <c r="D185" i="8"/>
  <c r="B185" i="8"/>
  <c r="E184" i="8"/>
  <c r="D184" i="8"/>
  <c r="B184" i="8"/>
  <c r="E183" i="8"/>
  <c r="D183" i="8"/>
  <c r="B183" i="8"/>
  <c r="E182" i="8"/>
  <c r="D182" i="8"/>
  <c r="B182" i="8"/>
  <c r="E181" i="8"/>
  <c r="D181" i="8"/>
  <c r="B181" i="8"/>
  <c r="E180" i="8"/>
  <c r="D180" i="8"/>
  <c r="B180" i="8"/>
  <c r="E179" i="8"/>
  <c r="D179" i="8"/>
  <c r="B179" i="8"/>
  <c r="E178" i="8"/>
  <c r="D178" i="8"/>
  <c r="B178" i="8"/>
  <c r="E177" i="8"/>
  <c r="D177" i="8"/>
  <c r="B177" i="8"/>
  <c r="E176" i="8"/>
  <c r="D176" i="8"/>
  <c r="B176" i="8"/>
  <c r="E175" i="8"/>
  <c r="D175" i="8"/>
  <c r="B175" i="8"/>
  <c r="E174" i="8"/>
  <c r="D174" i="8"/>
  <c r="B174" i="8"/>
  <c r="E173" i="8"/>
  <c r="D173" i="8"/>
  <c r="B173" i="8"/>
  <c r="E172" i="8"/>
  <c r="D172" i="8"/>
  <c r="B172" i="8"/>
  <c r="E171" i="8"/>
  <c r="D171" i="8"/>
  <c r="B171" i="8"/>
  <c r="E170" i="8"/>
  <c r="D170" i="8"/>
  <c r="B170" i="8"/>
  <c r="E169" i="8"/>
  <c r="D169" i="8"/>
  <c r="B169" i="8"/>
  <c r="E168" i="8"/>
  <c r="D168" i="8"/>
  <c r="B168" i="8"/>
  <c r="E167" i="8"/>
  <c r="D167" i="8"/>
  <c r="B167" i="8"/>
  <c r="E166" i="8"/>
  <c r="D166" i="8"/>
  <c r="B166" i="8"/>
  <c r="E165" i="8"/>
  <c r="D165" i="8"/>
  <c r="B165" i="8"/>
  <c r="E164" i="8"/>
  <c r="D164" i="8"/>
  <c r="B164" i="8"/>
  <c r="E163" i="8"/>
  <c r="D163" i="8"/>
  <c r="B163" i="8"/>
  <c r="E162" i="8"/>
  <c r="D162" i="8"/>
  <c r="B162" i="8"/>
  <c r="E161" i="8"/>
  <c r="D161" i="8"/>
  <c r="B161" i="8"/>
  <c r="E160" i="8"/>
  <c r="D160" i="8"/>
  <c r="B160" i="8"/>
  <c r="E159" i="8"/>
  <c r="D159" i="8"/>
  <c r="B159" i="8"/>
  <c r="E158" i="8"/>
  <c r="D158" i="8"/>
  <c r="B158" i="8"/>
  <c r="E157" i="8"/>
  <c r="D157" i="8"/>
  <c r="B157" i="8"/>
  <c r="E156" i="8"/>
  <c r="D156" i="8"/>
  <c r="B156" i="8"/>
  <c r="E155" i="8"/>
  <c r="D155" i="8"/>
  <c r="B155" i="8"/>
  <c r="E154" i="8"/>
  <c r="D154" i="8"/>
  <c r="B154" i="8"/>
  <c r="E153" i="8"/>
  <c r="D153" i="8"/>
  <c r="B153" i="8"/>
  <c r="E152" i="8"/>
  <c r="D152" i="8"/>
  <c r="B152" i="8"/>
  <c r="E151" i="8"/>
  <c r="D151" i="8"/>
  <c r="B151" i="8"/>
  <c r="E150" i="8"/>
  <c r="D150" i="8"/>
  <c r="B150" i="8"/>
  <c r="E149" i="8"/>
  <c r="D149" i="8"/>
  <c r="B149" i="8"/>
  <c r="E148" i="8"/>
  <c r="D148" i="8"/>
  <c r="B148" i="8"/>
  <c r="E147" i="8"/>
  <c r="D147" i="8"/>
  <c r="B147" i="8"/>
  <c r="E146" i="8"/>
  <c r="D146" i="8"/>
  <c r="B146" i="8"/>
  <c r="E145" i="8"/>
  <c r="D145" i="8"/>
  <c r="B145" i="8"/>
  <c r="E144" i="8"/>
  <c r="D144" i="8"/>
  <c r="B144" i="8"/>
  <c r="E143" i="8"/>
  <c r="D143" i="8"/>
  <c r="B143" i="8"/>
  <c r="E142" i="8"/>
  <c r="D142" i="8"/>
  <c r="B142" i="8"/>
  <c r="E141" i="8"/>
  <c r="D141" i="8"/>
  <c r="B141" i="8"/>
  <c r="E140" i="8"/>
  <c r="D140" i="8"/>
  <c r="B140" i="8"/>
  <c r="E139" i="8"/>
  <c r="D139" i="8"/>
  <c r="B139" i="8"/>
  <c r="E138" i="8"/>
  <c r="D138" i="8"/>
  <c r="B138" i="8"/>
  <c r="E137" i="8"/>
  <c r="D137" i="8"/>
  <c r="B137" i="8"/>
  <c r="E136" i="8"/>
  <c r="D136" i="8"/>
  <c r="B136" i="8"/>
  <c r="E135" i="8"/>
  <c r="D135" i="8"/>
  <c r="B135" i="8"/>
  <c r="E134" i="8"/>
  <c r="D134" i="8"/>
  <c r="B134" i="8"/>
  <c r="E133" i="8"/>
  <c r="D133" i="8"/>
  <c r="B133" i="8"/>
  <c r="E132" i="8"/>
  <c r="D132" i="8"/>
  <c r="B132" i="8"/>
  <c r="E131" i="8"/>
  <c r="D131" i="8"/>
  <c r="B131" i="8"/>
  <c r="E130" i="8"/>
  <c r="D130" i="8"/>
  <c r="B130" i="8"/>
  <c r="E129" i="8"/>
  <c r="D129" i="8"/>
  <c r="B129" i="8"/>
  <c r="E128" i="8"/>
  <c r="D128" i="8"/>
  <c r="B128" i="8"/>
  <c r="E127" i="8"/>
  <c r="D127" i="8"/>
  <c r="B127" i="8"/>
  <c r="E126" i="8"/>
  <c r="D126" i="8"/>
  <c r="B126" i="8"/>
  <c r="E125" i="8"/>
  <c r="D125" i="8"/>
  <c r="B125" i="8"/>
  <c r="E124" i="8"/>
  <c r="D124" i="8"/>
  <c r="B124" i="8"/>
  <c r="E123" i="8"/>
  <c r="D123" i="8"/>
  <c r="B123" i="8"/>
  <c r="E122" i="8"/>
  <c r="D122" i="8"/>
  <c r="B122" i="8"/>
  <c r="E121" i="8"/>
  <c r="D121" i="8"/>
  <c r="B121" i="8"/>
  <c r="E120" i="8"/>
  <c r="D120" i="8"/>
  <c r="B120" i="8"/>
  <c r="E119" i="8"/>
  <c r="D119" i="8"/>
  <c r="B119" i="8"/>
  <c r="E118" i="8"/>
  <c r="D118" i="8"/>
  <c r="B118" i="8"/>
  <c r="E117" i="8"/>
  <c r="D117" i="8"/>
  <c r="B117" i="8"/>
  <c r="E116" i="8"/>
  <c r="D116" i="8"/>
  <c r="B116" i="8"/>
  <c r="E115" i="8"/>
  <c r="D115" i="8"/>
  <c r="B115" i="8"/>
  <c r="E114" i="8"/>
  <c r="D114" i="8"/>
  <c r="B114" i="8"/>
  <c r="E113" i="8"/>
  <c r="D113" i="8"/>
  <c r="B113" i="8"/>
  <c r="E112" i="8"/>
  <c r="D112" i="8"/>
  <c r="B112" i="8"/>
  <c r="E111" i="8"/>
  <c r="D111" i="8"/>
  <c r="B111" i="8"/>
  <c r="E110" i="8"/>
  <c r="D110" i="8"/>
  <c r="B110" i="8"/>
  <c r="E109" i="8"/>
  <c r="D109" i="8"/>
  <c r="B109" i="8"/>
  <c r="E108" i="8"/>
  <c r="D108" i="8"/>
  <c r="B108" i="8"/>
  <c r="E107" i="8"/>
  <c r="D107" i="8"/>
  <c r="B107" i="8"/>
  <c r="E106" i="8"/>
  <c r="D106" i="8"/>
  <c r="B106" i="8"/>
  <c r="E105" i="8"/>
  <c r="D105" i="8"/>
  <c r="B105" i="8"/>
  <c r="E104" i="8"/>
  <c r="D104" i="8"/>
  <c r="B104" i="8"/>
  <c r="E103" i="8"/>
  <c r="D103" i="8"/>
  <c r="B103" i="8"/>
  <c r="E102" i="8"/>
  <c r="D102" i="8"/>
  <c r="B102" i="8"/>
  <c r="E101" i="8"/>
  <c r="D101" i="8"/>
  <c r="B101" i="8"/>
  <c r="E100" i="8"/>
  <c r="D100" i="8"/>
  <c r="B100" i="8"/>
  <c r="E99" i="8"/>
  <c r="D99" i="8"/>
  <c r="B99" i="8"/>
  <c r="E98" i="8"/>
  <c r="D98" i="8"/>
  <c r="B98" i="8"/>
  <c r="E97" i="8"/>
  <c r="D97" i="8"/>
  <c r="B97" i="8"/>
  <c r="E96" i="8"/>
  <c r="D96" i="8"/>
  <c r="B96" i="8"/>
  <c r="E95" i="8"/>
  <c r="D95" i="8"/>
  <c r="B95" i="8"/>
  <c r="E94" i="8"/>
  <c r="D94" i="8"/>
  <c r="B94" i="8"/>
  <c r="E93" i="8"/>
  <c r="D93" i="8"/>
  <c r="B93" i="8"/>
  <c r="E92" i="8"/>
  <c r="D92" i="8"/>
  <c r="B92" i="8"/>
  <c r="E91" i="8"/>
  <c r="D91" i="8"/>
  <c r="B91" i="8"/>
  <c r="E90" i="8"/>
  <c r="D90" i="8"/>
  <c r="B90" i="8"/>
  <c r="E89" i="8"/>
  <c r="D89" i="8"/>
  <c r="B89" i="8"/>
  <c r="E88" i="8"/>
  <c r="D88" i="8"/>
  <c r="B88" i="8"/>
  <c r="E87" i="8"/>
  <c r="D87" i="8"/>
  <c r="B87" i="8"/>
  <c r="E86" i="8"/>
  <c r="D86" i="8"/>
  <c r="B86" i="8"/>
  <c r="E85" i="8"/>
  <c r="D85" i="8"/>
  <c r="B85" i="8"/>
  <c r="E84" i="8"/>
  <c r="D84" i="8"/>
  <c r="B84" i="8"/>
  <c r="E83" i="8"/>
  <c r="D83" i="8"/>
  <c r="B83" i="8"/>
  <c r="E82" i="8"/>
  <c r="D82" i="8"/>
  <c r="B82" i="8"/>
  <c r="E81" i="8"/>
  <c r="D81" i="8"/>
  <c r="B81" i="8"/>
  <c r="E80" i="8"/>
  <c r="D80" i="8"/>
  <c r="B80" i="8"/>
  <c r="E79" i="8"/>
  <c r="D79" i="8"/>
  <c r="B79" i="8"/>
  <c r="E78" i="8"/>
  <c r="D78" i="8"/>
  <c r="B78" i="8"/>
  <c r="E77" i="8"/>
  <c r="D77" i="8"/>
  <c r="B77" i="8"/>
  <c r="E76" i="8"/>
  <c r="D76" i="8"/>
  <c r="B76" i="8"/>
  <c r="E75" i="8"/>
  <c r="D75" i="8"/>
  <c r="B75" i="8"/>
  <c r="E74" i="8"/>
  <c r="D74" i="8"/>
  <c r="B74" i="8"/>
  <c r="E73" i="8"/>
  <c r="D73" i="8"/>
  <c r="B73" i="8"/>
  <c r="E72" i="8"/>
  <c r="D72" i="8"/>
  <c r="B72" i="8"/>
  <c r="E71" i="8"/>
  <c r="D71" i="8"/>
  <c r="B71" i="8"/>
  <c r="E70" i="8"/>
  <c r="D70" i="8"/>
  <c r="B70" i="8"/>
  <c r="E69" i="8"/>
  <c r="D69" i="8"/>
  <c r="B69" i="8"/>
  <c r="E68" i="8"/>
  <c r="D68" i="8"/>
  <c r="B68" i="8"/>
  <c r="E67" i="8"/>
  <c r="D67" i="8"/>
  <c r="B67" i="8"/>
  <c r="E66" i="8"/>
  <c r="D66" i="8"/>
  <c r="B66" i="8"/>
  <c r="E65" i="8"/>
  <c r="D65" i="8"/>
  <c r="B65" i="8"/>
  <c r="E64" i="8"/>
  <c r="D64" i="8"/>
  <c r="B64" i="8"/>
  <c r="E63" i="8"/>
  <c r="D63" i="8"/>
  <c r="B63" i="8"/>
  <c r="E62" i="8"/>
  <c r="D62" i="8"/>
  <c r="B62" i="8"/>
  <c r="E61" i="8"/>
  <c r="D61" i="8"/>
  <c r="B61" i="8"/>
  <c r="E60" i="8"/>
  <c r="D60" i="8"/>
  <c r="B60" i="8"/>
  <c r="E59" i="8"/>
  <c r="D59" i="8"/>
  <c r="B59" i="8"/>
  <c r="E58" i="8"/>
  <c r="D58" i="8"/>
  <c r="B58" i="8"/>
  <c r="E57" i="8"/>
  <c r="D57" i="8"/>
  <c r="B57" i="8"/>
  <c r="E56" i="8"/>
  <c r="D56" i="8"/>
  <c r="B56" i="8"/>
  <c r="E55" i="8"/>
  <c r="D55" i="8"/>
  <c r="B55" i="8"/>
  <c r="E54" i="8"/>
  <c r="D54" i="8"/>
  <c r="B54" i="8"/>
  <c r="E53" i="8"/>
  <c r="D53" i="8"/>
  <c r="B53" i="8"/>
  <c r="E52" i="8"/>
  <c r="D52" i="8"/>
  <c r="B52" i="8"/>
  <c r="E51" i="8"/>
  <c r="D51" i="8"/>
  <c r="B51" i="8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4" i="8"/>
  <c r="D44" i="8"/>
  <c r="B44" i="8"/>
  <c r="E43" i="8"/>
  <c r="D43" i="8"/>
  <c r="B43" i="8"/>
  <c r="E42" i="8"/>
  <c r="D42" i="8"/>
  <c r="B42" i="8"/>
  <c r="E41" i="8"/>
  <c r="D41" i="8"/>
  <c r="B41" i="8"/>
  <c r="E40" i="8"/>
  <c r="D40" i="8"/>
  <c r="B40" i="8"/>
  <c r="E39" i="8"/>
  <c r="D39" i="8"/>
  <c r="B39" i="8"/>
  <c r="E38" i="8"/>
  <c r="D38" i="8"/>
  <c r="B38" i="8"/>
  <c r="E37" i="8"/>
  <c r="D37" i="8"/>
  <c r="B37" i="8"/>
  <c r="E36" i="8"/>
  <c r="D36" i="8"/>
  <c r="B36" i="8"/>
  <c r="E35" i="8"/>
  <c r="D35" i="8"/>
  <c r="B35" i="8"/>
  <c r="E34" i="8"/>
  <c r="D34" i="8"/>
  <c r="B34" i="8"/>
  <c r="E33" i="8"/>
  <c r="D33" i="8"/>
  <c r="B33" i="8"/>
  <c r="E32" i="8"/>
  <c r="D32" i="8"/>
  <c r="B32" i="8"/>
  <c r="E31" i="8"/>
  <c r="D31" i="8"/>
  <c r="B31" i="8"/>
  <c r="E30" i="8"/>
  <c r="D30" i="8"/>
  <c r="B30" i="8"/>
  <c r="E29" i="8"/>
  <c r="D29" i="8"/>
  <c r="B29" i="8"/>
  <c r="E28" i="8"/>
  <c r="D28" i="8"/>
  <c r="B28" i="8"/>
  <c r="E27" i="8"/>
  <c r="D27" i="8"/>
  <c r="B27" i="8"/>
  <c r="E26" i="8"/>
  <c r="D26" i="8"/>
  <c r="B26" i="8"/>
  <c r="E25" i="8"/>
  <c r="D25" i="8"/>
  <c r="B25" i="8"/>
  <c r="E24" i="8"/>
  <c r="D24" i="8"/>
  <c r="B24" i="8"/>
  <c r="E23" i="8"/>
  <c r="D23" i="8"/>
  <c r="B23" i="8"/>
  <c r="E22" i="8"/>
  <c r="D22" i="8"/>
  <c r="B22" i="8"/>
  <c r="E21" i="8"/>
  <c r="D21" i="8"/>
  <c r="B21" i="8"/>
  <c r="E20" i="8"/>
  <c r="D20" i="8"/>
  <c r="B20" i="8"/>
  <c r="E19" i="8"/>
  <c r="D19" i="8"/>
  <c r="B19" i="8"/>
  <c r="E18" i="8"/>
  <c r="D18" i="8"/>
  <c r="B18" i="8"/>
  <c r="E17" i="8"/>
  <c r="D17" i="8"/>
  <c r="B17" i="8"/>
  <c r="E16" i="8"/>
  <c r="D16" i="8"/>
  <c r="B16" i="8"/>
  <c r="E15" i="8"/>
  <c r="D15" i="8"/>
  <c r="B15" i="8"/>
  <c r="E14" i="8"/>
  <c r="D14" i="8"/>
  <c r="B14" i="8"/>
  <c r="E13" i="8"/>
  <c r="D13" i="8"/>
  <c r="B13" i="8"/>
  <c r="E12" i="8"/>
  <c r="D12" i="8"/>
  <c r="B12" i="8"/>
  <c r="E11" i="8"/>
  <c r="D11" i="8"/>
  <c r="B11" i="8"/>
  <c r="E10" i="8"/>
  <c r="D10" i="8"/>
  <c r="B10" i="8"/>
  <c r="E9" i="8"/>
  <c r="D9" i="8"/>
  <c r="B9" i="8"/>
  <c r="E8" i="8"/>
  <c r="D8" i="8"/>
  <c r="B8" i="8"/>
  <c r="E7" i="8"/>
  <c r="D7" i="8"/>
  <c r="B7" i="8"/>
  <c r="E6" i="8"/>
  <c r="D6" i="8"/>
  <c r="B6" i="8"/>
  <c r="E5" i="8"/>
  <c r="D5" i="8"/>
  <c r="B5" i="8"/>
  <c r="E4" i="8"/>
  <c r="D4" i="8"/>
  <c r="B4" i="8"/>
  <c r="E3" i="8"/>
  <c r="D3" i="8"/>
  <c r="B3" i="8"/>
  <c r="E545" i="1" l="1"/>
  <c r="E544" i="1"/>
  <c r="E543" i="1"/>
  <c r="D540" i="1"/>
  <c r="E539" i="1"/>
  <c r="D539" i="1"/>
  <c r="B539" i="1"/>
  <c r="E538" i="1"/>
  <c r="D538" i="1"/>
  <c r="B538" i="1"/>
  <c r="E537" i="1"/>
  <c r="D537" i="1"/>
  <c r="E536" i="1"/>
  <c r="D536" i="1"/>
  <c r="E535" i="1"/>
  <c r="D535" i="1"/>
  <c r="E534" i="1"/>
  <c r="D534" i="1"/>
  <c r="B534" i="1"/>
  <c r="E533" i="1"/>
  <c r="D533" i="1"/>
  <c r="B533" i="1"/>
  <c r="E532" i="1"/>
  <c r="D532" i="1"/>
  <c r="B532" i="1"/>
  <c r="E531" i="1"/>
  <c r="D531" i="1"/>
  <c r="B531" i="1"/>
  <c r="E530" i="1"/>
  <c r="D530" i="1"/>
  <c r="B530" i="1"/>
  <c r="E123" i="1"/>
  <c r="D123" i="1"/>
  <c r="B123" i="1"/>
  <c r="E122" i="1"/>
  <c r="D122" i="1"/>
  <c r="B122" i="1"/>
  <c r="E121" i="1"/>
  <c r="D121" i="1"/>
  <c r="B121" i="1"/>
  <c r="E120" i="1"/>
  <c r="D120" i="1"/>
  <c r="B120" i="1"/>
  <c r="E119" i="1"/>
  <c r="D119" i="1"/>
  <c r="B119" i="1"/>
  <c r="E118" i="1"/>
  <c r="D118" i="1"/>
  <c r="B118" i="1"/>
  <c r="E117" i="1"/>
  <c r="D117" i="1"/>
  <c r="B117" i="1"/>
  <c r="E116" i="1"/>
  <c r="D116" i="1"/>
  <c r="B116" i="1"/>
  <c r="E115" i="1"/>
  <c r="D115" i="1"/>
  <c r="B115" i="1"/>
  <c r="E114" i="1"/>
  <c r="D114" i="1"/>
  <c r="B114" i="1"/>
  <c r="E113" i="1"/>
  <c r="D113" i="1"/>
  <c r="B113" i="1"/>
  <c r="E112" i="1"/>
  <c r="D112" i="1"/>
  <c r="B112" i="1"/>
  <c r="E111" i="1"/>
  <c r="D111" i="1"/>
  <c r="B111" i="1"/>
  <c r="E110" i="1"/>
  <c r="D110" i="1"/>
  <c r="B110" i="1"/>
  <c r="E109" i="1"/>
  <c r="D109" i="1"/>
  <c r="B109" i="1"/>
  <c r="E108" i="1"/>
  <c r="D108" i="1"/>
  <c r="B108" i="1"/>
  <c r="E107" i="1"/>
  <c r="D107" i="1"/>
  <c r="B107" i="1"/>
  <c r="E106" i="1"/>
  <c r="D106" i="1"/>
  <c r="B106" i="1"/>
  <c r="E105" i="1"/>
  <c r="D105" i="1"/>
  <c r="B105" i="1"/>
  <c r="E104" i="1"/>
  <c r="D104" i="1"/>
  <c r="B104" i="1"/>
  <c r="E103" i="1"/>
  <c r="D103" i="1"/>
  <c r="B103" i="1"/>
  <c r="E102" i="1"/>
  <c r="D102" i="1"/>
  <c r="B102" i="1"/>
  <c r="E101" i="1"/>
  <c r="D101" i="1"/>
  <c r="B101" i="1"/>
  <c r="E100" i="1"/>
  <c r="D100" i="1"/>
  <c r="B100" i="1"/>
  <c r="E99" i="1"/>
  <c r="D99" i="1"/>
  <c r="B99" i="1"/>
  <c r="E98" i="1"/>
  <c r="D98" i="1"/>
  <c r="B98" i="1"/>
  <c r="E97" i="1"/>
  <c r="D97" i="1"/>
  <c r="B97" i="1"/>
  <c r="E96" i="1"/>
  <c r="D96" i="1"/>
  <c r="B96" i="1"/>
  <c r="E95" i="1"/>
  <c r="D95" i="1"/>
  <c r="B95" i="1"/>
  <c r="E94" i="1"/>
  <c r="D94" i="1"/>
  <c r="B94" i="1"/>
  <c r="E93" i="1"/>
  <c r="D93" i="1"/>
  <c r="B93" i="1"/>
  <c r="E92" i="1"/>
  <c r="D92" i="1"/>
  <c r="B92" i="1"/>
  <c r="E91" i="1"/>
  <c r="D91" i="1"/>
  <c r="B91" i="1"/>
  <c r="E90" i="1"/>
  <c r="D90" i="1"/>
  <c r="B90" i="1"/>
  <c r="E89" i="1"/>
  <c r="D89" i="1"/>
  <c r="B89" i="1"/>
  <c r="E88" i="1"/>
  <c r="D88" i="1"/>
  <c r="B88" i="1"/>
  <c r="E87" i="1"/>
  <c r="D87" i="1"/>
  <c r="B87" i="1"/>
  <c r="E86" i="1"/>
  <c r="D86" i="1"/>
  <c r="B86" i="1"/>
  <c r="E85" i="1"/>
  <c r="D85" i="1"/>
  <c r="B85" i="1"/>
  <c r="E84" i="1"/>
  <c r="D84" i="1"/>
  <c r="B84" i="1"/>
  <c r="E83" i="1"/>
  <c r="D83" i="1"/>
  <c r="B83" i="1"/>
  <c r="E82" i="1"/>
  <c r="D82" i="1"/>
  <c r="B82" i="1"/>
  <c r="E81" i="1"/>
  <c r="D81" i="1"/>
  <c r="B81" i="1"/>
  <c r="E80" i="1"/>
  <c r="D80" i="1"/>
  <c r="B80" i="1"/>
  <c r="E79" i="1"/>
  <c r="D79" i="1"/>
  <c r="B79" i="1"/>
  <c r="E78" i="1"/>
  <c r="D78" i="1"/>
  <c r="B78" i="1"/>
  <c r="E77" i="1"/>
  <c r="D77" i="1"/>
  <c r="B77" i="1"/>
  <c r="E76" i="1"/>
  <c r="D76" i="1"/>
  <c r="B76" i="1"/>
  <c r="E75" i="1"/>
  <c r="D75" i="1"/>
  <c r="B75" i="1"/>
  <c r="E74" i="1"/>
  <c r="D74" i="1"/>
  <c r="B74" i="1"/>
  <c r="E73" i="1"/>
  <c r="D73" i="1"/>
  <c r="B73" i="1"/>
  <c r="E72" i="1"/>
  <c r="D72" i="1"/>
  <c r="B72" i="1"/>
  <c r="E71" i="1"/>
  <c r="D71" i="1"/>
  <c r="B71" i="1"/>
  <c r="E70" i="1"/>
  <c r="D70" i="1"/>
  <c r="B70" i="1"/>
  <c r="E69" i="1"/>
  <c r="D69" i="1"/>
  <c r="B69" i="1"/>
  <c r="E68" i="1"/>
  <c r="D68" i="1"/>
  <c r="B68" i="1"/>
  <c r="E67" i="1"/>
  <c r="D67" i="1"/>
  <c r="B67" i="1"/>
  <c r="E66" i="1"/>
  <c r="D66" i="1"/>
  <c r="B66" i="1"/>
  <c r="E65" i="1"/>
  <c r="D65" i="1"/>
  <c r="B65" i="1"/>
  <c r="E64" i="1"/>
  <c r="D64" i="1"/>
  <c r="B64" i="1"/>
  <c r="E63" i="1"/>
  <c r="D63" i="1"/>
  <c r="B63" i="1"/>
  <c r="E62" i="1"/>
  <c r="D62" i="1"/>
  <c r="B62" i="1"/>
  <c r="E61" i="1"/>
  <c r="D61" i="1"/>
  <c r="B61" i="1"/>
  <c r="E60" i="1"/>
  <c r="D60" i="1"/>
  <c r="B60" i="1"/>
  <c r="E59" i="1"/>
  <c r="D59" i="1"/>
  <c r="B59" i="1"/>
  <c r="E58" i="1"/>
  <c r="D58" i="1"/>
  <c r="B58" i="1"/>
  <c r="E57" i="1"/>
  <c r="D57" i="1"/>
  <c r="B57" i="1"/>
  <c r="E56" i="1"/>
  <c r="D56" i="1"/>
  <c r="B56" i="1"/>
  <c r="E55" i="1"/>
  <c r="D55" i="1"/>
  <c r="B55" i="1"/>
  <c r="E54" i="1"/>
  <c r="D54" i="1"/>
  <c r="B54" i="1"/>
  <c r="E53" i="1"/>
  <c r="D53" i="1"/>
  <c r="B53" i="1"/>
  <c r="E52" i="1"/>
  <c r="D52" i="1"/>
  <c r="B52" i="1"/>
  <c r="E51" i="1"/>
  <c r="D51" i="1"/>
  <c r="B51" i="1"/>
  <c r="E50" i="1"/>
  <c r="D50" i="1"/>
  <c r="B50" i="1"/>
  <c r="E49" i="1"/>
  <c r="D49" i="1"/>
  <c r="B49" i="1"/>
  <c r="E48" i="1"/>
  <c r="D48" i="1"/>
  <c r="B48" i="1"/>
  <c r="E47" i="1"/>
  <c r="D47" i="1"/>
  <c r="B47" i="1"/>
  <c r="E46" i="1"/>
  <c r="D46" i="1"/>
  <c r="B46" i="1"/>
  <c r="E45" i="1"/>
  <c r="D45" i="1"/>
  <c r="B45" i="1"/>
  <c r="E44" i="1"/>
  <c r="D44" i="1"/>
  <c r="B44" i="1"/>
  <c r="E43" i="1"/>
  <c r="D43" i="1"/>
  <c r="B43" i="1"/>
  <c r="E42" i="1"/>
  <c r="D42" i="1"/>
  <c r="B42" i="1"/>
  <c r="E41" i="1"/>
  <c r="D41" i="1"/>
  <c r="B41" i="1"/>
  <c r="E40" i="1"/>
  <c r="D40" i="1"/>
  <c r="B40" i="1"/>
  <c r="E39" i="1"/>
  <c r="D39" i="1"/>
  <c r="B39" i="1"/>
  <c r="E38" i="1"/>
  <c r="D38" i="1"/>
  <c r="B38" i="1"/>
  <c r="E37" i="1"/>
  <c r="D37" i="1"/>
  <c r="B37" i="1"/>
  <c r="E36" i="1"/>
  <c r="D36" i="1"/>
  <c r="B36" i="1"/>
  <c r="E35" i="1"/>
  <c r="D35" i="1"/>
  <c r="B35" i="1"/>
  <c r="E34" i="1"/>
  <c r="D34" i="1"/>
  <c r="B34" i="1"/>
  <c r="E33" i="1"/>
  <c r="D33" i="1"/>
  <c r="B33" i="1"/>
  <c r="E32" i="1"/>
  <c r="D32" i="1"/>
  <c r="B32" i="1"/>
  <c r="E31" i="1"/>
  <c r="D31" i="1"/>
  <c r="B31" i="1"/>
  <c r="E30" i="1"/>
  <c r="D30" i="1"/>
  <c r="B30" i="1"/>
  <c r="E29" i="1"/>
  <c r="D29" i="1"/>
  <c r="B29" i="1"/>
  <c r="E28" i="1"/>
  <c r="D28" i="1"/>
  <c r="B28" i="1"/>
  <c r="E27" i="1"/>
  <c r="D27" i="1"/>
  <c r="B27" i="1"/>
  <c r="E26" i="1"/>
  <c r="D26" i="1"/>
  <c r="B26" i="1"/>
  <c r="E25" i="1"/>
  <c r="D25" i="1"/>
  <c r="B25" i="1"/>
  <c r="E24" i="1"/>
  <c r="D24" i="1"/>
  <c r="B24" i="1"/>
  <c r="E23" i="1"/>
  <c r="D23" i="1"/>
  <c r="B23" i="1"/>
  <c r="E22" i="1"/>
  <c r="D22" i="1"/>
  <c r="B22" i="1"/>
  <c r="E21" i="1"/>
  <c r="D21" i="1"/>
  <c r="B21" i="1"/>
  <c r="E20" i="1"/>
  <c r="D20" i="1"/>
  <c r="B20" i="1"/>
  <c r="E19" i="1"/>
  <c r="D19" i="1"/>
  <c r="B19" i="1"/>
  <c r="E18" i="1"/>
  <c r="D18" i="1"/>
  <c r="B18" i="1"/>
  <c r="E17" i="1"/>
  <c r="D17" i="1"/>
  <c r="B17" i="1"/>
  <c r="E16" i="1"/>
  <c r="D16" i="1"/>
  <c r="B16" i="1"/>
  <c r="E15" i="1"/>
  <c r="D15" i="1"/>
  <c r="B15" i="1"/>
  <c r="E14" i="1"/>
  <c r="D14" i="1"/>
  <c r="B14" i="1"/>
  <c r="E13" i="1"/>
  <c r="D13" i="1"/>
  <c r="B13" i="1"/>
  <c r="E12" i="1"/>
  <c r="D12" i="1"/>
  <c r="B12" i="1"/>
  <c r="E11" i="1"/>
  <c r="D11" i="1"/>
  <c r="B11" i="1"/>
  <c r="E10" i="1"/>
  <c r="D10" i="1"/>
  <c r="B10" i="1"/>
  <c r="E9" i="1"/>
  <c r="D9" i="1"/>
  <c r="B9" i="1"/>
  <c r="E8" i="1"/>
  <c r="D8" i="1"/>
  <c r="B8" i="1"/>
  <c r="E7" i="1"/>
  <c r="D7" i="1"/>
  <c r="B7" i="1"/>
  <c r="E6" i="1"/>
  <c r="D6" i="1"/>
  <c r="B6" i="1"/>
  <c r="E5" i="1"/>
  <c r="D5" i="1"/>
  <c r="B5" i="1"/>
  <c r="E4" i="1"/>
  <c r="D4" i="1"/>
  <c r="B4" i="1"/>
  <c r="E3" i="1"/>
  <c r="D3" i="1"/>
  <c r="B3" i="1"/>
  <c r="B743" i="6" l="1"/>
  <c r="B742" i="6"/>
  <c r="B741" i="6"/>
  <c r="B740" i="6"/>
  <c r="B739" i="6"/>
  <c r="B738" i="6"/>
  <c r="B737" i="6"/>
  <c r="B736" i="6"/>
  <c r="B735" i="6"/>
  <c r="E734" i="6"/>
  <c r="D734" i="6"/>
  <c r="B734" i="6"/>
  <c r="E733" i="6"/>
  <c r="D733" i="6"/>
  <c r="B733" i="6"/>
  <c r="E732" i="6"/>
  <c r="D732" i="6"/>
  <c r="B732" i="6"/>
  <c r="E731" i="6"/>
  <c r="D731" i="6"/>
  <c r="B731" i="6"/>
  <c r="E730" i="6"/>
  <c r="D730" i="6"/>
  <c r="B730" i="6"/>
  <c r="E729" i="6"/>
  <c r="D729" i="6"/>
  <c r="B729" i="6"/>
  <c r="E728" i="6"/>
  <c r="D728" i="6"/>
  <c r="B728" i="6"/>
  <c r="E727" i="6"/>
  <c r="D727" i="6"/>
  <c r="B727" i="6"/>
  <c r="E726" i="6"/>
  <c r="D726" i="6"/>
  <c r="B726" i="6"/>
  <c r="E725" i="6"/>
  <c r="D725" i="6"/>
  <c r="B725" i="6"/>
  <c r="E724" i="6"/>
  <c r="D724" i="6"/>
  <c r="B724" i="6"/>
  <c r="E723" i="6"/>
  <c r="D723" i="6"/>
  <c r="B723" i="6"/>
  <c r="E722" i="6"/>
  <c r="D722" i="6"/>
  <c r="B722" i="6"/>
  <c r="E721" i="6"/>
  <c r="D721" i="6"/>
  <c r="B721" i="6"/>
  <c r="E720" i="6"/>
  <c r="D720" i="6"/>
  <c r="B720" i="6"/>
  <c r="E719" i="6"/>
  <c r="D719" i="6"/>
  <c r="B719" i="6"/>
  <c r="E718" i="6"/>
  <c r="D718" i="6"/>
  <c r="B718" i="6"/>
  <c r="E717" i="6"/>
  <c r="D717" i="6"/>
  <c r="B717" i="6"/>
  <c r="E716" i="6"/>
  <c r="D716" i="6"/>
  <c r="B716" i="6"/>
  <c r="E715" i="6"/>
  <c r="D715" i="6"/>
  <c r="B715" i="6"/>
  <c r="E714" i="6"/>
  <c r="D714" i="6"/>
  <c r="B714" i="6"/>
  <c r="E713" i="6"/>
  <c r="D713" i="6"/>
  <c r="B713" i="6"/>
  <c r="E712" i="6"/>
  <c r="D712" i="6"/>
  <c r="B712" i="6"/>
  <c r="E711" i="6"/>
  <c r="D711" i="6"/>
  <c r="B711" i="6"/>
  <c r="E710" i="6"/>
  <c r="D710" i="6"/>
  <c r="B710" i="6"/>
  <c r="E709" i="6"/>
  <c r="D709" i="6"/>
  <c r="B709" i="6"/>
  <c r="E708" i="6"/>
  <c r="D708" i="6"/>
  <c r="B708" i="6"/>
  <c r="E707" i="6"/>
  <c r="D707" i="6"/>
  <c r="B707" i="6"/>
  <c r="E706" i="6"/>
  <c r="D706" i="6"/>
  <c r="B706" i="6"/>
  <c r="E705" i="6"/>
  <c r="D705" i="6"/>
  <c r="B705" i="6"/>
  <c r="E704" i="6"/>
  <c r="D704" i="6"/>
  <c r="B704" i="6"/>
  <c r="E703" i="6"/>
  <c r="D703" i="6"/>
  <c r="B703" i="6"/>
  <c r="E702" i="6"/>
  <c r="D702" i="6"/>
  <c r="B702" i="6"/>
  <c r="E701" i="6"/>
  <c r="D701" i="6"/>
  <c r="B701" i="6"/>
  <c r="E700" i="6"/>
  <c r="D700" i="6"/>
  <c r="B700" i="6"/>
  <c r="E699" i="6"/>
  <c r="D699" i="6"/>
  <c r="B699" i="6"/>
  <c r="E698" i="6"/>
  <c r="D698" i="6"/>
  <c r="B698" i="6"/>
  <c r="E697" i="6"/>
  <c r="D697" i="6"/>
  <c r="B697" i="6"/>
  <c r="E696" i="6"/>
  <c r="D696" i="6"/>
  <c r="B696" i="6"/>
  <c r="E695" i="6"/>
  <c r="D695" i="6"/>
  <c r="B695" i="6"/>
  <c r="E694" i="6"/>
  <c r="D694" i="6"/>
  <c r="B694" i="6"/>
  <c r="E693" i="6"/>
  <c r="D693" i="6"/>
  <c r="B693" i="6"/>
  <c r="E692" i="6"/>
  <c r="D692" i="6"/>
  <c r="B692" i="6"/>
  <c r="E691" i="6"/>
  <c r="D691" i="6"/>
  <c r="B691" i="6"/>
  <c r="E690" i="6"/>
  <c r="D690" i="6"/>
  <c r="B690" i="6"/>
  <c r="E689" i="6"/>
  <c r="D689" i="6"/>
  <c r="B689" i="6"/>
  <c r="E688" i="6"/>
  <c r="D688" i="6"/>
  <c r="B688" i="6"/>
  <c r="E687" i="6"/>
  <c r="D687" i="6"/>
  <c r="B687" i="6"/>
  <c r="E686" i="6"/>
  <c r="D686" i="6"/>
  <c r="B686" i="6"/>
  <c r="E685" i="6"/>
  <c r="D685" i="6"/>
  <c r="B685" i="6"/>
  <c r="E684" i="6"/>
  <c r="D684" i="6"/>
  <c r="B684" i="6"/>
  <c r="E683" i="6"/>
  <c r="D683" i="6"/>
  <c r="B683" i="6"/>
  <c r="E682" i="6"/>
  <c r="D682" i="6"/>
  <c r="B682" i="6"/>
  <c r="E681" i="6"/>
  <c r="D681" i="6"/>
  <c r="B681" i="6"/>
  <c r="E680" i="6"/>
  <c r="D680" i="6"/>
  <c r="B680" i="6"/>
  <c r="E679" i="6"/>
  <c r="D679" i="6"/>
  <c r="B679" i="6"/>
  <c r="E678" i="6"/>
  <c r="D678" i="6"/>
  <c r="B678" i="6"/>
  <c r="E677" i="6"/>
  <c r="D677" i="6"/>
  <c r="B677" i="6"/>
  <c r="E676" i="6"/>
  <c r="D676" i="6"/>
  <c r="B676" i="6"/>
  <c r="E675" i="6"/>
  <c r="D675" i="6"/>
  <c r="B675" i="6"/>
  <c r="E674" i="6"/>
  <c r="D674" i="6"/>
  <c r="B674" i="6"/>
  <c r="E673" i="6"/>
  <c r="D673" i="6"/>
  <c r="B673" i="6"/>
  <c r="E672" i="6"/>
  <c r="D672" i="6"/>
  <c r="B672" i="6"/>
  <c r="E671" i="6"/>
  <c r="D671" i="6"/>
  <c r="B671" i="6"/>
  <c r="E670" i="6"/>
  <c r="D670" i="6"/>
  <c r="B670" i="6"/>
  <c r="E669" i="6"/>
  <c r="D669" i="6"/>
  <c r="B669" i="6"/>
  <c r="E668" i="6"/>
  <c r="D668" i="6"/>
  <c r="B668" i="6"/>
  <c r="E667" i="6"/>
  <c r="D667" i="6"/>
  <c r="B667" i="6"/>
  <c r="E666" i="6"/>
  <c r="D666" i="6"/>
  <c r="B666" i="6"/>
  <c r="E665" i="6"/>
  <c r="D665" i="6"/>
  <c r="B665" i="6"/>
  <c r="E664" i="6"/>
  <c r="D664" i="6"/>
  <c r="B664" i="6"/>
  <c r="E663" i="6"/>
  <c r="D663" i="6"/>
  <c r="B663" i="6"/>
  <c r="E662" i="6"/>
  <c r="D662" i="6"/>
  <c r="B662" i="6"/>
  <c r="E661" i="6"/>
  <c r="D661" i="6"/>
  <c r="B661" i="6"/>
  <c r="E660" i="6"/>
  <c r="D660" i="6"/>
  <c r="B660" i="6"/>
  <c r="E659" i="6"/>
  <c r="D659" i="6"/>
  <c r="B659" i="6"/>
  <c r="E658" i="6"/>
  <c r="D658" i="6"/>
  <c r="B658" i="6"/>
  <c r="E657" i="6"/>
  <c r="D657" i="6"/>
  <c r="B657" i="6"/>
  <c r="E656" i="6"/>
  <c r="D656" i="6"/>
  <c r="B656" i="6"/>
  <c r="E655" i="6"/>
  <c r="D655" i="6"/>
  <c r="B655" i="6"/>
  <c r="E654" i="6"/>
  <c r="D654" i="6"/>
  <c r="B654" i="6"/>
  <c r="E653" i="6"/>
  <c r="D653" i="6"/>
  <c r="B653" i="6"/>
  <c r="E652" i="6"/>
  <c r="D652" i="6"/>
  <c r="B652" i="6"/>
  <c r="E651" i="6"/>
  <c r="D651" i="6"/>
  <c r="B651" i="6"/>
  <c r="E650" i="6"/>
  <c r="D650" i="6"/>
  <c r="B650" i="6"/>
  <c r="E649" i="6"/>
  <c r="D649" i="6"/>
  <c r="B649" i="6"/>
  <c r="E648" i="6"/>
  <c r="D648" i="6"/>
  <c r="B648" i="6"/>
  <c r="E647" i="6"/>
  <c r="D647" i="6"/>
  <c r="B647" i="6"/>
  <c r="E646" i="6"/>
  <c r="D646" i="6"/>
  <c r="B646" i="6"/>
  <c r="E645" i="6"/>
  <c r="D645" i="6"/>
  <c r="B645" i="6"/>
  <c r="E644" i="6"/>
  <c r="D644" i="6"/>
  <c r="B644" i="6"/>
  <c r="E643" i="6"/>
  <c r="D643" i="6"/>
  <c r="B643" i="6"/>
  <c r="E642" i="6"/>
  <c r="D642" i="6"/>
  <c r="B642" i="6"/>
  <c r="E641" i="6"/>
  <c r="D641" i="6"/>
  <c r="B641" i="6"/>
  <c r="E640" i="6"/>
  <c r="D640" i="6"/>
  <c r="B640" i="6"/>
  <c r="E639" i="6"/>
  <c r="D639" i="6"/>
  <c r="B639" i="6"/>
  <c r="E638" i="6"/>
  <c r="D638" i="6"/>
  <c r="B638" i="6"/>
  <c r="E637" i="6"/>
  <c r="D637" i="6"/>
  <c r="B637" i="6"/>
  <c r="E636" i="6"/>
  <c r="D636" i="6"/>
  <c r="B636" i="6"/>
  <c r="E635" i="6"/>
  <c r="D635" i="6"/>
  <c r="B635" i="6"/>
  <c r="E634" i="6"/>
  <c r="D634" i="6"/>
  <c r="B634" i="6"/>
  <c r="E633" i="6"/>
  <c r="D633" i="6"/>
  <c r="B633" i="6"/>
  <c r="E632" i="6"/>
  <c r="D632" i="6"/>
  <c r="B632" i="6"/>
  <c r="E631" i="6"/>
  <c r="D631" i="6"/>
  <c r="B631" i="6"/>
  <c r="E630" i="6"/>
  <c r="D630" i="6"/>
  <c r="B630" i="6"/>
  <c r="E629" i="6"/>
  <c r="D629" i="6"/>
  <c r="B629" i="6"/>
  <c r="E628" i="6"/>
  <c r="D628" i="6"/>
  <c r="B628" i="6"/>
  <c r="E627" i="6"/>
  <c r="D627" i="6"/>
  <c r="B627" i="6"/>
  <c r="E626" i="6"/>
  <c r="D626" i="6"/>
  <c r="B626" i="6"/>
  <c r="E625" i="6"/>
  <c r="D625" i="6"/>
  <c r="B625" i="6"/>
  <c r="E624" i="6"/>
  <c r="D624" i="6"/>
  <c r="B624" i="6"/>
  <c r="E623" i="6"/>
  <c r="D623" i="6"/>
  <c r="B623" i="6"/>
  <c r="E622" i="6"/>
  <c r="D622" i="6"/>
  <c r="B622" i="6"/>
  <c r="E621" i="6"/>
  <c r="D621" i="6"/>
  <c r="B621" i="6"/>
  <c r="E620" i="6"/>
  <c r="D620" i="6"/>
  <c r="B620" i="6"/>
  <c r="E619" i="6"/>
  <c r="D619" i="6"/>
  <c r="B619" i="6"/>
  <c r="E618" i="6"/>
  <c r="D618" i="6"/>
  <c r="B618" i="6"/>
  <c r="E617" i="6"/>
  <c r="D617" i="6"/>
  <c r="B617" i="6"/>
  <c r="E616" i="6"/>
  <c r="D616" i="6"/>
  <c r="B616" i="6"/>
  <c r="E615" i="6"/>
  <c r="D615" i="6"/>
  <c r="B615" i="6"/>
  <c r="E614" i="6"/>
  <c r="D614" i="6"/>
  <c r="B614" i="6"/>
  <c r="E613" i="6"/>
  <c r="D613" i="6"/>
  <c r="B613" i="6"/>
  <c r="E612" i="6"/>
  <c r="D612" i="6"/>
  <c r="B612" i="6"/>
  <c r="E611" i="6"/>
  <c r="D611" i="6"/>
  <c r="B611" i="6"/>
  <c r="E610" i="6"/>
  <c r="D610" i="6"/>
  <c r="B610" i="6"/>
  <c r="E609" i="6"/>
  <c r="D609" i="6"/>
  <c r="B609" i="6"/>
  <c r="E608" i="6"/>
  <c r="D608" i="6"/>
  <c r="B608" i="6"/>
  <c r="E607" i="6"/>
  <c r="D607" i="6"/>
  <c r="B607" i="6"/>
  <c r="E606" i="6"/>
  <c r="D606" i="6"/>
  <c r="B606" i="6"/>
  <c r="E605" i="6"/>
  <c r="D605" i="6"/>
  <c r="B605" i="6"/>
  <c r="E604" i="6"/>
  <c r="D604" i="6"/>
  <c r="B604" i="6"/>
  <c r="E603" i="6"/>
  <c r="D603" i="6"/>
  <c r="B603" i="6"/>
  <c r="E602" i="6"/>
  <c r="D602" i="6"/>
  <c r="B602" i="6"/>
  <c r="E601" i="6"/>
  <c r="D601" i="6"/>
  <c r="B601" i="6"/>
  <c r="E600" i="6"/>
  <c r="D600" i="6"/>
  <c r="B600" i="6"/>
  <c r="E599" i="6"/>
  <c r="D599" i="6"/>
  <c r="B599" i="6"/>
  <c r="E598" i="6"/>
  <c r="D598" i="6"/>
  <c r="B598" i="6"/>
  <c r="E597" i="6"/>
  <c r="D597" i="6"/>
  <c r="B597" i="6"/>
  <c r="E596" i="6"/>
  <c r="D596" i="6"/>
  <c r="B596" i="6"/>
  <c r="E595" i="6"/>
  <c r="D595" i="6"/>
  <c r="B595" i="6"/>
  <c r="E594" i="6"/>
  <c r="D594" i="6"/>
  <c r="B594" i="6"/>
  <c r="E593" i="6"/>
  <c r="D593" i="6"/>
  <c r="B593" i="6"/>
  <c r="E592" i="6"/>
  <c r="D592" i="6"/>
  <c r="B592" i="6"/>
  <c r="E591" i="6"/>
  <c r="D591" i="6"/>
  <c r="B591" i="6"/>
  <c r="E590" i="6"/>
  <c r="D590" i="6"/>
  <c r="B590" i="6"/>
  <c r="E589" i="6"/>
  <c r="D589" i="6"/>
  <c r="B589" i="6"/>
  <c r="E588" i="6"/>
  <c r="D588" i="6"/>
  <c r="B588" i="6"/>
  <c r="E587" i="6"/>
  <c r="D587" i="6"/>
  <c r="B587" i="6"/>
  <c r="E586" i="6"/>
  <c r="D586" i="6"/>
  <c r="B586" i="6"/>
  <c r="E585" i="6"/>
  <c r="D585" i="6"/>
  <c r="B585" i="6"/>
  <c r="E584" i="6"/>
  <c r="D584" i="6"/>
  <c r="B584" i="6"/>
  <c r="E583" i="6"/>
  <c r="D583" i="6"/>
  <c r="B583" i="6"/>
  <c r="E582" i="6"/>
  <c r="D582" i="6"/>
  <c r="B582" i="6"/>
  <c r="E581" i="6"/>
  <c r="D581" i="6"/>
  <c r="B581" i="6"/>
  <c r="E580" i="6"/>
  <c r="D580" i="6"/>
  <c r="B580" i="6"/>
  <c r="E579" i="6"/>
  <c r="D579" i="6"/>
  <c r="B579" i="6"/>
  <c r="E578" i="6"/>
  <c r="D578" i="6"/>
  <c r="B578" i="6"/>
  <c r="E577" i="6"/>
  <c r="D577" i="6"/>
  <c r="B577" i="6"/>
  <c r="E576" i="6"/>
  <c r="D576" i="6"/>
  <c r="B576" i="6"/>
  <c r="E575" i="6"/>
  <c r="D575" i="6"/>
  <c r="B575" i="6"/>
  <c r="E574" i="6"/>
  <c r="D574" i="6"/>
  <c r="B574" i="6"/>
  <c r="E573" i="6"/>
  <c r="D573" i="6"/>
  <c r="B573" i="6"/>
  <c r="E572" i="6"/>
  <c r="D572" i="6"/>
  <c r="B572" i="6"/>
  <c r="E571" i="6"/>
  <c r="D571" i="6"/>
  <c r="B571" i="6"/>
  <c r="E570" i="6"/>
  <c r="D570" i="6"/>
  <c r="B570" i="6"/>
  <c r="E569" i="6"/>
  <c r="D569" i="6"/>
  <c r="B569" i="6"/>
  <c r="E568" i="6"/>
  <c r="D568" i="6"/>
  <c r="B568" i="6"/>
  <c r="E567" i="6"/>
  <c r="D567" i="6"/>
  <c r="B567" i="6"/>
  <c r="E566" i="6"/>
  <c r="D566" i="6"/>
  <c r="B566" i="6"/>
  <c r="E565" i="6"/>
  <c r="D565" i="6"/>
  <c r="B565" i="6"/>
  <c r="E564" i="6"/>
  <c r="D564" i="6"/>
  <c r="B564" i="6"/>
  <c r="E563" i="6"/>
  <c r="D563" i="6"/>
  <c r="B563" i="6"/>
  <c r="E562" i="6"/>
  <c r="D562" i="6"/>
  <c r="B562" i="6"/>
  <c r="E561" i="6"/>
  <c r="D561" i="6"/>
  <c r="B561" i="6"/>
  <c r="E560" i="6"/>
  <c r="D560" i="6"/>
  <c r="B560" i="6"/>
  <c r="E559" i="6"/>
  <c r="D559" i="6"/>
  <c r="B559" i="6"/>
  <c r="E558" i="6"/>
  <c r="D558" i="6"/>
  <c r="B558" i="6"/>
  <c r="E557" i="6"/>
  <c r="D557" i="6"/>
  <c r="B557" i="6"/>
  <c r="E556" i="6"/>
  <c r="D556" i="6"/>
  <c r="B556" i="6"/>
  <c r="E555" i="6"/>
  <c r="D555" i="6"/>
  <c r="B555" i="6"/>
  <c r="E554" i="6"/>
  <c r="D554" i="6"/>
  <c r="B554" i="6"/>
  <c r="E553" i="6"/>
  <c r="D553" i="6"/>
  <c r="B553" i="6"/>
  <c r="E552" i="6"/>
  <c r="D552" i="6"/>
  <c r="B552" i="6"/>
  <c r="E551" i="6"/>
  <c r="D551" i="6"/>
  <c r="B551" i="6"/>
  <c r="E550" i="6"/>
  <c r="D550" i="6"/>
  <c r="B550" i="6"/>
  <c r="E549" i="6"/>
  <c r="D549" i="6"/>
  <c r="B549" i="6"/>
  <c r="E548" i="6"/>
  <c r="D548" i="6"/>
  <c r="B548" i="6"/>
  <c r="E547" i="6"/>
  <c r="D547" i="6"/>
  <c r="B547" i="6"/>
  <c r="E546" i="6"/>
  <c r="D546" i="6"/>
  <c r="B546" i="6"/>
  <c r="E545" i="6"/>
  <c r="D545" i="6"/>
  <c r="B545" i="6"/>
  <c r="E544" i="6"/>
  <c r="D544" i="6"/>
  <c r="B544" i="6"/>
  <c r="E543" i="6"/>
  <c r="D543" i="6"/>
  <c r="B543" i="6"/>
  <c r="E542" i="6"/>
  <c r="D542" i="6"/>
  <c r="B542" i="6"/>
  <c r="E541" i="6"/>
  <c r="D541" i="6"/>
  <c r="B541" i="6"/>
  <c r="E540" i="6"/>
  <c r="D540" i="6"/>
  <c r="B540" i="6"/>
  <c r="E539" i="6"/>
  <c r="D539" i="6"/>
  <c r="B539" i="6"/>
  <c r="E538" i="6"/>
  <c r="D538" i="6"/>
  <c r="B538" i="6"/>
  <c r="E537" i="6"/>
  <c r="D537" i="6"/>
  <c r="B537" i="6"/>
  <c r="E536" i="6"/>
  <c r="D536" i="6"/>
  <c r="B536" i="6"/>
  <c r="E535" i="6"/>
  <c r="D535" i="6"/>
  <c r="B535" i="6"/>
  <c r="E534" i="6"/>
  <c r="D534" i="6"/>
  <c r="B534" i="6"/>
  <c r="E533" i="6"/>
  <c r="D533" i="6"/>
  <c r="B533" i="6"/>
  <c r="E532" i="6"/>
  <c r="D532" i="6"/>
  <c r="B532" i="6"/>
  <c r="E531" i="6"/>
  <c r="D531" i="6"/>
  <c r="B531" i="6"/>
  <c r="E530" i="6"/>
  <c r="D530" i="6"/>
  <c r="B530" i="6"/>
  <c r="E529" i="6"/>
  <c r="D529" i="6"/>
  <c r="B529" i="6"/>
  <c r="E528" i="6"/>
  <c r="D528" i="6"/>
  <c r="B528" i="6"/>
  <c r="E527" i="6"/>
  <c r="D527" i="6"/>
  <c r="B527" i="6"/>
  <c r="E526" i="6"/>
  <c r="D526" i="6"/>
  <c r="B526" i="6"/>
  <c r="E525" i="6"/>
  <c r="D525" i="6"/>
  <c r="B525" i="6"/>
  <c r="E524" i="6"/>
  <c r="D524" i="6"/>
  <c r="B524" i="6"/>
  <c r="E523" i="6"/>
  <c r="D523" i="6"/>
  <c r="B523" i="6"/>
  <c r="E522" i="6"/>
  <c r="D522" i="6"/>
  <c r="B522" i="6"/>
  <c r="E521" i="6"/>
  <c r="D521" i="6"/>
  <c r="B521" i="6"/>
  <c r="E520" i="6"/>
  <c r="D520" i="6"/>
  <c r="B520" i="6"/>
  <c r="E519" i="6"/>
  <c r="D519" i="6"/>
  <c r="B519" i="6"/>
  <c r="E518" i="6"/>
  <c r="D518" i="6"/>
  <c r="B518" i="6"/>
  <c r="E517" i="6"/>
  <c r="D517" i="6"/>
  <c r="B517" i="6"/>
  <c r="E516" i="6"/>
  <c r="D516" i="6"/>
  <c r="B516" i="6"/>
  <c r="E515" i="6"/>
  <c r="D515" i="6"/>
  <c r="B515" i="6"/>
  <c r="E514" i="6"/>
  <c r="D514" i="6"/>
  <c r="B514" i="6"/>
  <c r="E513" i="6"/>
  <c r="D513" i="6"/>
  <c r="B513" i="6"/>
  <c r="E512" i="6"/>
  <c r="D512" i="6"/>
  <c r="B512" i="6"/>
  <c r="E511" i="6"/>
  <c r="D511" i="6"/>
  <c r="B511" i="6"/>
  <c r="E510" i="6"/>
  <c r="D510" i="6"/>
  <c r="B510" i="6"/>
  <c r="E509" i="6"/>
  <c r="D509" i="6"/>
  <c r="B509" i="6"/>
  <c r="E508" i="6"/>
  <c r="D508" i="6"/>
  <c r="B508" i="6"/>
  <c r="E507" i="6"/>
  <c r="D507" i="6"/>
  <c r="B507" i="6"/>
  <c r="E506" i="6"/>
  <c r="D506" i="6"/>
  <c r="B506" i="6"/>
  <c r="E505" i="6"/>
  <c r="D505" i="6"/>
  <c r="B505" i="6"/>
  <c r="E504" i="6"/>
  <c r="D504" i="6"/>
  <c r="B504" i="6"/>
  <c r="E503" i="6"/>
  <c r="D503" i="6"/>
  <c r="B503" i="6"/>
  <c r="E502" i="6"/>
  <c r="D502" i="6"/>
  <c r="B502" i="6"/>
  <c r="E501" i="6"/>
  <c r="D501" i="6"/>
  <c r="B501" i="6"/>
  <c r="E500" i="6"/>
  <c r="D500" i="6"/>
  <c r="B500" i="6"/>
  <c r="E499" i="6"/>
  <c r="D499" i="6"/>
  <c r="B499" i="6"/>
  <c r="E498" i="6"/>
  <c r="D498" i="6"/>
  <c r="B498" i="6"/>
  <c r="E497" i="6"/>
  <c r="D497" i="6"/>
  <c r="B497" i="6"/>
  <c r="E496" i="6"/>
  <c r="D496" i="6"/>
  <c r="B496" i="6"/>
  <c r="E495" i="6"/>
  <c r="D495" i="6"/>
  <c r="B495" i="6"/>
  <c r="E494" i="6"/>
  <c r="D494" i="6"/>
  <c r="B494" i="6"/>
  <c r="E493" i="6"/>
  <c r="D493" i="6"/>
  <c r="B493" i="6"/>
  <c r="E492" i="6"/>
  <c r="D492" i="6"/>
  <c r="B492" i="6"/>
  <c r="E491" i="6"/>
  <c r="D491" i="6"/>
  <c r="B491" i="6"/>
  <c r="E490" i="6"/>
  <c r="D490" i="6"/>
  <c r="B490" i="6"/>
  <c r="E489" i="6"/>
  <c r="D489" i="6"/>
  <c r="B489" i="6"/>
  <c r="E488" i="6"/>
  <c r="D488" i="6"/>
  <c r="B488" i="6"/>
  <c r="E487" i="6"/>
  <c r="D487" i="6"/>
  <c r="B487" i="6"/>
  <c r="E486" i="6"/>
  <c r="D486" i="6"/>
  <c r="B486" i="6"/>
  <c r="E485" i="6"/>
  <c r="D485" i="6"/>
  <c r="B485" i="6"/>
  <c r="E484" i="6"/>
  <c r="D484" i="6"/>
  <c r="B484" i="6"/>
  <c r="E483" i="6"/>
  <c r="D483" i="6"/>
  <c r="B483" i="6"/>
  <c r="E482" i="6"/>
  <c r="D482" i="6"/>
  <c r="B482" i="6"/>
  <c r="E481" i="6"/>
  <c r="D481" i="6"/>
  <c r="B481" i="6"/>
  <c r="E480" i="6"/>
  <c r="D480" i="6"/>
  <c r="B480" i="6"/>
  <c r="E479" i="6"/>
  <c r="D479" i="6"/>
  <c r="B479" i="6"/>
  <c r="E478" i="6"/>
  <c r="D478" i="6"/>
  <c r="B478" i="6"/>
  <c r="E477" i="6"/>
  <c r="D477" i="6"/>
  <c r="B477" i="6"/>
  <c r="E476" i="6"/>
  <c r="D476" i="6"/>
  <c r="B476" i="6"/>
  <c r="E475" i="6"/>
  <c r="D475" i="6"/>
  <c r="B475" i="6"/>
  <c r="E474" i="6"/>
  <c r="D474" i="6"/>
  <c r="B474" i="6"/>
  <c r="E473" i="6"/>
  <c r="D473" i="6"/>
  <c r="B473" i="6"/>
  <c r="E472" i="6"/>
  <c r="D472" i="6"/>
  <c r="B472" i="6"/>
  <c r="E471" i="6"/>
  <c r="D471" i="6"/>
  <c r="B471" i="6"/>
  <c r="E470" i="6"/>
  <c r="D470" i="6"/>
  <c r="B470" i="6"/>
  <c r="E469" i="6"/>
  <c r="D469" i="6"/>
  <c r="B469" i="6"/>
  <c r="E468" i="6"/>
  <c r="D468" i="6"/>
  <c r="B468" i="6"/>
  <c r="E467" i="6"/>
  <c r="D467" i="6"/>
  <c r="B467" i="6"/>
  <c r="E466" i="6"/>
  <c r="D466" i="6"/>
  <c r="B466" i="6"/>
  <c r="E465" i="6"/>
  <c r="D465" i="6"/>
  <c r="B465" i="6"/>
  <c r="E464" i="6"/>
  <c r="D464" i="6"/>
  <c r="B464" i="6"/>
  <c r="E463" i="6"/>
  <c r="D463" i="6"/>
  <c r="B463" i="6"/>
  <c r="E462" i="6"/>
  <c r="D462" i="6"/>
  <c r="B462" i="6"/>
  <c r="E461" i="6"/>
  <c r="D461" i="6"/>
  <c r="B461" i="6"/>
  <c r="E460" i="6"/>
  <c r="D460" i="6"/>
  <c r="B460" i="6"/>
  <c r="E459" i="6"/>
  <c r="D459" i="6"/>
  <c r="B459" i="6"/>
  <c r="E458" i="6"/>
  <c r="D458" i="6"/>
  <c r="B458" i="6"/>
  <c r="E457" i="6"/>
  <c r="D457" i="6"/>
  <c r="B457" i="6"/>
  <c r="E456" i="6"/>
  <c r="D456" i="6"/>
  <c r="B456" i="6"/>
  <c r="E455" i="6"/>
  <c r="D455" i="6"/>
  <c r="B455" i="6"/>
  <c r="E454" i="6"/>
  <c r="D454" i="6"/>
  <c r="B454" i="6"/>
  <c r="E453" i="6"/>
  <c r="D453" i="6"/>
  <c r="B453" i="6"/>
  <c r="E452" i="6"/>
  <c r="D452" i="6"/>
  <c r="B452" i="6"/>
  <c r="E451" i="6"/>
  <c r="D451" i="6"/>
  <c r="B451" i="6"/>
  <c r="E450" i="6"/>
  <c r="D450" i="6"/>
  <c r="B450" i="6"/>
  <c r="E449" i="6"/>
  <c r="D449" i="6"/>
  <c r="B449" i="6"/>
  <c r="E448" i="6"/>
  <c r="D448" i="6"/>
  <c r="B448" i="6"/>
  <c r="E447" i="6"/>
  <c r="D447" i="6"/>
  <c r="B447" i="6"/>
  <c r="E446" i="6"/>
  <c r="D446" i="6"/>
  <c r="B446" i="6"/>
  <c r="E445" i="6"/>
  <c r="D445" i="6"/>
  <c r="B445" i="6"/>
  <c r="E444" i="6"/>
  <c r="D444" i="6"/>
  <c r="B444" i="6"/>
  <c r="E443" i="6"/>
  <c r="D443" i="6"/>
  <c r="B443" i="6"/>
  <c r="E442" i="6"/>
  <c r="D442" i="6"/>
  <c r="B442" i="6"/>
  <c r="E441" i="6"/>
  <c r="D441" i="6"/>
  <c r="B441" i="6"/>
  <c r="E440" i="6"/>
  <c r="D440" i="6"/>
  <c r="B440" i="6"/>
  <c r="E439" i="6"/>
  <c r="D439" i="6"/>
  <c r="B439" i="6"/>
  <c r="E438" i="6"/>
  <c r="D438" i="6"/>
  <c r="B438" i="6"/>
  <c r="E437" i="6"/>
  <c r="D437" i="6"/>
  <c r="B437" i="6"/>
  <c r="E436" i="6"/>
  <c r="D436" i="6"/>
  <c r="B436" i="6"/>
  <c r="E435" i="6"/>
  <c r="D435" i="6"/>
  <c r="B435" i="6"/>
  <c r="E434" i="6"/>
  <c r="D434" i="6"/>
  <c r="B434" i="6"/>
  <c r="E433" i="6"/>
  <c r="D433" i="6"/>
  <c r="B433" i="6"/>
  <c r="E432" i="6"/>
  <c r="D432" i="6"/>
  <c r="B432" i="6"/>
  <c r="E431" i="6"/>
  <c r="D431" i="6"/>
  <c r="B431" i="6"/>
  <c r="E430" i="6"/>
  <c r="D430" i="6"/>
  <c r="B430" i="6"/>
  <c r="E429" i="6"/>
  <c r="D429" i="6"/>
  <c r="B429" i="6"/>
  <c r="E428" i="6"/>
  <c r="D428" i="6"/>
  <c r="B428" i="6"/>
  <c r="E427" i="6"/>
  <c r="D427" i="6"/>
  <c r="B427" i="6"/>
  <c r="E426" i="6"/>
  <c r="D426" i="6"/>
  <c r="B426" i="6"/>
  <c r="E425" i="6"/>
  <c r="D425" i="6"/>
  <c r="B425" i="6"/>
  <c r="E424" i="6"/>
  <c r="D424" i="6"/>
  <c r="B424" i="6"/>
  <c r="E423" i="6"/>
  <c r="D423" i="6"/>
  <c r="B423" i="6"/>
  <c r="E422" i="6"/>
  <c r="D422" i="6"/>
  <c r="B422" i="6"/>
  <c r="E421" i="6"/>
  <c r="D421" i="6"/>
  <c r="B421" i="6"/>
  <c r="E420" i="6"/>
  <c r="D420" i="6"/>
  <c r="B420" i="6"/>
  <c r="E419" i="6"/>
  <c r="D419" i="6"/>
  <c r="B419" i="6"/>
  <c r="E418" i="6"/>
  <c r="D418" i="6"/>
  <c r="B418" i="6"/>
  <c r="E417" i="6"/>
  <c r="D417" i="6"/>
  <c r="B417" i="6"/>
  <c r="E416" i="6"/>
  <c r="D416" i="6"/>
  <c r="B416" i="6"/>
  <c r="E415" i="6"/>
  <c r="D415" i="6"/>
  <c r="B415" i="6"/>
  <c r="E414" i="6"/>
  <c r="D414" i="6"/>
  <c r="B414" i="6"/>
  <c r="E413" i="6"/>
  <c r="D413" i="6"/>
  <c r="B413" i="6"/>
  <c r="E412" i="6"/>
  <c r="D412" i="6"/>
  <c r="B412" i="6"/>
  <c r="E411" i="6"/>
  <c r="D411" i="6"/>
  <c r="B411" i="6"/>
  <c r="E410" i="6"/>
  <c r="D410" i="6"/>
  <c r="B410" i="6"/>
  <c r="E409" i="6"/>
  <c r="D409" i="6"/>
  <c r="B409" i="6"/>
  <c r="E408" i="6"/>
  <c r="D408" i="6"/>
  <c r="B408" i="6"/>
  <c r="E407" i="6"/>
  <c r="D407" i="6"/>
  <c r="B407" i="6"/>
  <c r="E406" i="6"/>
  <c r="D406" i="6"/>
  <c r="B406" i="6"/>
  <c r="E405" i="6"/>
  <c r="D405" i="6"/>
  <c r="B405" i="6"/>
  <c r="E404" i="6"/>
  <c r="D404" i="6"/>
  <c r="B404" i="6"/>
  <c r="E403" i="6"/>
  <c r="D403" i="6"/>
  <c r="B403" i="6"/>
  <c r="E402" i="6"/>
  <c r="D402" i="6"/>
  <c r="B402" i="6"/>
  <c r="E401" i="6"/>
  <c r="D401" i="6"/>
  <c r="B401" i="6"/>
  <c r="E400" i="6"/>
  <c r="D400" i="6"/>
  <c r="B400" i="6"/>
  <c r="E399" i="6"/>
  <c r="D399" i="6"/>
  <c r="B399" i="6"/>
  <c r="E398" i="6"/>
  <c r="D398" i="6"/>
  <c r="B398" i="6"/>
  <c r="E397" i="6"/>
  <c r="D397" i="6"/>
  <c r="B397" i="6"/>
  <c r="E396" i="6"/>
  <c r="D396" i="6"/>
  <c r="B396" i="6"/>
  <c r="E395" i="6"/>
  <c r="D395" i="6"/>
  <c r="B395" i="6"/>
  <c r="E394" i="6"/>
  <c r="D394" i="6"/>
  <c r="B394" i="6"/>
  <c r="E393" i="6"/>
  <c r="D393" i="6"/>
  <c r="B393" i="6"/>
  <c r="E392" i="6"/>
  <c r="D392" i="6"/>
  <c r="B392" i="6"/>
  <c r="E391" i="6"/>
  <c r="D391" i="6"/>
  <c r="B391" i="6"/>
  <c r="E390" i="6"/>
  <c r="D390" i="6"/>
  <c r="B390" i="6"/>
  <c r="E389" i="6"/>
  <c r="D389" i="6"/>
  <c r="B389" i="6"/>
  <c r="E388" i="6"/>
  <c r="D388" i="6"/>
  <c r="B388" i="6"/>
  <c r="E387" i="6"/>
  <c r="D387" i="6"/>
  <c r="B387" i="6"/>
  <c r="E386" i="6"/>
  <c r="D386" i="6"/>
  <c r="B386" i="6"/>
  <c r="E385" i="6"/>
  <c r="D385" i="6"/>
  <c r="B385" i="6"/>
  <c r="E384" i="6"/>
  <c r="D384" i="6"/>
  <c r="B384" i="6"/>
  <c r="E383" i="6"/>
  <c r="D383" i="6"/>
  <c r="B383" i="6"/>
  <c r="E382" i="6"/>
  <c r="D382" i="6"/>
  <c r="B382" i="6"/>
  <c r="E381" i="6"/>
  <c r="D381" i="6"/>
  <c r="B381" i="6"/>
  <c r="E380" i="6"/>
  <c r="D380" i="6"/>
  <c r="B380" i="6"/>
  <c r="E379" i="6"/>
  <c r="D379" i="6"/>
  <c r="B379" i="6"/>
  <c r="E378" i="6"/>
  <c r="D378" i="6"/>
  <c r="B378" i="6"/>
  <c r="E377" i="6"/>
  <c r="D377" i="6"/>
  <c r="B377" i="6"/>
  <c r="E376" i="6"/>
  <c r="D376" i="6"/>
  <c r="B376" i="6"/>
  <c r="E375" i="6"/>
  <c r="D375" i="6"/>
  <c r="B375" i="6"/>
  <c r="E374" i="6"/>
  <c r="D374" i="6"/>
  <c r="B374" i="6"/>
  <c r="E373" i="6"/>
  <c r="D373" i="6"/>
  <c r="B373" i="6"/>
  <c r="E372" i="6"/>
  <c r="D372" i="6"/>
  <c r="B372" i="6"/>
  <c r="E371" i="6"/>
  <c r="D371" i="6"/>
  <c r="B371" i="6"/>
  <c r="E370" i="6"/>
  <c r="D370" i="6"/>
  <c r="B370" i="6"/>
  <c r="E369" i="6"/>
  <c r="D369" i="6"/>
  <c r="B369" i="6"/>
  <c r="E368" i="6"/>
  <c r="D368" i="6"/>
  <c r="B368" i="6"/>
  <c r="E367" i="6"/>
  <c r="D367" i="6"/>
  <c r="B367" i="6"/>
  <c r="E366" i="6"/>
  <c r="D366" i="6"/>
  <c r="B366" i="6"/>
  <c r="E365" i="6"/>
  <c r="D365" i="6"/>
  <c r="B365" i="6"/>
  <c r="E364" i="6"/>
  <c r="D364" i="6"/>
  <c r="B364" i="6"/>
  <c r="E363" i="6"/>
  <c r="D363" i="6"/>
  <c r="B363" i="6"/>
  <c r="E362" i="6"/>
  <c r="D362" i="6"/>
  <c r="B362" i="6"/>
  <c r="E361" i="6"/>
  <c r="D361" i="6"/>
  <c r="B361" i="6"/>
  <c r="E360" i="6"/>
  <c r="D360" i="6"/>
  <c r="B360" i="6"/>
  <c r="E359" i="6"/>
  <c r="D359" i="6"/>
  <c r="B359" i="6"/>
  <c r="E358" i="6"/>
  <c r="D358" i="6"/>
  <c r="B358" i="6"/>
  <c r="E357" i="6"/>
  <c r="D357" i="6"/>
  <c r="B357" i="6"/>
  <c r="E356" i="6"/>
  <c r="D356" i="6"/>
  <c r="B356" i="6"/>
  <c r="E355" i="6"/>
  <c r="D355" i="6"/>
  <c r="B355" i="6"/>
  <c r="E354" i="6"/>
  <c r="D354" i="6"/>
  <c r="B354" i="6"/>
  <c r="E353" i="6"/>
  <c r="D353" i="6"/>
  <c r="B353" i="6"/>
  <c r="E352" i="6"/>
  <c r="D352" i="6"/>
  <c r="B352" i="6"/>
  <c r="E351" i="6"/>
  <c r="D351" i="6"/>
  <c r="B351" i="6"/>
  <c r="E350" i="6"/>
  <c r="D350" i="6"/>
  <c r="B350" i="6"/>
  <c r="E349" i="6"/>
  <c r="D349" i="6"/>
  <c r="B349" i="6"/>
  <c r="E348" i="6"/>
  <c r="D348" i="6"/>
  <c r="B348" i="6"/>
  <c r="E347" i="6"/>
  <c r="D347" i="6"/>
  <c r="B347" i="6"/>
  <c r="E346" i="6"/>
  <c r="D346" i="6"/>
  <c r="B346" i="6"/>
  <c r="E345" i="6"/>
  <c r="D345" i="6"/>
  <c r="B345" i="6"/>
  <c r="E344" i="6"/>
  <c r="D344" i="6"/>
  <c r="B344" i="6"/>
  <c r="E343" i="6"/>
  <c r="D343" i="6"/>
  <c r="B343" i="6"/>
  <c r="E342" i="6"/>
  <c r="D342" i="6"/>
  <c r="B342" i="6"/>
  <c r="E341" i="6"/>
  <c r="D341" i="6"/>
  <c r="B341" i="6"/>
  <c r="E340" i="6"/>
  <c r="D340" i="6"/>
  <c r="B340" i="6"/>
  <c r="E339" i="6"/>
  <c r="D339" i="6"/>
  <c r="B339" i="6"/>
  <c r="E338" i="6"/>
  <c r="D338" i="6"/>
  <c r="B338" i="6"/>
  <c r="E337" i="6"/>
  <c r="D337" i="6"/>
  <c r="B337" i="6"/>
  <c r="E336" i="6"/>
  <c r="D336" i="6"/>
  <c r="B336" i="6"/>
  <c r="E335" i="6"/>
  <c r="D335" i="6"/>
  <c r="B335" i="6"/>
  <c r="E334" i="6"/>
  <c r="D334" i="6"/>
  <c r="B334" i="6"/>
  <c r="E333" i="6"/>
  <c r="D333" i="6"/>
  <c r="B333" i="6"/>
  <c r="E332" i="6"/>
  <c r="D332" i="6"/>
  <c r="B332" i="6"/>
  <c r="E331" i="6"/>
  <c r="D331" i="6"/>
  <c r="B331" i="6"/>
  <c r="E330" i="6"/>
  <c r="D330" i="6"/>
  <c r="B330" i="6"/>
  <c r="E329" i="6"/>
  <c r="D329" i="6"/>
  <c r="B329" i="6"/>
  <c r="E328" i="6"/>
  <c r="D328" i="6"/>
  <c r="B328" i="6"/>
  <c r="E327" i="6"/>
  <c r="D327" i="6"/>
  <c r="B327" i="6"/>
  <c r="E326" i="6"/>
  <c r="D326" i="6"/>
  <c r="B326" i="6"/>
  <c r="E325" i="6"/>
  <c r="D325" i="6"/>
  <c r="B325" i="6"/>
  <c r="E324" i="6"/>
  <c r="D324" i="6"/>
  <c r="B324" i="6"/>
  <c r="E323" i="6"/>
  <c r="D323" i="6"/>
  <c r="B323" i="6"/>
  <c r="E322" i="6"/>
  <c r="D322" i="6"/>
  <c r="B322" i="6"/>
  <c r="E321" i="6"/>
  <c r="D321" i="6"/>
  <c r="B321" i="6"/>
  <c r="E320" i="6"/>
  <c r="D320" i="6"/>
  <c r="B320" i="6"/>
  <c r="E319" i="6"/>
  <c r="D319" i="6"/>
  <c r="B319" i="6"/>
  <c r="E318" i="6"/>
  <c r="D318" i="6"/>
  <c r="B318" i="6"/>
  <c r="E317" i="6"/>
  <c r="D317" i="6"/>
  <c r="B317" i="6"/>
  <c r="E316" i="6"/>
  <c r="D316" i="6"/>
  <c r="B316" i="6"/>
  <c r="E315" i="6"/>
  <c r="D315" i="6"/>
  <c r="B315" i="6"/>
  <c r="E314" i="6"/>
  <c r="D314" i="6"/>
  <c r="B314" i="6"/>
  <c r="E313" i="6"/>
  <c r="D313" i="6"/>
  <c r="B313" i="6"/>
  <c r="E312" i="6"/>
  <c r="D312" i="6"/>
  <c r="B312" i="6"/>
  <c r="E311" i="6"/>
  <c r="D311" i="6"/>
  <c r="B311" i="6"/>
  <c r="E310" i="6"/>
  <c r="D310" i="6"/>
  <c r="B310" i="6"/>
  <c r="E309" i="6"/>
  <c r="D309" i="6"/>
  <c r="B309" i="6"/>
  <c r="E308" i="6"/>
  <c r="D308" i="6"/>
  <c r="B308" i="6"/>
  <c r="E307" i="6"/>
  <c r="D307" i="6"/>
  <c r="B307" i="6"/>
  <c r="E306" i="6"/>
  <c r="D306" i="6"/>
  <c r="B306" i="6"/>
  <c r="E305" i="6"/>
  <c r="D305" i="6"/>
  <c r="B305" i="6"/>
  <c r="E304" i="6"/>
  <c r="D304" i="6"/>
  <c r="B304" i="6"/>
  <c r="E303" i="6"/>
  <c r="D303" i="6"/>
  <c r="B303" i="6"/>
  <c r="E302" i="6"/>
  <c r="D302" i="6"/>
  <c r="B302" i="6"/>
  <c r="E301" i="6"/>
  <c r="D301" i="6"/>
  <c r="B301" i="6"/>
  <c r="E300" i="6"/>
  <c r="D300" i="6"/>
  <c r="B300" i="6"/>
  <c r="E299" i="6"/>
  <c r="D299" i="6"/>
  <c r="B299" i="6"/>
  <c r="E298" i="6"/>
  <c r="D298" i="6"/>
  <c r="B298" i="6"/>
  <c r="E297" i="6"/>
  <c r="D297" i="6"/>
  <c r="B297" i="6"/>
  <c r="E296" i="6"/>
  <c r="D296" i="6"/>
  <c r="B296" i="6"/>
  <c r="E295" i="6"/>
  <c r="D295" i="6"/>
  <c r="B295" i="6"/>
  <c r="E294" i="6"/>
  <c r="D294" i="6"/>
  <c r="B294" i="6"/>
  <c r="E293" i="6"/>
  <c r="D293" i="6"/>
  <c r="B293" i="6"/>
  <c r="E292" i="6"/>
  <c r="D292" i="6"/>
  <c r="B292" i="6"/>
  <c r="E291" i="6"/>
  <c r="D291" i="6"/>
  <c r="B291" i="6"/>
  <c r="E290" i="6"/>
  <c r="D290" i="6"/>
  <c r="B290" i="6"/>
  <c r="E289" i="6"/>
  <c r="D289" i="6"/>
  <c r="B289" i="6"/>
  <c r="E288" i="6"/>
  <c r="D288" i="6"/>
  <c r="B288" i="6"/>
  <c r="E287" i="6"/>
  <c r="D287" i="6"/>
  <c r="B287" i="6"/>
  <c r="E286" i="6"/>
  <c r="D286" i="6"/>
  <c r="B286" i="6"/>
  <c r="E285" i="6"/>
  <c r="D285" i="6"/>
  <c r="B285" i="6"/>
  <c r="E284" i="6"/>
  <c r="D284" i="6"/>
  <c r="B284" i="6"/>
  <c r="E283" i="6"/>
  <c r="D283" i="6"/>
  <c r="B283" i="6"/>
  <c r="E282" i="6"/>
  <c r="D282" i="6"/>
  <c r="B282" i="6"/>
  <c r="E281" i="6"/>
  <c r="D281" i="6"/>
  <c r="B281" i="6"/>
  <c r="E280" i="6"/>
  <c r="D280" i="6"/>
  <c r="B280" i="6"/>
  <c r="E279" i="6"/>
  <c r="D279" i="6"/>
  <c r="B279" i="6"/>
  <c r="E278" i="6"/>
  <c r="D278" i="6"/>
  <c r="B278" i="6"/>
  <c r="E277" i="6"/>
  <c r="D277" i="6"/>
  <c r="B277" i="6"/>
  <c r="E276" i="6"/>
  <c r="D276" i="6"/>
  <c r="B276" i="6"/>
  <c r="E275" i="6"/>
  <c r="D275" i="6"/>
  <c r="B275" i="6"/>
  <c r="E274" i="6"/>
  <c r="D274" i="6"/>
  <c r="B274" i="6"/>
  <c r="E273" i="6"/>
  <c r="D273" i="6"/>
  <c r="B273" i="6"/>
  <c r="E272" i="6"/>
  <c r="D272" i="6"/>
  <c r="B272" i="6"/>
  <c r="E271" i="6"/>
  <c r="D271" i="6"/>
  <c r="B271" i="6"/>
  <c r="E270" i="6"/>
  <c r="D270" i="6"/>
  <c r="B270" i="6"/>
  <c r="E269" i="6"/>
  <c r="D269" i="6"/>
  <c r="B269" i="6"/>
  <c r="E268" i="6"/>
  <c r="D268" i="6"/>
  <c r="B268" i="6"/>
  <c r="E267" i="6"/>
  <c r="D267" i="6"/>
  <c r="B267" i="6"/>
  <c r="E266" i="6"/>
  <c r="D266" i="6"/>
  <c r="B266" i="6"/>
  <c r="E265" i="6"/>
  <c r="D265" i="6"/>
  <c r="B265" i="6"/>
  <c r="E264" i="6"/>
  <c r="D264" i="6"/>
  <c r="B264" i="6"/>
  <c r="E263" i="6"/>
  <c r="D263" i="6"/>
  <c r="B263" i="6"/>
  <c r="E262" i="6"/>
  <c r="D262" i="6"/>
  <c r="B262" i="6"/>
  <c r="E261" i="6"/>
  <c r="D261" i="6"/>
  <c r="B261" i="6"/>
  <c r="E260" i="6"/>
  <c r="D260" i="6"/>
  <c r="B260" i="6"/>
  <c r="E259" i="6"/>
  <c r="D259" i="6"/>
  <c r="B259" i="6"/>
  <c r="E258" i="6"/>
  <c r="D258" i="6"/>
  <c r="B258" i="6"/>
  <c r="E257" i="6"/>
  <c r="D257" i="6"/>
  <c r="B257" i="6"/>
  <c r="E256" i="6"/>
  <c r="D256" i="6"/>
  <c r="B256" i="6"/>
  <c r="E255" i="6"/>
  <c r="D255" i="6"/>
  <c r="B255" i="6"/>
  <c r="E254" i="6"/>
  <c r="D254" i="6"/>
  <c r="B254" i="6"/>
  <c r="E253" i="6"/>
  <c r="D253" i="6"/>
  <c r="B253" i="6"/>
  <c r="E252" i="6"/>
  <c r="D252" i="6"/>
  <c r="B252" i="6"/>
  <c r="E251" i="6"/>
  <c r="D251" i="6"/>
  <c r="B251" i="6"/>
  <c r="E250" i="6"/>
  <c r="D250" i="6"/>
  <c r="B250" i="6"/>
  <c r="E249" i="6"/>
  <c r="D249" i="6"/>
  <c r="B249" i="6"/>
  <c r="E248" i="6"/>
  <c r="D248" i="6"/>
  <c r="B248" i="6"/>
  <c r="E247" i="6"/>
  <c r="D247" i="6"/>
  <c r="B247" i="6"/>
  <c r="E246" i="6"/>
  <c r="D246" i="6"/>
  <c r="B246" i="6"/>
  <c r="E245" i="6"/>
  <c r="D245" i="6"/>
  <c r="B245" i="6"/>
  <c r="E244" i="6"/>
  <c r="D244" i="6"/>
  <c r="B244" i="6"/>
  <c r="E243" i="6"/>
  <c r="D243" i="6"/>
  <c r="B243" i="6"/>
  <c r="E242" i="6"/>
  <c r="D242" i="6"/>
  <c r="B242" i="6"/>
  <c r="E241" i="6"/>
  <c r="D241" i="6"/>
  <c r="B241" i="6"/>
  <c r="E240" i="6"/>
  <c r="D240" i="6"/>
  <c r="B240" i="6"/>
  <c r="E239" i="6"/>
  <c r="D239" i="6"/>
  <c r="B239" i="6"/>
  <c r="E238" i="6"/>
  <c r="D238" i="6"/>
  <c r="B238" i="6"/>
  <c r="E237" i="6"/>
  <c r="D237" i="6"/>
  <c r="B237" i="6"/>
  <c r="E236" i="6"/>
  <c r="D236" i="6"/>
  <c r="B236" i="6"/>
  <c r="E235" i="6"/>
  <c r="D235" i="6"/>
  <c r="B235" i="6"/>
  <c r="E234" i="6"/>
  <c r="D234" i="6"/>
  <c r="B234" i="6"/>
  <c r="E233" i="6"/>
  <c r="D233" i="6"/>
  <c r="B233" i="6"/>
  <c r="E232" i="6"/>
  <c r="D232" i="6"/>
  <c r="B232" i="6"/>
  <c r="E231" i="6"/>
  <c r="D231" i="6"/>
  <c r="B231" i="6"/>
  <c r="E230" i="6"/>
  <c r="D230" i="6"/>
  <c r="B230" i="6"/>
  <c r="E229" i="6"/>
  <c r="D229" i="6"/>
  <c r="B229" i="6"/>
  <c r="E228" i="6"/>
  <c r="D228" i="6"/>
  <c r="B228" i="6"/>
  <c r="E227" i="6"/>
  <c r="D227" i="6"/>
  <c r="B227" i="6"/>
  <c r="E226" i="6"/>
  <c r="D226" i="6"/>
  <c r="B226" i="6"/>
  <c r="E225" i="6"/>
  <c r="D225" i="6"/>
  <c r="B225" i="6"/>
  <c r="E224" i="6"/>
  <c r="D224" i="6"/>
  <c r="B224" i="6"/>
  <c r="E223" i="6"/>
  <c r="D223" i="6"/>
  <c r="B223" i="6"/>
  <c r="E222" i="6"/>
  <c r="D222" i="6"/>
  <c r="B222" i="6"/>
  <c r="E221" i="6"/>
  <c r="D221" i="6"/>
  <c r="B221" i="6"/>
  <c r="E220" i="6"/>
  <c r="D220" i="6"/>
  <c r="B220" i="6"/>
  <c r="E219" i="6"/>
  <c r="D219" i="6"/>
  <c r="B219" i="6"/>
  <c r="E218" i="6"/>
  <c r="D218" i="6"/>
  <c r="B218" i="6"/>
  <c r="E217" i="6"/>
  <c r="D217" i="6"/>
  <c r="B217" i="6"/>
  <c r="E216" i="6"/>
  <c r="D216" i="6"/>
  <c r="B216" i="6"/>
  <c r="E215" i="6"/>
  <c r="D215" i="6"/>
  <c r="B215" i="6"/>
  <c r="E214" i="6"/>
  <c r="D214" i="6"/>
  <c r="B214" i="6"/>
  <c r="E213" i="6"/>
  <c r="D213" i="6"/>
  <c r="B213" i="6"/>
  <c r="E212" i="6"/>
  <c r="D212" i="6"/>
  <c r="B212" i="6"/>
  <c r="E211" i="6"/>
  <c r="D211" i="6"/>
  <c r="B211" i="6"/>
  <c r="E210" i="6"/>
  <c r="D210" i="6"/>
  <c r="B210" i="6"/>
  <c r="E209" i="6"/>
  <c r="D209" i="6"/>
  <c r="B209" i="6"/>
  <c r="E208" i="6"/>
  <c r="D208" i="6"/>
  <c r="B208" i="6"/>
  <c r="E207" i="6"/>
  <c r="D207" i="6"/>
  <c r="B207" i="6"/>
  <c r="E206" i="6"/>
  <c r="D206" i="6"/>
  <c r="B206" i="6"/>
  <c r="E205" i="6"/>
  <c r="D205" i="6"/>
  <c r="B205" i="6"/>
  <c r="E204" i="6"/>
  <c r="D204" i="6"/>
  <c r="B204" i="6"/>
  <c r="E203" i="6"/>
  <c r="D203" i="6"/>
  <c r="B203" i="6"/>
  <c r="E202" i="6"/>
  <c r="D202" i="6"/>
  <c r="B202" i="6"/>
  <c r="E201" i="6"/>
  <c r="D201" i="6"/>
  <c r="B201" i="6"/>
  <c r="E200" i="6"/>
  <c r="D200" i="6"/>
  <c r="B200" i="6"/>
  <c r="E199" i="6"/>
  <c r="D199" i="6"/>
  <c r="B199" i="6"/>
  <c r="E198" i="6"/>
  <c r="D198" i="6"/>
  <c r="B198" i="6"/>
  <c r="E197" i="6"/>
  <c r="D197" i="6"/>
  <c r="B197" i="6"/>
  <c r="E196" i="6"/>
  <c r="D196" i="6"/>
  <c r="B196" i="6"/>
  <c r="E195" i="6"/>
  <c r="D195" i="6"/>
  <c r="B195" i="6"/>
  <c r="E194" i="6"/>
  <c r="D194" i="6"/>
  <c r="B194" i="6"/>
  <c r="E193" i="6"/>
  <c r="D193" i="6"/>
  <c r="B193" i="6"/>
  <c r="E192" i="6"/>
  <c r="D192" i="6"/>
  <c r="B192" i="6"/>
  <c r="E191" i="6"/>
  <c r="D191" i="6"/>
  <c r="B191" i="6"/>
  <c r="E190" i="6"/>
  <c r="D190" i="6"/>
  <c r="B190" i="6"/>
  <c r="E189" i="6"/>
  <c r="D189" i="6"/>
  <c r="B189" i="6"/>
  <c r="E188" i="6"/>
  <c r="D188" i="6"/>
  <c r="B188" i="6"/>
  <c r="E187" i="6"/>
  <c r="D187" i="6"/>
  <c r="B187" i="6"/>
  <c r="E186" i="6"/>
  <c r="D186" i="6"/>
  <c r="B186" i="6"/>
  <c r="E185" i="6"/>
  <c r="D185" i="6"/>
  <c r="B185" i="6"/>
  <c r="E184" i="6"/>
  <c r="D184" i="6"/>
  <c r="B184" i="6"/>
  <c r="E183" i="6"/>
  <c r="D183" i="6"/>
  <c r="B183" i="6"/>
  <c r="E182" i="6"/>
  <c r="D182" i="6"/>
  <c r="B182" i="6"/>
  <c r="E181" i="6"/>
  <c r="D181" i="6"/>
  <c r="B181" i="6"/>
  <c r="E180" i="6"/>
  <c r="D180" i="6"/>
  <c r="B180" i="6"/>
  <c r="E179" i="6"/>
  <c r="D179" i="6"/>
  <c r="B179" i="6"/>
  <c r="E178" i="6"/>
  <c r="D178" i="6"/>
  <c r="B178" i="6"/>
  <c r="E177" i="6"/>
  <c r="D177" i="6"/>
  <c r="B177" i="6"/>
  <c r="E176" i="6"/>
  <c r="D176" i="6"/>
  <c r="B176" i="6"/>
  <c r="E175" i="6"/>
  <c r="D175" i="6"/>
  <c r="B175" i="6"/>
  <c r="E174" i="6"/>
  <c r="D174" i="6"/>
  <c r="B174" i="6"/>
  <c r="E173" i="6"/>
  <c r="D173" i="6"/>
  <c r="B173" i="6"/>
  <c r="E172" i="6"/>
  <c r="D172" i="6"/>
  <c r="B172" i="6"/>
  <c r="E171" i="6"/>
  <c r="D171" i="6"/>
  <c r="B171" i="6"/>
  <c r="E170" i="6"/>
  <c r="D170" i="6"/>
  <c r="B170" i="6"/>
  <c r="E169" i="6"/>
  <c r="D169" i="6"/>
  <c r="B169" i="6"/>
  <c r="E168" i="6"/>
  <c r="D168" i="6"/>
  <c r="B168" i="6"/>
  <c r="E167" i="6"/>
  <c r="D167" i="6"/>
  <c r="B167" i="6"/>
  <c r="E166" i="6"/>
  <c r="D166" i="6"/>
  <c r="B166" i="6"/>
  <c r="E165" i="6"/>
  <c r="D165" i="6"/>
  <c r="B165" i="6"/>
  <c r="E164" i="6"/>
  <c r="D164" i="6"/>
  <c r="B164" i="6"/>
  <c r="E163" i="6"/>
  <c r="D163" i="6"/>
  <c r="B163" i="6"/>
  <c r="E162" i="6"/>
  <c r="D162" i="6"/>
  <c r="B162" i="6"/>
  <c r="E161" i="6"/>
  <c r="D161" i="6"/>
  <c r="B161" i="6"/>
  <c r="E160" i="6"/>
  <c r="D160" i="6"/>
  <c r="B160" i="6"/>
  <c r="E159" i="6"/>
  <c r="D159" i="6"/>
  <c r="B159" i="6"/>
  <c r="E158" i="6"/>
  <c r="D158" i="6"/>
  <c r="B158" i="6"/>
  <c r="E157" i="6"/>
  <c r="D157" i="6"/>
  <c r="B157" i="6"/>
  <c r="E156" i="6"/>
  <c r="D156" i="6"/>
  <c r="B156" i="6"/>
  <c r="E155" i="6"/>
  <c r="D155" i="6"/>
  <c r="B155" i="6"/>
  <c r="E154" i="6"/>
  <c r="D154" i="6"/>
  <c r="B154" i="6"/>
  <c r="E153" i="6"/>
  <c r="D153" i="6"/>
  <c r="B153" i="6"/>
  <c r="E152" i="6"/>
  <c r="D152" i="6"/>
  <c r="B152" i="6"/>
  <c r="E151" i="6"/>
  <c r="D151" i="6"/>
  <c r="B151" i="6"/>
  <c r="E150" i="6"/>
  <c r="D150" i="6"/>
  <c r="B150" i="6"/>
  <c r="E149" i="6"/>
  <c r="D149" i="6"/>
  <c r="B149" i="6"/>
  <c r="E148" i="6"/>
  <c r="D148" i="6"/>
  <c r="B148" i="6"/>
  <c r="E147" i="6"/>
  <c r="D147" i="6"/>
  <c r="B147" i="6"/>
  <c r="E146" i="6"/>
  <c r="D146" i="6"/>
  <c r="B146" i="6"/>
  <c r="E145" i="6"/>
  <c r="D145" i="6"/>
  <c r="B145" i="6"/>
  <c r="E144" i="6"/>
  <c r="D144" i="6"/>
  <c r="B144" i="6"/>
  <c r="E143" i="6"/>
  <c r="D143" i="6"/>
  <c r="B143" i="6"/>
  <c r="E142" i="6"/>
  <c r="D142" i="6"/>
  <c r="B142" i="6"/>
  <c r="E141" i="6"/>
  <c r="D141" i="6"/>
  <c r="B141" i="6"/>
  <c r="E140" i="6"/>
  <c r="D140" i="6"/>
  <c r="B140" i="6"/>
  <c r="E139" i="6"/>
  <c r="D139" i="6"/>
  <c r="B139" i="6"/>
  <c r="E138" i="6"/>
  <c r="D138" i="6"/>
  <c r="B138" i="6"/>
  <c r="E137" i="6"/>
  <c r="D137" i="6"/>
  <c r="B137" i="6"/>
  <c r="E136" i="6"/>
  <c r="D136" i="6"/>
  <c r="B136" i="6"/>
  <c r="E135" i="6"/>
  <c r="D135" i="6"/>
  <c r="B135" i="6"/>
  <c r="E134" i="6"/>
  <c r="D134" i="6"/>
  <c r="B134" i="6"/>
  <c r="E133" i="6"/>
  <c r="D133" i="6"/>
  <c r="B133" i="6"/>
  <c r="E132" i="6"/>
  <c r="D132" i="6"/>
  <c r="B132" i="6"/>
  <c r="E131" i="6"/>
  <c r="D131" i="6"/>
  <c r="B131" i="6"/>
  <c r="E130" i="6"/>
  <c r="D130" i="6"/>
  <c r="B130" i="6"/>
  <c r="E129" i="6"/>
  <c r="D129" i="6"/>
  <c r="B129" i="6"/>
  <c r="E128" i="6"/>
  <c r="D128" i="6"/>
  <c r="B128" i="6"/>
  <c r="E127" i="6"/>
  <c r="D127" i="6"/>
  <c r="B127" i="6"/>
  <c r="E126" i="6"/>
  <c r="D126" i="6"/>
  <c r="B126" i="6"/>
  <c r="E125" i="6"/>
  <c r="D125" i="6"/>
  <c r="B125" i="6"/>
  <c r="E124" i="6"/>
  <c r="D124" i="6"/>
  <c r="B124" i="6"/>
  <c r="E123" i="6"/>
  <c r="D123" i="6"/>
  <c r="B123" i="6"/>
  <c r="E122" i="6"/>
  <c r="D122" i="6"/>
  <c r="B122" i="6"/>
  <c r="E121" i="6"/>
  <c r="D121" i="6"/>
  <c r="B121" i="6"/>
  <c r="E120" i="6"/>
  <c r="D120" i="6"/>
  <c r="B120" i="6"/>
  <c r="E119" i="6"/>
  <c r="D119" i="6"/>
  <c r="B119" i="6"/>
  <c r="E118" i="6"/>
  <c r="D118" i="6"/>
  <c r="B118" i="6"/>
  <c r="E117" i="6"/>
  <c r="D117" i="6"/>
  <c r="B117" i="6"/>
  <c r="E116" i="6"/>
  <c r="D116" i="6"/>
  <c r="B116" i="6"/>
  <c r="E115" i="6"/>
  <c r="D115" i="6"/>
  <c r="B115" i="6"/>
  <c r="E114" i="6"/>
  <c r="D114" i="6"/>
  <c r="B114" i="6"/>
  <c r="E113" i="6"/>
  <c r="D113" i="6"/>
  <c r="B113" i="6"/>
  <c r="E112" i="6"/>
  <c r="D112" i="6"/>
  <c r="B112" i="6"/>
  <c r="E111" i="6"/>
  <c r="D111" i="6"/>
  <c r="B111" i="6"/>
  <c r="E110" i="6"/>
  <c r="D110" i="6"/>
  <c r="B110" i="6"/>
  <c r="E109" i="6"/>
  <c r="D109" i="6"/>
  <c r="B109" i="6"/>
  <c r="E108" i="6"/>
  <c r="D108" i="6"/>
  <c r="B108" i="6"/>
  <c r="E107" i="6"/>
  <c r="D107" i="6"/>
  <c r="B107" i="6"/>
  <c r="E106" i="6"/>
  <c r="D106" i="6"/>
  <c r="B106" i="6"/>
  <c r="B104" i="6"/>
  <c r="B103" i="6"/>
  <c r="B102" i="6"/>
  <c r="E101" i="6"/>
  <c r="D101" i="6"/>
  <c r="B101" i="6"/>
  <c r="E100" i="6"/>
  <c r="D100" i="6"/>
  <c r="B100" i="6"/>
  <c r="E99" i="6"/>
  <c r="D99" i="6"/>
  <c r="B99" i="6"/>
  <c r="E98" i="6"/>
  <c r="D98" i="6"/>
  <c r="B98" i="6"/>
  <c r="E97" i="6"/>
  <c r="D97" i="6"/>
  <c r="B97" i="6"/>
  <c r="E96" i="6"/>
  <c r="D96" i="6"/>
  <c r="B96" i="6"/>
  <c r="E95" i="6"/>
  <c r="D95" i="6"/>
  <c r="B95" i="6"/>
  <c r="E94" i="6"/>
  <c r="D94" i="6"/>
  <c r="B94" i="6"/>
  <c r="E93" i="6"/>
  <c r="D93" i="6"/>
  <c r="B93" i="6"/>
  <c r="E92" i="6"/>
  <c r="D92" i="6"/>
  <c r="B92" i="6"/>
  <c r="E91" i="6"/>
  <c r="D91" i="6"/>
  <c r="B91" i="6"/>
  <c r="E90" i="6"/>
  <c r="D90" i="6"/>
  <c r="B90" i="6"/>
  <c r="E89" i="6"/>
  <c r="D89" i="6"/>
  <c r="B89" i="6"/>
  <c r="E88" i="6"/>
  <c r="D88" i="6"/>
  <c r="B88" i="6"/>
  <c r="E87" i="6"/>
  <c r="D87" i="6"/>
  <c r="B87" i="6"/>
  <c r="E86" i="6"/>
  <c r="D86" i="6"/>
  <c r="B86" i="6"/>
  <c r="E85" i="6"/>
  <c r="D85" i="6"/>
  <c r="B85" i="6"/>
  <c r="E84" i="6"/>
  <c r="D84" i="6"/>
  <c r="B84" i="6"/>
  <c r="E83" i="6"/>
  <c r="D83" i="6"/>
  <c r="B83" i="6"/>
  <c r="E82" i="6"/>
  <c r="D82" i="6"/>
  <c r="B82" i="6"/>
  <c r="E81" i="6"/>
  <c r="D81" i="6"/>
  <c r="B81" i="6"/>
  <c r="E80" i="6"/>
  <c r="D80" i="6"/>
  <c r="B80" i="6"/>
  <c r="E79" i="6"/>
  <c r="D79" i="6"/>
  <c r="B79" i="6"/>
  <c r="E78" i="6"/>
  <c r="D78" i="6"/>
  <c r="B78" i="6"/>
  <c r="E77" i="6"/>
  <c r="D77" i="6"/>
  <c r="B77" i="6"/>
  <c r="E76" i="6"/>
  <c r="D76" i="6"/>
  <c r="B76" i="6"/>
  <c r="E75" i="6"/>
  <c r="D75" i="6"/>
  <c r="B75" i="6"/>
  <c r="E74" i="6"/>
  <c r="D74" i="6"/>
  <c r="B74" i="6"/>
  <c r="E73" i="6"/>
  <c r="D73" i="6"/>
  <c r="B73" i="6"/>
  <c r="E72" i="6"/>
  <c r="D72" i="6"/>
  <c r="B72" i="6"/>
  <c r="E71" i="6"/>
  <c r="D71" i="6"/>
  <c r="B71" i="6"/>
  <c r="E70" i="6"/>
  <c r="D70" i="6"/>
  <c r="B70" i="6"/>
  <c r="E69" i="6"/>
  <c r="D69" i="6"/>
  <c r="B69" i="6"/>
  <c r="E68" i="6"/>
  <c r="D68" i="6"/>
  <c r="B68" i="6"/>
  <c r="E67" i="6"/>
  <c r="D67" i="6"/>
  <c r="B67" i="6"/>
  <c r="E66" i="6"/>
  <c r="D66" i="6"/>
  <c r="B66" i="6"/>
  <c r="E65" i="6"/>
  <c r="D65" i="6"/>
  <c r="B65" i="6"/>
  <c r="E64" i="6"/>
  <c r="D64" i="6"/>
  <c r="B64" i="6"/>
  <c r="E63" i="6"/>
  <c r="D63" i="6"/>
  <c r="B63" i="6"/>
  <c r="E62" i="6"/>
  <c r="D62" i="6"/>
  <c r="B62" i="6"/>
  <c r="E61" i="6"/>
  <c r="D61" i="6"/>
  <c r="B61" i="6"/>
  <c r="E60" i="6"/>
  <c r="D60" i="6"/>
  <c r="B60" i="6"/>
  <c r="E59" i="6"/>
  <c r="D59" i="6"/>
  <c r="B59" i="6"/>
  <c r="E58" i="6"/>
  <c r="D58" i="6"/>
  <c r="B58" i="6"/>
  <c r="E57" i="6"/>
  <c r="D57" i="6"/>
  <c r="B57" i="6"/>
  <c r="E56" i="6"/>
  <c r="D56" i="6"/>
  <c r="B56" i="6"/>
  <c r="E55" i="6"/>
  <c r="D55" i="6"/>
  <c r="B55" i="6"/>
  <c r="E54" i="6"/>
  <c r="D54" i="6"/>
  <c r="B54" i="6"/>
  <c r="E53" i="6"/>
  <c r="D53" i="6"/>
  <c r="B53" i="6"/>
  <c r="E52" i="6"/>
  <c r="D52" i="6"/>
  <c r="B52" i="6"/>
  <c r="E51" i="6"/>
  <c r="D51" i="6"/>
  <c r="B51" i="6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E44" i="6"/>
  <c r="D44" i="6"/>
  <c r="B44" i="6"/>
  <c r="E43" i="6"/>
  <c r="D43" i="6"/>
  <c r="B43" i="6"/>
  <c r="E42" i="6"/>
  <c r="D42" i="6"/>
  <c r="B42" i="6"/>
  <c r="E41" i="6"/>
  <c r="D41" i="6"/>
  <c r="B41" i="6"/>
  <c r="E40" i="6"/>
  <c r="D40" i="6"/>
  <c r="B40" i="6"/>
  <c r="E39" i="6"/>
  <c r="D39" i="6"/>
  <c r="B39" i="6"/>
  <c r="E38" i="6"/>
  <c r="D38" i="6"/>
  <c r="B38" i="6"/>
  <c r="E37" i="6"/>
  <c r="D37" i="6"/>
  <c r="B37" i="6"/>
  <c r="E36" i="6"/>
  <c r="D36" i="6"/>
  <c r="B36" i="6"/>
  <c r="E35" i="6"/>
  <c r="D35" i="6"/>
  <c r="B35" i="6"/>
  <c r="E34" i="6"/>
  <c r="D34" i="6"/>
  <c r="B34" i="6"/>
  <c r="E33" i="6"/>
  <c r="D33" i="6"/>
  <c r="B33" i="6"/>
  <c r="E32" i="6"/>
  <c r="D32" i="6"/>
  <c r="B32" i="6"/>
  <c r="E31" i="6"/>
  <c r="D31" i="6"/>
  <c r="B31" i="6"/>
  <c r="E30" i="6"/>
  <c r="D30" i="6"/>
  <c r="B30" i="6"/>
  <c r="E29" i="6"/>
  <c r="D29" i="6"/>
  <c r="B29" i="6"/>
  <c r="E28" i="6"/>
  <c r="D28" i="6"/>
  <c r="B28" i="6"/>
  <c r="E27" i="6"/>
  <c r="D27" i="6"/>
  <c r="B27" i="6"/>
  <c r="E26" i="6"/>
  <c r="D26" i="6"/>
  <c r="B26" i="6"/>
  <c r="E25" i="6"/>
  <c r="D25" i="6"/>
  <c r="B25" i="6"/>
  <c r="E24" i="6"/>
  <c r="D24" i="6"/>
  <c r="B24" i="6"/>
  <c r="E23" i="6"/>
  <c r="D23" i="6"/>
  <c r="B23" i="6"/>
  <c r="E22" i="6"/>
  <c r="D22" i="6"/>
  <c r="B22" i="6"/>
  <c r="E21" i="6"/>
  <c r="D21" i="6"/>
  <c r="B21" i="6"/>
  <c r="E20" i="6"/>
  <c r="D20" i="6"/>
  <c r="B20" i="6"/>
  <c r="E19" i="6"/>
  <c r="D19" i="6"/>
  <c r="B19" i="6"/>
  <c r="E18" i="6"/>
  <c r="D18" i="6"/>
  <c r="B18" i="6"/>
  <c r="E17" i="6"/>
  <c r="D17" i="6"/>
  <c r="B17" i="6"/>
  <c r="E16" i="6"/>
  <c r="D16" i="6"/>
  <c r="B16" i="6"/>
  <c r="E15" i="6"/>
  <c r="D15" i="6"/>
  <c r="B15" i="6"/>
  <c r="E14" i="6"/>
  <c r="D14" i="6"/>
  <c r="B14" i="6"/>
  <c r="E13" i="6"/>
  <c r="D13" i="6"/>
  <c r="B13" i="6"/>
  <c r="E12" i="6"/>
  <c r="D12" i="6"/>
  <c r="B12" i="6"/>
  <c r="E11" i="6"/>
  <c r="D11" i="6"/>
  <c r="B11" i="6"/>
  <c r="E10" i="6"/>
  <c r="D10" i="6"/>
  <c r="B10" i="6"/>
  <c r="E9" i="6"/>
  <c r="D9" i="6"/>
  <c r="B9" i="6"/>
  <c r="E8" i="6"/>
  <c r="D8" i="6"/>
  <c r="B8" i="6"/>
  <c r="E7" i="6"/>
  <c r="D7" i="6"/>
  <c r="B7" i="6"/>
  <c r="E6" i="6"/>
  <c r="D6" i="6"/>
  <c r="B6" i="6"/>
  <c r="E5" i="6"/>
  <c r="D5" i="6"/>
  <c r="B5" i="6"/>
  <c r="E4" i="6"/>
  <c r="D4" i="6"/>
  <c r="B4" i="6"/>
  <c r="E3" i="6"/>
  <c r="D3" i="6"/>
  <c r="B3" i="6"/>
  <c r="B742" i="7"/>
  <c r="B741" i="7"/>
  <c r="B740" i="7"/>
  <c r="B739" i="7"/>
  <c r="B738" i="7"/>
  <c r="B737" i="7"/>
  <c r="B736" i="7"/>
  <c r="B735" i="7"/>
  <c r="B734" i="7"/>
  <c r="E733" i="7"/>
  <c r="D733" i="7"/>
  <c r="B733" i="7"/>
  <c r="E732" i="7"/>
  <c r="D732" i="7"/>
  <c r="B732" i="7"/>
  <c r="E731" i="7"/>
  <c r="D731" i="7"/>
  <c r="B731" i="7"/>
  <c r="E730" i="7"/>
  <c r="D730" i="7"/>
  <c r="B730" i="7"/>
  <c r="E729" i="7"/>
  <c r="D729" i="7"/>
  <c r="B729" i="7"/>
  <c r="E728" i="7"/>
  <c r="D728" i="7"/>
  <c r="B728" i="7"/>
  <c r="E727" i="7"/>
  <c r="D727" i="7"/>
  <c r="B727" i="7"/>
  <c r="E726" i="7"/>
  <c r="D726" i="7"/>
  <c r="B726" i="7"/>
  <c r="E725" i="7"/>
  <c r="D725" i="7"/>
  <c r="B725" i="7"/>
  <c r="E724" i="7"/>
  <c r="D724" i="7"/>
  <c r="B724" i="7"/>
  <c r="E723" i="7"/>
  <c r="D723" i="7"/>
  <c r="B723" i="7"/>
  <c r="E722" i="7"/>
  <c r="D722" i="7"/>
  <c r="B722" i="7"/>
  <c r="E721" i="7"/>
  <c r="D721" i="7"/>
  <c r="B721" i="7"/>
  <c r="E720" i="7"/>
  <c r="D720" i="7"/>
  <c r="B720" i="7"/>
  <c r="E719" i="7"/>
  <c r="D719" i="7"/>
  <c r="B719" i="7"/>
  <c r="E718" i="7"/>
  <c r="D718" i="7"/>
  <c r="B718" i="7"/>
  <c r="E717" i="7"/>
  <c r="D717" i="7"/>
  <c r="B717" i="7"/>
  <c r="E716" i="7"/>
  <c r="D716" i="7"/>
  <c r="B716" i="7"/>
  <c r="E715" i="7"/>
  <c r="D715" i="7"/>
  <c r="B715" i="7"/>
  <c r="E714" i="7"/>
  <c r="D714" i="7"/>
  <c r="B714" i="7"/>
  <c r="E713" i="7"/>
  <c r="D713" i="7"/>
  <c r="B713" i="7"/>
  <c r="E712" i="7"/>
  <c r="D712" i="7"/>
  <c r="B712" i="7"/>
  <c r="E711" i="7"/>
  <c r="D711" i="7"/>
  <c r="B711" i="7"/>
  <c r="E710" i="7"/>
  <c r="D710" i="7"/>
  <c r="B710" i="7"/>
  <c r="E709" i="7"/>
  <c r="D709" i="7"/>
  <c r="B709" i="7"/>
  <c r="E708" i="7"/>
  <c r="D708" i="7"/>
  <c r="B708" i="7"/>
  <c r="E707" i="7"/>
  <c r="D707" i="7"/>
  <c r="B707" i="7"/>
  <c r="E706" i="7"/>
  <c r="D706" i="7"/>
  <c r="B706" i="7"/>
  <c r="E705" i="7"/>
  <c r="D705" i="7"/>
  <c r="B705" i="7"/>
  <c r="E704" i="7"/>
  <c r="D704" i="7"/>
  <c r="B704" i="7"/>
  <c r="E703" i="7"/>
  <c r="D703" i="7"/>
  <c r="B703" i="7"/>
  <c r="E702" i="7"/>
  <c r="D702" i="7"/>
  <c r="B702" i="7"/>
  <c r="E701" i="7"/>
  <c r="D701" i="7"/>
  <c r="B701" i="7"/>
  <c r="E700" i="7"/>
  <c r="D700" i="7"/>
  <c r="B700" i="7"/>
  <c r="E699" i="7"/>
  <c r="D699" i="7"/>
  <c r="B699" i="7"/>
  <c r="E698" i="7"/>
  <c r="D698" i="7"/>
  <c r="B698" i="7"/>
  <c r="E697" i="7"/>
  <c r="D697" i="7"/>
  <c r="B697" i="7"/>
  <c r="E696" i="7"/>
  <c r="D696" i="7"/>
  <c r="B696" i="7"/>
  <c r="E695" i="7"/>
  <c r="D695" i="7"/>
  <c r="B695" i="7"/>
  <c r="E694" i="7"/>
  <c r="D694" i="7"/>
  <c r="B694" i="7"/>
  <c r="E693" i="7"/>
  <c r="D693" i="7"/>
  <c r="B693" i="7"/>
  <c r="E692" i="7"/>
  <c r="D692" i="7"/>
  <c r="B692" i="7"/>
  <c r="E691" i="7"/>
  <c r="D691" i="7"/>
  <c r="B691" i="7"/>
  <c r="E690" i="7"/>
  <c r="D690" i="7"/>
  <c r="B690" i="7"/>
  <c r="E689" i="7"/>
  <c r="D689" i="7"/>
  <c r="B689" i="7"/>
  <c r="E688" i="7"/>
  <c r="D688" i="7"/>
  <c r="B688" i="7"/>
  <c r="E687" i="7"/>
  <c r="D687" i="7"/>
  <c r="B687" i="7"/>
  <c r="E686" i="7"/>
  <c r="D686" i="7"/>
  <c r="B686" i="7"/>
  <c r="E685" i="7"/>
  <c r="D685" i="7"/>
  <c r="B685" i="7"/>
  <c r="E684" i="7"/>
  <c r="D684" i="7"/>
  <c r="B684" i="7"/>
  <c r="E683" i="7"/>
  <c r="D683" i="7"/>
  <c r="B683" i="7"/>
  <c r="E682" i="7"/>
  <c r="D682" i="7"/>
  <c r="B682" i="7"/>
  <c r="E681" i="7"/>
  <c r="D681" i="7"/>
  <c r="B681" i="7"/>
  <c r="E680" i="7"/>
  <c r="D680" i="7"/>
  <c r="B680" i="7"/>
  <c r="E679" i="7"/>
  <c r="D679" i="7"/>
  <c r="B679" i="7"/>
  <c r="E678" i="7"/>
  <c r="D678" i="7"/>
  <c r="B678" i="7"/>
  <c r="E677" i="7"/>
  <c r="D677" i="7"/>
  <c r="B677" i="7"/>
  <c r="E676" i="7"/>
  <c r="D676" i="7"/>
  <c r="B676" i="7"/>
  <c r="E675" i="7"/>
  <c r="D675" i="7"/>
  <c r="B675" i="7"/>
  <c r="E674" i="7"/>
  <c r="D674" i="7"/>
  <c r="B674" i="7"/>
  <c r="E673" i="7"/>
  <c r="D673" i="7"/>
  <c r="B673" i="7"/>
  <c r="E672" i="7"/>
  <c r="D672" i="7"/>
  <c r="B672" i="7"/>
  <c r="E671" i="7"/>
  <c r="D671" i="7"/>
  <c r="B671" i="7"/>
  <c r="E670" i="7"/>
  <c r="D670" i="7"/>
  <c r="B670" i="7"/>
  <c r="E669" i="7"/>
  <c r="D669" i="7"/>
  <c r="B669" i="7"/>
  <c r="E668" i="7"/>
  <c r="D668" i="7"/>
  <c r="B668" i="7"/>
  <c r="E667" i="7"/>
  <c r="D667" i="7"/>
  <c r="B667" i="7"/>
  <c r="E666" i="7"/>
  <c r="D666" i="7"/>
  <c r="B666" i="7"/>
  <c r="E665" i="7"/>
  <c r="D665" i="7"/>
  <c r="B665" i="7"/>
  <c r="E664" i="7"/>
  <c r="D664" i="7"/>
  <c r="B664" i="7"/>
  <c r="E663" i="7"/>
  <c r="D663" i="7"/>
  <c r="B663" i="7"/>
  <c r="E662" i="7"/>
  <c r="D662" i="7"/>
  <c r="B662" i="7"/>
  <c r="E661" i="7"/>
  <c r="D661" i="7"/>
  <c r="B661" i="7"/>
  <c r="E660" i="7"/>
  <c r="D660" i="7"/>
  <c r="B660" i="7"/>
  <c r="E659" i="7"/>
  <c r="D659" i="7"/>
  <c r="B659" i="7"/>
  <c r="E658" i="7"/>
  <c r="D658" i="7"/>
  <c r="B658" i="7"/>
  <c r="E657" i="7"/>
  <c r="D657" i="7"/>
  <c r="B657" i="7"/>
  <c r="E656" i="7"/>
  <c r="D656" i="7"/>
  <c r="B656" i="7"/>
  <c r="E655" i="7"/>
  <c r="D655" i="7"/>
  <c r="B655" i="7"/>
  <c r="E654" i="7"/>
  <c r="D654" i="7"/>
  <c r="B654" i="7"/>
  <c r="E653" i="7"/>
  <c r="D653" i="7"/>
  <c r="B653" i="7"/>
  <c r="E652" i="7"/>
  <c r="D652" i="7"/>
  <c r="B652" i="7"/>
  <c r="E651" i="7"/>
  <c r="D651" i="7"/>
  <c r="B651" i="7"/>
  <c r="E650" i="7"/>
  <c r="D650" i="7"/>
  <c r="B650" i="7"/>
  <c r="E649" i="7"/>
  <c r="D649" i="7"/>
  <c r="B649" i="7"/>
  <c r="E648" i="7"/>
  <c r="D648" i="7"/>
  <c r="B648" i="7"/>
  <c r="E647" i="7"/>
  <c r="D647" i="7"/>
  <c r="B647" i="7"/>
  <c r="E646" i="7"/>
  <c r="D646" i="7"/>
  <c r="B646" i="7"/>
  <c r="E645" i="7"/>
  <c r="D645" i="7"/>
  <c r="B645" i="7"/>
  <c r="E644" i="7"/>
  <c r="D644" i="7"/>
  <c r="B644" i="7"/>
  <c r="E643" i="7"/>
  <c r="D643" i="7"/>
  <c r="B643" i="7"/>
  <c r="E642" i="7"/>
  <c r="D642" i="7"/>
  <c r="B642" i="7"/>
  <c r="E641" i="7"/>
  <c r="D641" i="7"/>
  <c r="B641" i="7"/>
  <c r="E640" i="7"/>
  <c r="D640" i="7"/>
  <c r="B640" i="7"/>
  <c r="E639" i="7"/>
  <c r="D639" i="7"/>
  <c r="B639" i="7"/>
  <c r="E638" i="7"/>
  <c r="D638" i="7"/>
  <c r="B638" i="7"/>
  <c r="E637" i="7"/>
  <c r="D637" i="7"/>
  <c r="B637" i="7"/>
  <c r="E636" i="7"/>
  <c r="D636" i="7"/>
  <c r="B636" i="7"/>
  <c r="E635" i="7"/>
  <c r="D635" i="7"/>
  <c r="B635" i="7"/>
  <c r="E634" i="7"/>
  <c r="D634" i="7"/>
  <c r="B634" i="7"/>
  <c r="E633" i="7"/>
  <c r="D633" i="7"/>
  <c r="B633" i="7"/>
  <c r="E632" i="7"/>
  <c r="D632" i="7"/>
  <c r="B632" i="7"/>
  <c r="E631" i="7"/>
  <c r="D631" i="7"/>
  <c r="B631" i="7"/>
  <c r="E630" i="7"/>
  <c r="D630" i="7"/>
  <c r="B630" i="7"/>
  <c r="E629" i="7"/>
  <c r="D629" i="7"/>
  <c r="B629" i="7"/>
  <c r="E628" i="7"/>
  <c r="D628" i="7"/>
  <c r="B628" i="7"/>
  <c r="E627" i="7"/>
  <c r="D627" i="7"/>
  <c r="B627" i="7"/>
  <c r="E626" i="7"/>
  <c r="D626" i="7"/>
  <c r="B626" i="7"/>
  <c r="E625" i="7"/>
  <c r="D625" i="7"/>
  <c r="B625" i="7"/>
  <c r="E624" i="7"/>
  <c r="D624" i="7"/>
  <c r="B624" i="7"/>
  <c r="E623" i="7"/>
  <c r="D623" i="7"/>
  <c r="B623" i="7"/>
  <c r="E622" i="7"/>
  <c r="D622" i="7"/>
  <c r="B622" i="7"/>
  <c r="E621" i="7"/>
  <c r="D621" i="7"/>
  <c r="B621" i="7"/>
  <c r="E620" i="7"/>
  <c r="D620" i="7"/>
  <c r="B620" i="7"/>
  <c r="E619" i="7"/>
  <c r="D619" i="7"/>
  <c r="B619" i="7"/>
  <c r="E618" i="7"/>
  <c r="D618" i="7"/>
  <c r="B618" i="7"/>
  <c r="E617" i="7"/>
  <c r="D617" i="7"/>
  <c r="B617" i="7"/>
  <c r="E616" i="7"/>
  <c r="D616" i="7"/>
  <c r="B616" i="7"/>
  <c r="E615" i="7"/>
  <c r="D615" i="7"/>
  <c r="B615" i="7"/>
  <c r="E614" i="7"/>
  <c r="D614" i="7"/>
  <c r="B614" i="7"/>
  <c r="E613" i="7"/>
  <c r="D613" i="7"/>
  <c r="B613" i="7"/>
  <c r="E612" i="7"/>
  <c r="D612" i="7"/>
  <c r="B612" i="7"/>
  <c r="E611" i="7"/>
  <c r="D611" i="7"/>
  <c r="B611" i="7"/>
  <c r="E610" i="7"/>
  <c r="D610" i="7"/>
  <c r="B610" i="7"/>
  <c r="E609" i="7"/>
  <c r="D609" i="7"/>
  <c r="B609" i="7"/>
  <c r="E608" i="7"/>
  <c r="D608" i="7"/>
  <c r="B608" i="7"/>
  <c r="E607" i="7"/>
  <c r="D607" i="7"/>
  <c r="B607" i="7"/>
  <c r="E606" i="7"/>
  <c r="D606" i="7"/>
  <c r="B606" i="7"/>
  <c r="E605" i="7"/>
  <c r="D605" i="7"/>
  <c r="B605" i="7"/>
  <c r="E604" i="7"/>
  <c r="D604" i="7"/>
  <c r="B604" i="7"/>
  <c r="E603" i="7"/>
  <c r="D603" i="7"/>
  <c r="B603" i="7"/>
  <c r="E602" i="7"/>
  <c r="D602" i="7"/>
  <c r="B602" i="7"/>
  <c r="E601" i="7"/>
  <c r="D601" i="7"/>
  <c r="B601" i="7"/>
  <c r="E600" i="7"/>
  <c r="D600" i="7"/>
  <c r="B600" i="7"/>
  <c r="E599" i="7"/>
  <c r="D599" i="7"/>
  <c r="B599" i="7"/>
  <c r="E598" i="7"/>
  <c r="D598" i="7"/>
  <c r="B598" i="7"/>
  <c r="E597" i="7"/>
  <c r="D597" i="7"/>
  <c r="B597" i="7"/>
  <c r="E596" i="7"/>
  <c r="D596" i="7"/>
  <c r="B596" i="7"/>
  <c r="E595" i="7"/>
  <c r="D595" i="7"/>
  <c r="B595" i="7"/>
  <c r="E594" i="7"/>
  <c r="D594" i="7"/>
  <c r="B594" i="7"/>
  <c r="E593" i="7"/>
  <c r="D593" i="7"/>
  <c r="B593" i="7"/>
  <c r="E592" i="7"/>
  <c r="D592" i="7"/>
  <c r="B592" i="7"/>
  <c r="E591" i="7"/>
  <c r="D591" i="7"/>
  <c r="B591" i="7"/>
  <c r="E590" i="7"/>
  <c r="D590" i="7"/>
  <c r="B590" i="7"/>
  <c r="E589" i="7"/>
  <c r="D589" i="7"/>
  <c r="B589" i="7"/>
  <c r="E588" i="7"/>
  <c r="D588" i="7"/>
  <c r="B588" i="7"/>
  <c r="E587" i="7"/>
  <c r="D587" i="7"/>
  <c r="B587" i="7"/>
  <c r="E586" i="7"/>
  <c r="D586" i="7"/>
  <c r="B586" i="7"/>
  <c r="E585" i="7"/>
  <c r="D585" i="7"/>
  <c r="B585" i="7"/>
  <c r="E584" i="7"/>
  <c r="D584" i="7"/>
  <c r="B584" i="7"/>
  <c r="E583" i="7"/>
  <c r="D583" i="7"/>
  <c r="B583" i="7"/>
  <c r="E582" i="7"/>
  <c r="D582" i="7"/>
  <c r="B582" i="7"/>
  <c r="E581" i="7"/>
  <c r="D581" i="7"/>
  <c r="B581" i="7"/>
  <c r="E580" i="7"/>
  <c r="D580" i="7"/>
  <c r="B580" i="7"/>
  <c r="E579" i="7"/>
  <c r="D579" i="7"/>
  <c r="B579" i="7"/>
  <c r="E578" i="7"/>
  <c r="D578" i="7"/>
  <c r="B578" i="7"/>
  <c r="E577" i="7"/>
  <c r="D577" i="7"/>
  <c r="B577" i="7"/>
  <c r="E576" i="7"/>
  <c r="D576" i="7"/>
  <c r="B576" i="7"/>
  <c r="E575" i="7"/>
  <c r="D575" i="7"/>
  <c r="B575" i="7"/>
  <c r="E574" i="7"/>
  <c r="D574" i="7"/>
  <c r="B574" i="7"/>
  <c r="E573" i="7"/>
  <c r="D573" i="7"/>
  <c r="B573" i="7"/>
  <c r="E572" i="7"/>
  <c r="D572" i="7"/>
  <c r="B572" i="7"/>
  <c r="E571" i="7"/>
  <c r="D571" i="7"/>
  <c r="B571" i="7"/>
  <c r="E570" i="7"/>
  <c r="D570" i="7"/>
  <c r="B570" i="7"/>
  <c r="E569" i="7"/>
  <c r="D569" i="7"/>
  <c r="B569" i="7"/>
  <c r="E568" i="7"/>
  <c r="D568" i="7"/>
  <c r="B568" i="7"/>
  <c r="E567" i="7"/>
  <c r="D567" i="7"/>
  <c r="B567" i="7"/>
  <c r="E566" i="7"/>
  <c r="D566" i="7"/>
  <c r="B566" i="7"/>
  <c r="E565" i="7"/>
  <c r="D565" i="7"/>
  <c r="B565" i="7"/>
  <c r="E564" i="7"/>
  <c r="D564" i="7"/>
  <c r="B564" i="7"/>
  <c r="E563" i="7"/>
  <c r="D563" i="7"/>
  <c r="B563" i="7"/>
  <c r="E562" i="7"/>
  <c r="D562" i="7"/>
  <c r="B562" i="7"/>
  <c r="E561" i="7"/>
  <c r="D561" i="7"/>
  <c r="B561" i="7"/>
  <c r="E560" i="7"/>
  <c r="D560" i="7"/>
  <c r="B560" i="7"/>
  <c r="E559" i="7"/>
  <c r="D559" i="7"/>
  <c r="B559" i="7"/>
  <c r="E558" i="7"/>
  <c r="D558" i="7"/>
  <c r="B558" i="7"/>
  <c r="E557" i="7"/>
  <c r="D557" i="7"/>
  <c r="B557" i="7"/>
  <c r="E556" i="7"/>
  <c r="D556" i="7"/>
  <c r="B556" i="7"/>
  <c r="E555" i="7"/>
  <c r="D555" i="7"/>
  <c r="B555" i="7"/>
  <c r="E554" i="7"/>
  <c r="D554" i="7"/>
  <c r="B554" i="7"/>
  <c r="E553" i="7"/>
  <c r="D553" i="7"/>
  <c r="B553" i="7"/>
  <c r="E552" i="7"/>
  <c r="D552" i="7"/>
  <c r="B552" i="7"/>
  <c r="E551" i="7"/>
  <c r="D551" i="7"/>
  <c r="B551" i="7"/>
  <c r="E550" i="7"/>
  <c r="D550" i="7"/>
  <c r="B550" i="7"/>
  <c r="E549" i="7"/>
  <c r="D549" i="7"/>
  <c r="B549" i="7"/>
  <c r="E548" i="7"/>
  <c r="D548" i="7"/>
  <c r="B548" i="7"/>
  <c r="E547" i="7"/>
  <c r="D547" i="7"/>
  <c r="B547" i="7"/>
  <c r="E546" i="7"/>
  <c r="D546" i="7"/>
  <c r="B546" i="7"/>
  <c r="E545" i="7"/>
  <c r="D545" i="7"/>
  <c r="B545" i="7"/>
  <c r="E544" i="7"/>
  <c r="D544" i="7"/>
  <c r="B544" i="7"/>
  <c r="E543" i="7"/>
  <c r="D543" i="7"/>
  <c r="B543" i="7"/>
  <c r="E542" i="7"/>
  <c r="D542" i="7"/>
  <c r="B542" i="7"/>
  <c r="E541" i="7"/>
  <c r="D541" i="7"/>
  <c r="B541" i="7"/>
  <c r="E540" i="7"/>
  <c r="D540" i="7"/>
  <c r="B540" i="7"/>
  <c r="E539" i="7"/>
  <c r="D539" i="7"/>
  <c r="B539" i="7"/>
  <c r="E538" i="7"/>
  <c r="D538" i="7"/>
  <c r="B538" i="7"/>
  <c r="E537" i="7"/>
  <c r="D537" i="7"/>
  <c r="B537" i="7"/>
  <c r="E536" i="7"/>
  <c r="D536" i="7"/>
  <c r="B536" i="7"/>
  <c r="E535" i="7"/>
  <c r="D535" i="7"/>
  <c r="B535" i="7"/>
  <c r="E534" i="7"/>
  <c r="D534" i="7"/>
  <c r="B534" i="7"/>
  <c r="E533" i="7"/>
  <c r="D533" i="7"/>
  <c r="B533" i="7"/>
  <c r="E532" i="7"/>
  <c r="D532" i="7"/>
  <c r="B532" i="7"/>
  <c r="E531" i="7"/>
  <c r="D531" i="7"/>
  <c r="B531" i="7"/>
  <c r="E530" i="7"/>
  <c r="D530" i="7"/>
  <c r="B530" i="7"/>
  <c r="E529" i="7"/>
  <c r="D529" i="7"/>
  <c r="B529" i="7"/>
  <c r="E528" i="7"/>
  <c r="D528" i="7"/>
  <c r="B528" i="7"/>
  <c r="E527" i="7"/>
  <c r="D527" i="7"/>
  <c r="B527" i="7"/>
  <c r="E526" i="7"/>
  <c r="D526" i="7"/>
  <c r="B526" i="7"/>
  <c r="E525" i="7"/>
  <c r="D525" i="7"/>
  <c r="B525" i="7"/>
  <c r="E524" i="7"/>
  <c r="D524" i="7"/>
  <c r="B524" i="7"/>
  <c r="E523" i="7"/>
  <c r="D523" i="7"/>
  <c r="B523" i="7"/>
  <c r="E522" i="7"/>
  <c r="D522" i="7"/>
  <c r="B522" i="7"/>
  <c r="E521" i="7"/>
  <c r="D521" i="7"/>
  <c r="B521" i="7"/>
  <c r="E520" i="7"/>
  <c r="D520" i="7"/>
  <c r="B520" i="7"/>
  <c r="E519" i="7"/>
  <c r="D519" i="7"/>
  <c r="B519" i="7"/>
  <c r="E518" i="7"/>
  <c r="D518" i="7"/>
  <c r="B518" i="7"/>
  <c r="E517" i="7"/>
  <c r="D517" i="7"/>
  <c r="B517" i="7"/>
  <c r="E516" i="7"/>
  <c r="D516" i="7"/>
  <c r="B516" i="7"/>
  <c r="E515" i="7"/>
  <c r="D515" i="7"/>
  <c r="B515" i="7"/>
  <c r="E514" i="7"/>
  <c r="D514" i="7"/>
  <c r="B514" i="7"/>
  <c r="E513" i="7"/>
  <c r="D513" i="7"/>
  <c r="B513" i="7"/>
  <c r="E512" i="7"/>
  <c r="D512" i="7"/>
  <c r="B512" i="7"/>
  <c r="E511" i="7"/>
  <c r="D511" i="7"/>
  <c r="B511" i="7"/>
  <c r="E510" i="7"/>
  <c r="D510" i="7"/>
  <c r="B510" i="7"/>
  <c r="E509" i="7"/>
  <c r="D509" i="7"/>
  <c r="B509" i="7"/>
  <c r="E508" i="7"/>
  <c r="D508" i="7"/>
  <c r="B508" i="7"/>
  <c r="E507" i="7"/>
  <c r="D507" i="7"/>
  <c r="B507" i="7"/>
  <c r="E506" i="7"/>
  <c r="D506" i="7"/>
  <c r="B506" i="7"/>
  <c r="E505" i="7"/>
  <c r="D505" i="7"/>
  <c r="B505" i="7"/>
  <c r="E504" i="7"/>
  <c r="D504" i="7"/>
  <c r="B504" i="7"/>
  <c r="E503" i="7"/>
  <c r="D503" i="7"/>
  <c r="B503" i="7"/>
  <c r="E502" i="7"/>
  <c r="D502" i="7"/>
  <c r="B502" i="7"/>
  <c r="E501" i="7"/>
  <c r="D501" i="7"/>
  <c r="B501" i="7"/>
  <c r="E500" i="7"/>
  <c r="D500" i="7"/>
  <c r="B500" i="7"/>
  <c r="E499" i="7"/>
  <c r="D499" i="7"/>
  <c r="B499" i="7"/>
  <c r="E498" i="7"/>
  <c r="D498" i="7"/>
  <c r="B498" i="7"/>
  <c r="E497" i="7"/>
  <c r="D497" i="7"/>
  <c r="B497" i="7"/>
  <c r="E496" i="7"/>
  <c r="D496" i="7"/>
  <c r="B496" i="7"/>
  <c r="E495" i="7"/>
  <c r="D495" i="7"/>
  <c r="B495" i="7"/>
  <c r="E494" i="7"/>
  <c r="D494" i="7"/>
  <c r="B494" i="7"/>
  <c r="E493" i="7"/>
  <c r="D493" i="7"/>
  <c r="B493" i="7"/>
  <c r="E492" i="7"/>
  <c r="D492" i="7"/>
  <c r="B492" i="7"/>
  <c r="E491" i="7"/>
  <c r="D491" i="7"/>
  <c r="B491" i="7"/>
  <c r="E490" i="7"/>
  <c r="D490" i="7"/>
  <c r="B490" i="7"/>
  <c r="E489" i="7"/>
  <c r="D489" i="7"/>
  <c r="B489" i="7"/>
  <c r="E488" i="7"/>
  <c r="D488" i="7"/>
  <c r="B488" i="7"/>
  <c r="E487" i="7"/>
  <c r="D487" i="7"/>
  <c r="B487" i="7"/>
  <c r="E486" i="7"/>
  <c r="D486" i="7"/>
  <c r="B486" i="7"/>
  <c r="E485" i="7"/>
  <c r="D485" i="7"/>
  <c r="B485" i="7"/>
  <c r="E484" i="7"/>
  <c r="D484" i="7"/>
  <c r="B484" i="7"/>
  <c r="E483" i="7"/>
  <c r="D483" i="7"/>
  <c r="B483" i="7"/>
  <c r="E482" i="7"/>
  <c r="D482" i="7"/>
  <c r="B482" i="7"/>
  <c r="E481" i="7"/>
  <c r="D481" i="7"/>
  <c r="B481" i="7"/>
  <c r="E480" i="7"/>
  <c r="D480" i="7"/>
  <c r="B480" i="7"/>
  <c r="E479" i="7"/>
  <c r="D479" i="7"/>
  <c r="B479" i="7"/>
  <c r="E478" i="7"/>
  <c r="D478" i="7"/>
  <c r="B478" i="7"/>
  <c r="E477" i="7"/>
  <c r="D477" i="7"/>
  <c r="B477" i="7"/>
  <c r="E476" i="7"/>
  <c r="D476" i="7"/>
  <c r="B476" i="7"/>
  <c r="E475" i="7"/>
  <c r="D475" i="7"/>
  <c r="B475" i="7"/>
  <c r="E474" i="7"/>
  <c r="D474" i="7"/>
  <c r="B474" i="7"/>
  <c r="E473" i="7"/>
  <c r="D473" i="7"/>
  <c r="B473" i="7"/>
  <c r="E472" i="7"/>
  <c r="D472" i="7"/>
  <c r="B472" i="7"/>
  <c r="E471" i="7"/>
  <c r="D471" i="7"/>
  <c r="B471" i="7"/>
  <c r="E470" i="7"/>
  <c r="D470" i="7"/>
  <c r="B470" i="7"/>
  <c r="E469" i="7"/>
  <c r="D469" i="7"/>
  <c r="B469" i="7"/>
  <c r="E468" i="7"/>
  <c r="D468" i="7"/>
  <c r="B468" i="7"/>
  <c r="E467" i="7"/>
  <c r="D467" i="7"/>
  <c r="B467" i="7"/>
  <c r="E466" i="7"/>
  <c r="D466" i="7"/>
  <c r="B466" i="7"/>
  <c r="E465" i="7"/>
  <c r="D465" i="7"/>
  <c r="B465" i="7"/>
  <c r="E464" i="7"/>
  <c r="D464" i="7"/>
  <c r="B464" i="7"/>
  <c r="E463" i="7"/>
  <c r="D463" i="7"/>
  <c r="B463" i="7"/>
  <c r="E462" i="7"/>
  <c r="D462" i="7"/>
  <c r="B462" i="7"/>
  <c r="E461" i="7"/>
  <c r="D461" i="7"/>
  <c r="B461" i="7"/>
  <c r="E460" i="7"/>
  <c r="D460" i="7"/>
  <c r="B460" i="7"/>
  <c r="E459" i="7"/>
  <c r="D459" i="7"/>
  <c r="B459" i="7"/>
  <c r="E458" i="7"/>
  <c r="D458" i="7"/>
  <c r="B458" i="7"/>
  <c r="E457" i="7"/>
  <c r="D457" i="7"/>
  <c r="B457" i="7"/>
  <c r="E456" i="7"/>
  <c r="D456" i="7"/>
  <c r="B456" i="7"/>
  <c r="E455" i="7"/>
  <c r="D455" i="7"/>
  <c r="B455" i="7"/>
  <c r="E454" i="7"/>
  <c r="D454" i="7"/>
  <c r="B454" i="7"/>
  <c r="E453" i="7"/>
  <c r="D453" i="7"/>
  <c r="B453" i="7"/>
  <c r="E452" i="7"/>
  <c r="D452" i="7"/>
  <c r="B452" i="7"/>
  <c r="E451" i="7"/>
  <c r="D451" i="7"/>
  <c r="B451" i="7"/>
  <c r="E450" i="7"/>
  <c r="D450" i="7"/>
  <c r="B450" i="7"/>
  <c r="E449" i="7"/>
  <c r="D449" i="7"/>
  <c r="B449" i="7"/>
  <c r="E448" i="7"/>
  <c r="D448" i="7"/>
  <c r="B448" i="7"/>
  <c r="E447" i="7"/>
  <c r="D447" i="7"/>
  <c r="B447" i="7"/>
  <c r="E446" i="7"/>
  <c r="D446" i="7"/>
  <c r="B446" i="7"/>
  <c r="E445" i="7"/>
  <c r="D445" i="7"/>
  <c r="B445" i="7"/>
  <c r="E444" i="7"/>
  <c r="D444" i="7"/>
  <c r="B444" i="7"/>
  <c r="E443" i="7"/>
  <c r="D443" i="7"/>
  <c r="B443" i="7"/>
  <c r="E442" i="7"/>
  <c r="D442" i="7"/>
  <c r="B442" i="7"/>
  <c r="E441" i="7"/>
  <c r="D441" i="7"/>
  <c r="B441" i="7"/>
  <c r="E440" i="7"/>
  <c r="D440" i="7"/>
  <c r="B440" i="7"/>
  <c r="E439" i="7"/>
  <c r="D439" i="7"/>
  <c r="B439" i="7"/>
  <c r="E438" i="7"/>
  <c r="D438" i="7"/>
  <c r="B438" i="7"/>
  <c r="E437" i="7"/>
  <c r="D437" i="7"/>
  <c r="B437" i="7"/>
  <c r="E436" i="7"/>
  <c r="D436" i="7"/>
  <c r="B436" i="7"/>
  <c r="E435" i="7"/>
  <c r="D435" i="7"/>
  <c r="B435" i="7"/>
  <c r="E434" i="7"/>
  <c r="D434" i="7"/>
  <c r="B434" i="7"/>
  <c r="E433" i="7"/>
  <c r="D433" i="7"/>
  <c r="B433" i="7"/>
  <c r="E432" i="7"/>
  <c r="D432" i="7"/>
  <c r="B432" i="7"/>
  <c r="E431" i="7"/>
  <c r="D431" i="7"/>
  <c r="B431" i="7"/>
  <c r="E430" i="7"/>
  <c r="D430" i="7"/>
  <c r="B430" i="7"/>
  <c r="E429" i="7"/>
  <c r="D429" i="7"/>
  <c r="B429" i="7"/>
  <c r="E428" i="7"/>
  <c r="D428" i="7"/>
  <c r="B428" i="7"/>
  <c r="E427" i="7"/>
  <c r="D427" i="7"/>
  <c r="B427" i="7"/>
  <c r="E426" i="7"/>
  <c r="D426" i="7"/>
  <c r="B426" i="7"/>
  <c r="E425" i="7"/>
  <c r="D425" i="7"/>
  <c r="B425" i="7"/>
  <c r="E424" i="7"/>
  <c r="D424" i="7"/>
  <c r="B424" i="7"/>
  <c r="E423" i="7"/>
  <c r="D423" i="7"/>
  <c r="B423" i="7"/>
  <c r="E422" i="7"/>
  <c r="D422" i="7"/>
  <c r="B422" i="7"/>
  <c r="E421" i="7"/>
  <c r="D421" i="7"/>
  <c r="B421" i="7"/>
  <c r="E420" i="7"/>
  <c r="D420" i="7"/>
  <c r="B420" i="7"/>
  <c r="E419" i="7"/>
  <c r="D419" i="7"/>
  <c r="B419" i="7"/>
  <c r="E418" i="7"/>
  <c r="D418" i="7"/>
  <c r="B418" i="7"/>
  <c r="E417" i="7"/>
  <c r="D417" i="7"/>
  <c r="B417" i="7"/>
  <c r="E416" i="7"/>
  <c r="D416" i="7"/>
  <c r="B416" i="7"/>
  <c r="E415" i="7"/>
  <c r="D415" i="7"/>
  <c r="B415" i="7"/>
  <c r="E414" i="7"/>
  <c r="D414" i="7"/>
  <c r="B414" i="7"/>
  <c r="E413" i="7"/>
  <c r="D413" i="7"/>
  <c r="B413" i="7"/>
  <c r="E412" i="7"/>
  <c r="D412" i="7"/>
  <c r="B412" i="7"/>
  <c r="E411" i="7"/>
  <c r="D411" i="7"/>
  <c r="B411" i="7"/>
  <c r="E410" i="7"/>
  <c r="D410" i="7"/>
  <c r="B410" i="7"/>
  <c r="E409" i="7"/>
  <c r="D409" i="7"/>
  <c r="B409" i="7"/>
  <c r="E408" i="7"/>
  <c r="D408" i="7"/>
  <c r="B408" i="7"/>
  <c r="E407" i="7"/>
  <c r="D407" i="7"/>
  <c r="B407" i="7"/>
  <c r="E406" i="7"/>
  <c r="D406" i="7"/>
  <c r="B406" i="7"/>
  <c r="E405" i="7"/>
  <c r="D405" i="7"/>
  <c r="B405" i="7"/>
  <c r="E404" i="7"/>
  <c r="D404" i="7"/>
  <c r="B404" i="7"/>
  <c r="E403" i="7"/>
  <c r="D403" i="7"/>
  <c r="B403" i="7"/>
  <c r="E402" i="7"/>
  <c r="D402" i="7"/>
  <c r="B402" i="7"/>
  <c r="E401" i="7"/>
  <c r="D401" i="7"/>
  <c r="B401" i="7"/>
  <c r="E400" i="7"/>
  <c r="D400" i="7"/>
  <c r="B400" i="7"/>
  <c r="E399" i="7"/>
  <c r="D399" i="7"/>
  <c r="B399" i="7"/>
  <c r="E398" i="7"/>
  <c r="D398" i="7"/>
  <c r="B398" i="7"/>
  <c r="E397" i="7"/>
  <c r="D397" i="7"/>
  <c r="B397" i="7"/>
  <c r="E396" i="7"/>
  <c r="D396" i="7"/>
  <c r="B396" i="7"/>
  <c r="E395" i="7"/>
  <c r="D395" i="7"/>
  <c r="B395" i="7"/>
  <c r="E394" i="7"/>
  <c r="D394" i="7"/>
  <c r="B394" i="7"/>
  <c r="E393" i="7"/>
  <c r="D393" i="7"/>
  <c r="B393" i="7"/>
  <c r="E392" i="7"/>
  <c r="D392" i="7"/>
  <c r="B392" i="7"/>
  <c r="E391" i="7"/>
  <c r="D391" i="7"/>
  <c r="B391" i="7"/>
  <c r="E390" i="7"/>
  <c r="D390" i="7"/>
  <c r="B390" i="7"/>
  <c r="E389" i="7"/>
  <c r="D389" i="7"/>
  <c r="B389" i="7"/>
  <c r="E388" i="7"/>
  <c r="D388" i="7"/>
  <c r="B388" i="7"/>
  <c r="E387" i="7"/>
  <c r="D387" i="7"/>
  <c r="B387" i="7"/>
  <c r="E386" i="7"/>
  <c r="D386" i="7"/>
  <c r="B386" i="7"/>
  <c r="E385" i="7"/>
  <c r="D385" i="7"/>
  <c r="B385" i="7"/>
  <c r="E384" i="7"/>
  <c r="D384" i="7"/>
  <c r="B384" i="7"/>
  <c r="E383" i="7"/>
  <c r="D383" i="7"/>
  <c r="B383" i="7"/>
  <c r="E382" i="7"/>
  <c r="D382" i="7"/>
  <c r="B382" i="7"/>
  <c r="E381" i="7"/>
  <c r="D381" i="7"/>
  <c r="B381" i="7"/>
  <c r="E380" i="7"/>
  <c r="D380" i="7"/>
  <c r="B380" i="7"/>
  <c r="E379" i="7"/>
  <c r="D379" i="7"/>
  <c r="B379" i="7"/>
  <c r="E378" i="7"/>
  <c r="D378" i="7"/>
  <c r="B378" i="7"/>
  <c r="E377" i="7"/>
  <c r="D377" i="7"/>
  <c r="B377" i="7"/>
  <c r="E376" i="7"/>
  <c r="D376" i="7"/>
  <c r="B376" i="7"/>
  <c r="E375" i="7"/>
  <c r="D375" i="7"/>
  <c r="B375" i="7"/>
  <c r="E374" i="7"/>
  <c r="D374" i="7"/>
  <c r="B374" i="7"/>
  <c r="E373" i="7"/>
  <c r="D373" i="7"/>
  <c r="B373" i="7"/>
  <c r="E372" i="7"/>
  <c r="D372" i="7"/>
  <c r="B372" i="7"/>
  <c r="E371" i="7"/>
  <c r="D371" i="7"/>
  <c r="B371" i="7"/>
  <c r="E370" i="7"/>
  <c r="D370" i="7"/>
  <c r="B370" i="7"/>
  <c r="E369" i="7"/>
  <c r="D369" i="7"/>
  <c r="B369" i="7"/>
  <c r="E368" i="7"/>
  <c r="D368" i="7"/>
  <c r="B368" i="7"/>
  <c r="E367" i="7"/>
  <c r="D367" i="7"/>
  <c r="B367" i="7"/>
  <c r="E366" i="7"/>
  <c r="D366" i="7"/>
  <c r="B366" i="7"/>
  <c r="E365" i="7"/>
  <c r="D365" i="7"/>
  <c r="B365" i="7"/>
  <c r="E364" i="7"/>
  <c r="D364" i="7"/>
  <c r="B364" i="7"/>
  <c r="E363" i="7"/>
  <c r="D363" i="7"/>
  <c r="B363" i="7"/>
  <c r="E362" i="7"/>
  <c r="D362" i="7"/>
  <c r="B362" i="7"/>
  <c r="E361" i="7"/>
  <c r="D361" i="7"/>
  <c r="B361" i="7"/>
  <c r="E360" i="7"/>
  <c r="D360" i="7"/>
  <c r="B360" i="7"/>
  <c r="E359" i="7"/>
  <c r="D359" i="7"/>
  <c r="B359" i="7"/>
  <c r="E358" i="7"/>
  <c r="D358" i="7"/>
  <c r="B358" i="7"/>
  <c r="E357" i="7"/>
  <c r="D357" i="7"/>
  <c r="B357" i="7"/>
  <c r="E356" i="7"/>
  <c r="D356" i="7"/>
  <c r="B356" i="7"/>
  <c r="E355" i="7"/>
  <c r="D355" i="7"/>
  <c r="B355" i="7"/>
  <c r="E354" i="7"/>
  <c r="D354" i="7"/>
  <c r="B354" i="7"/>
  <c r="E353" i="7"/>
  <c r="D353" i="7"/>
  <c r="B353" i="7"/>
  <c r="E352" i="7"/>
  <c r="D352" i="7"/>
  <c r="B352" i="7"/>
  <c r="E351" i="7"/>
  <c r="D351" i="7"/>
  <c r="B351" i="7"/>
  <c r="E350" i="7"/>
  <c r="D350" i="7"/>
  <c r="B350" i="7"/>
  <c r="E349" i="7"/>
  <c r="D349" i="7"/>
  <c r="B349" i="7"/>
  <c r="E348" i="7"/>
  <c r="D348" i="7"/>
  <c r="B348" i="7"/>
  <c r="E347" i="7"/>
  <c r="D347" i="7"/>
  <c r="B347" i="7"/>
  <c r="E346" i="7"/>
  <c r="D346" i="7"/>
  <c r="B346" i="7"/>
  <c r="E345" i="7"/>
  <c r="D345" i="7"/>
  <c r="B345" i="7"/>
  <c r="E344" i="7"/>
  <c r="D344" i="7"/>
  <c r="B344" i="7"/>
  <c r="E343" i="7"/>
  <c r="D343" i="7"/>
  <c r="B343" i="7"/>
  <c r="E342" i="7"/>
  <c r="D342" i="7"/>
  <c r="B342" i="7"/>
  <c r="E341" i="7"/>
  <c r="D341" i="7"/>
  <c r="B341" i="7"/>
  <c r="E340" i="7"/>
  <c r="D340" i="7"/>
  <c r="B340" i="7"/>
  <c r="E339" i="7"/>
  <c r="D339" i="7"/>
  <c r="B339" i="7"/>
  <c r="E338" i="7"/>
  <c r="D338" i="7"/>
  <c r="B338" i="7"/>
  <c r="E337" i="7"/>
  <c r="D337" i="7"/>
  <c r="B337" i="7"/>
  <c r="E336" i="7"/>
  <c r="D336" i="7"/>
  <c r="B336" i="7"/>
  <c r="E335" i="7"/>
  <c r="D335" i="7"/>
  <c r="B335" i="7"/>
  <c r="E334" i="7"/>
  <c r="D334" i="7"/>
  <c r="B334" i="7"/>
  <c r="E333" i="7"/>
  <c r="D333" i="7"/>
  <c r="B333" i="7"/>
  <c r="E332" i="7"/>
  <c r="D332" i="7"/>
  <c r="B332" i="7"/>
  <c r="E331" i="7"/>
  <c r="D331" i="7"/>
  <c r="B331" i="7"/>
  <c r="E330" i="7"/>
  <c r="D330" i="7"/>
  <c r="B330" i="7"/>
  <c r="E329" i="7"/>
  <c r="D329" i="7"/>
  <c r="B329" i="7"/>
  <c r="E328" i="7"/>
  <c r="D328" i="7"/>
  <c r="B328" i="7"/>
  <c r="E327" i="7"/>
  <c r="D327" i="7"/>
  <c r="B327" i="7"/>
  <c r="E326" i="7"/>
  <c r="D326" i="7"/>
  <c r="B326" i="7"/>
  <c r="E325" i="7"/>
  <c r="D325" i="7"/>
  <c r="B325" i="7"/>
  <c r="E324" i="7"/>
  <c r="D324" i="7"/>
  <c r="B324" i="7"/>
  <c r="E323" i="7"/>
  <c r="D323" i="7"/>
  <c r="B323" i="7"/>
  <c r="E322" i="7"/>
  <c r="D322" i="7"/>
  <c r="B322" i="7"/>
  <c r="E321" i="7"/>
  <c r="D321" i="7"/>
  <c r="B321" i="7"/>
  <c r="E320" i="7"/>
  <c r="D320" i="7"/>
  <c r="B320" i="7"/>
  <c r="E319" i="7"/>
  <c r="D319" i="7"/>
  <c r="B319" i="7"/>
  <c r="E318" i="7"/>
  <c r="D318" i="7"/>
  <c r="B318" i="7"/>
  <c r="E317" i="7"/>
  <c r="D317" i="7"/>
  <c r="B317" i="7"/>
  <c r="E316" i="7"/>
  <c r="D316" i="7"/>
  <c r="B316" i="7"/>
  <c r="E315" i="7"/>
  <c r="D315" i="7"/>
  <c r="B315" i="7"/>
  <c r="E314" i="7"/>
  <c r="D314" i="7"/>
  <c r="B314" i="7"/>
  <c r="E313" i="7"/>
  <c r="D313" i="7"/>
  <c r="B313" i="7"/>
  <c r="E312" i="7"/>
  <c r="D312" i="7"/>
  <c r="B312" i="7"/>
  <c r="E311" i="7"/>
  <c r="D311" i="7"/>
  <c r="B311" i="7"/>
  <c r="E310" i="7"/>
  <c r="D310" i="7"/>
  <c r="B310" i="7"/>
  <c r="E309" i="7"/>
  <c r="D309" i="7"/>
  <c r="B309" i="7"/>
  <c r="E308" i="7"/>
  <c r="D308" i="7"/>
  <c r="B308" i="7"/>
  <c r="E307" i="7"/>
  <c r="D307" i="7"/>
  <c r="B307" i="7"/>
  <c r="E306" i="7"/>
  <c r="D306" i="7"/>
  <c r="B306" i="7"/>
  <c r="E305" i="7"/>
  <c r="D305" i="7"/>
  <c r="B305" i="7"/>
  <c r="E304" i="7"/>
  <c r="D304" i="7"/>
  <c r="B304" i="7"/>
  <c r="E303" i="7"/>
  <c r="D303" i="7"/>
  <c r="B303" i="7"/>
  <c r="E302" i="7"/>
  <c r="D302" i="7"/>
  <c r="B302" i="7"/>
  <c r="E301" i="7"/>
  <c r="D301" i="7"/>
  <c r="B301" i="7"/>
  <c r="E300" i="7"/>
  <c r="D300" i="7"/>
  <c r="B300" i="7"/>
  <c r="E299" i="7"/>
  <c r="D299" i="7"/>
  <c r="B299" i="7"/>
  <c r="E298" i="7"/>
  <c r="D298" i="7"/>
  <c r="B298" i="7"/>
  <c r="E297" i="7"/>
  <c r="D297" i="7"/>
  <c r="B297" i="7"/>
  <c r="E296" i="7"/>
  <c r="D296" i="7"/>
  <c r="B296" i="7"/>
  <c r="E295" i="7"/>
  <c r="D295" i="7"/>
  <c r="B295" i="7"/>
  <c r="E294" i="7"/>
  <c r="D294" i="7"/>
  <c r="B294" i="7"/>
  <c r="E293" i="7"/>
  <c r="D293" i="7"/>
  <c r="B293" i="7"/>
  <c r="E292" i="7"/>
  <c r="D292" i="7"/>
  <c r="B292" i="7"/>
  <c r="E291" i="7"/>
  <c r="D291" i="7"/>
  <c r="B291" i="7"/>
  <c r="E290" i="7"/>
  <c r="D290" i="7"/>
  <c r="B290" i="7"/>
  <c r="E289" i="7"/>
  <c r="D289" i="7"/>
  <c r="B289" i="7"/>
  <c r="E288" i="7"/>
  <c r="D288" i="7"/>
  <c r="B288" i="7"/>
  <c r="E287" i="7"/>
  <c r="D287" i="7"/>
  <c r="B287" i="7"/>
  <c r="E286" i="7"/>
  <c r="D286" i="7"/>
  <c r="B286" i="7"/>
  <c r="E285" i="7"/>
  <c r="D285" i="7"/>
  <c r="B285" i="7"/>
  <c r="E284" i="7"/>
  <c r="D284" i="7"/>
  <c r="B284" i="7"/>
  <c r="E283" i="7"/>
  <c r="D283" i="7"/>
  <c r="B283" i="7"/>
  <c r="E282" i="7"/>
  <c r="D282" i="7"/>
  <c r="B282" i="7"/>
  <c r="E281" i="7"/>
  <c r="D281" i="7"/>
  <c r="B281" i="7"/>
  <c r="E280" i="7"/>
  <c r="D280" i="7"/>
  <c r="B280" i="7"/>
  <c r="E279" i="7"/>
  <c r="D279" i="7"/>
  <c r="B279" i="7"/>
  <c r="E278" i="7"/>
  <c r="D278" i="7"/>
  <c r="B278" i="7"/>
  <c r="E277" i="7"/>
  <c r="D277" i="7"/>
  <c r="B277" i="7"/>
  <c r="E276" i="7"/>
  <c r="D276" i="7"/>
  <c r="B276" i="7"/>
  <c r="E275" i="7"/>
  <c r="D275" i="7"/>
  <c r="B275" i="7"/>
  <c r="E274" i="7"/>
  <c r="D274" i="7"/>
  <c r="B274" i="7"/>
  <c r="E273" i="7"/>
  <c r="D273" i="7"/>
  <c r="B273" i="7"/>
  <c r="E272" i="7"/>
  <c r="D272" i="7"/>
  <c r="B272" i="7"/>
  <c r="E271" i="7"/>
  <c r="D271" i="7"/>
  <c r="B271" i="7"/>
  <c r="E270" i="7"/>
  <c r="D270" i="7"/>
  <c r="B270" i="7"/>
  <c r="E269" i="7"/>
  <c r="D269" i="7"/>
  <c r="B269" i="7"/>
  <c r="E268" i="7"/>
  <c r="D268" i="7"/>
  <c r="B268" i="7"/>
  <c r="E267" i="7"/>
  <c r="D267" i="7"/>
  <c r="B267" i="7"/>
  <c r="E266" i="7"/>
  <c r="D266" i="7"/>
  <c r="B266" i="7"/>
  <c r="E265" i="7"/>
  <c r="D265" i="7"/>
  <c r="B265" i="7"/>
  <c r="E264" i="7"/>
  <c r="D264" i="7"/>
  <c r="B264" i="7"/>
  <c r="E263" i="7"/>
  <c r="D263" i="7"/>
  <c r="B263" i="7"/>
  <c r="E262" i="7"/>
  <c r="D262" i="7"/>
  <c r="B262" i="7"/>
  <c r="E261" i="7"/>
  <c r="D261" i="7"/>
  <c r="B261" i="7"/>
  <c r="E260" i="7"/>
  <c r="D260" i="7"/>
  <c r="B260" i="7"/>
  <c r="E259" i="7"/>
  <c r="D259" i="7"/>
  <c r="B259" i="7"/>
  <c r="E258" i="7"/>
  <c r="D258" i="7"/>
  <c r="B258" i="7"/>
  <c r="E257" i="7"/>
  <c r="D257" i="7"/>
  <c r="B257" i="7"/>
  <c r="E256" i="7"/>
  <c r="D256" i="7"/>
  <c r="B256" i="7"/>
  <c r="E255" i="7"/>
  <c r="D255" i="7"/>
  <c r="B255" i="7"/>
  <c r="E254" i="7"/>
  <c r="D254" i="7"/>
  <c r="B254" i="7"/>
  <c r="E253" i="7"/>
  <c r="D253" i="7"/>
  <c r="B253" i="7"/>
  <c r="E252" i="7"/>
  <c r="D252" i="7"/>
  <c r="B252" i="7"/>
  <c r="E251" i="7"/>
  <c r="D251" i="7"/>
  <c r="B251" i="7"/>
  <c r="E250" i="7"/>
  <c r="D250" i="7"/>
  <c r="B250" i="7"/>
  <c r="E249" i="7"/>
  <c r="D249" i="7"/>
  <c r="B249" i="7"/>
  <c r="E248" i="7"/>
  <c r="D248" i="7"/>
  <c r="B248" i="7"/>
  <c r="E247" i="7"/>
  <c r="D247" i="7"/>
  <c r="B247" i="7"/>
  <c r="E246" i="7"/>
  <c r="D246" i="7"/>
  <c r="B246" i="7"/>
  <c r="E245" i="7"/>
  <c r="D245" i="7"/>
  <c r="B245" i="7"/>
  <c r="E244" i="7"/>
  <c r="D244" i="7"/>
  <c r="B244" i="7"/>
  <c r="E243" i="7"/>
  <c r="D243" i="7"/>
  <c r="B243" i="7"/>
  <c r="E242" i="7"/>
  <c r="D242" i="7"/>
  <c r="B242" i="7"/>
  <c r="E241" i="7"/>
  <c r="D241" i="7"/>
  <c r="B241" i="7"/>
  <c r="E240" i="7"/>
  <c r="D240" i="7"/>
  <c r="B240" i="7"/>
  <c r="E239" i="7"/>
  <c r="D239" i="7"/>
  <c r="B239" i="7"/>
  <c r="E238" i="7"/>
  <c r="D238" i="7"/>
  <c r="B238" i="7"/>
  <c r="E237" i="7"/>
  <c r="D237" i="7"/>
  <c r="B237" i="7"/>
  <c r="E236" i="7"/>
  <c r="D236" i="7"/>
  <c r="B236" i="7"/>
  <c r="E235" i="7"/>
  <c r="D235" i="7"/>
  <c r="B235" i="7"/>
  <c r="E234" i="7"/>
  <c r="D234" i="7"/>
  <c r="B234" i="7"/>
  <c r="E233" i="7"/>
  <c r="D233" i="7"/>
  <c r="B233" i="7"/>
  <c r="E232" i="7"/>
  <c r="D232" i="7"/>
  <c r="B232" i="7"/>
  <c r="E231" i="7"/>
  <c r="D231" i="7"/>
  <c r="B231" i="7"/>
  <c r="E230" i="7"/>
  <c r="D230" i="7"/>
  <c r="B230" i="7"/>
  <c r="E229" i="7"/>
  <c r="D229" i="7"/>
  <c r="B229" i="7"/>
  <c r="E228" i="7"/>
  <c r="D228" i="7"/>
  <c r="B228" i="7"/>
  <c r="E227" i="7"/>
  <c r="D227" i="7"/>
  <c r="B227" i="7"/>
  <c r="E226" i="7"/>
  <c r="D226" i="7"/>
  <c r="B226" i="7"/>
  <c r="E225" i="7"/>
  <c r="D225" i="7"/>
  <c r="B225" i="7"/>
  <c r="E224" i="7"/>
  <c r="D224" i="7"/>
  <c r="B224" i="7"/>
  <c r="E223" i="7"/>
  <c r="D223" i="7"/>
  <c r="B223" i="7"/>
  <c r="E222" i="7"/>
  <c r="D222" i="7"/>
  <c r="B222" i="7"/>
  <c r="E221" i="7"/>
  <c r="D221" i="7"/>
  <c r="B221" i="7"/>
  <c r="E220" i="7"/>
  <c r="D220" i="7"/>
  <c r="B220" i="7"/>
  <c r="E219" i="7"/>
  <c r="D219" i="7"/>
  <c r="B219" i="7"/>
  <c r="E218" i="7"/>
  <c r="D218" i="7"/>
  <c r="B218" i="7"/>
  <c r="E217" i="7"/>
  <c r="D217" i="7"/>
  <c r="B217" i="7"/>
  <c r="E216" i="7"/>
  <c r="D216" i="7"/>
  <c r="B216" i="7"/>
  <c r="E215" i="7"/>
  <c r="D215" i="7"/>
  <c r="B215" i="7"/>
  <c r="E214" i="7"/>
  <c r="D214" i="7"/>
  <c r="B214" i="7"/>
  <c r="E213" i="7"/>
  <c r="D213" i="7"/>
  <c r="B213" i="7"/>
  <c r="E212" i="7"/>
  <c r="D212" i="7"/>
  <c r="B212" i="7"/>
  <c r="E211" i="7"/>
  <c r="D211" i="7"/>
  <c r="B211" i="7"/>
  <c r="E210" i="7"/>
  <c r="D210" i="7"/>
  <c r="B210" i="7"/>
  <c r="E209" i="7"/>
  <c r="D209" i="7"/>
  <c r="B209" i="7"/>
  <c r="E208" i="7"/>
  <c r="D208" i="7"/>
  <c r="B208" i="7"/>
  <c r="E207" i="7"/>
  <c r="D207" i="7"/>
  <c r="B207" i="7"/>
  <c r="E206" i="7"/>
  <c r="D206" i="7"/>
  <c r="B206" i="7"/>
  <c r="E205" i="7"/>
  <c r="D205" i="7"/>
  <c r="B205" i="7"/>
  <c r="E204" i="7"/>
  <c r="D204" i="7"/>
  <c r="B204" i="7"/>
  <c r="E203" i="7"/>
  <c r="D203" i="7"/>
  <c r="B203" i="7"/>
  <c r="E202" i="7"/>
  <c r="D202" i="7"/>
  <c r="B202" i="7"/>
  <c r="E201" i="7"/>
  <c r="D201" i="7"/>
  <c r="B201" i="7"/>
  <c r="E200" i="7"/>
  <c r="D200" i="7"/>
  <c r="B200" i="7"/>
  <c r="E199" i="7"/>
  <c r="D199" i="7"/>
  <c r="B199" i="7"/>
  <c r="E198" i="7"/>
  <c r="D198" i="7"/>
  <c r="B198" i="7"/>
  <c r="E197" i="7"/>
  <c r="D197" i="7"/>
  <c r="B197" i="7"/>
  <c r="E196" i="7"/>
  <c r="D196" i="7"/>
  <c r="B196" i="7"/>
  <c r="E195" i="7"/>
  <c r="D195" i="7"/>
  <c r="B195" i="7"/>
  <c r="E194" i="7"/>
  <c r="D194" i="7"/>
  <c r="B194" i="7"/>
  <c r="E193" i="7"/>
  <c r="D193" i="7"/>
  <c r="B193" i="7"/>
  <c r="E192" i="7"/>
  <c r="D192" i="7"/>
  <c r="B192" i="7"/>
  <c r="E191" i="7"/>
  <c r="D191" i="7"/>
  <c r="B191" i="7"/>
  <c r="E190" i="7"/>
  <c r="D190" i="7"/>
  <c r="B190" i="7"/>
  <c r="E189" i="7"/>
  <c r="D189" i="7"/>
  <c r="B189" i="7"/>
  <c r="E188" i="7"/>
  <c r="D188" i="7"/>
  <c r="B188" i="7"/>
  <c r="E187" i="7"/>
  <c r="D187" i="7"/>
  <c r="B187" i="7"/>
  <c r="E186" i="7"/>
  <c r="D186" i="7"/>
  <c r="B186" i="7"/>
  <c r="E185" i="7"/>
  <c r="D185" i="7"/>
  <c r="B185" i="7"/>
  <c r="E184" i="7"/>
  <c r="D184" i="7"/>
  <c r="B184" i="7"/>
  <c r="E183" i="7"/>
  <c r="D183" i="7"/>
  <c r="B183" i="7"/>
  <c r="E182" i="7"/>
  <c r="D182" i="7"/>
  <c r="B182" i="7"/>
  <c r="E181" i="7"/>
  <c r="D181" i="7"/>
  <c r="B181" i="7"/>
  <c r="E180" i="7"/>
  <c r="D180" i="7"/>
  <c r="B180" i="7"/>
  <c r="E179" i="7"/>
  <c r="D179" i="7"/>
  <c r="B179" i="7"/>
  <c r="E178" i="7"/>
  <c r="D178" i="7"/>
  <c r="B178" i="7"/>
  <c r="E177" i="7"/>
  <c r="D177" i="7"/>
  <c r="B177" i="7"/>
  <c r="E176" i="7"/>
  <c r="D176" i="7"/>
  <c r="B176" i="7"/>
  <c r="E175" i="7"/>
  <c r="D175" i="7"/>
  <c r="B175" i="7"/>
  <c r="E174" i="7"/>
  <c r="D174" i="7"/>
  <c r="B174" i="7"/>
  <c r="E173" i="7"/>
  <c r="D173" i="7"/>
  <c r="B173" i="7"/>
  <c r="E172" i="7"/>
  <c r="D172" i="7"/>
  <c r="B172" i="7"/>
  <c r="E171" i="7"/>
  <c r="D171" i="7"/>
  <c r="B171" i="7"/>
  <c r="E170" i="7"/>
  <c r="D170" i="7"/>
  <c r="B170" i="7"/>
  <c r="E169" i="7"/>
  <c r="D169" i="7"/>
  <c r="B169" i="7"/>
  <c r="E168" i="7"/>
  <c r="D168" i="7"/>
  <c r="B168" i="7"/>
  <c r="E167" i="7"/>
  <c r="D167" i="7"/>
  <c r="B167" i="7"/>
  <c r="E166" i="7"/>
  <c r="D166" i="7"/>
  <c r="B166" i="7"/>
  <c r="E165" i="7"/>
  <c r="D165" i="7"/>
  <c r="B165" i="7"/>
  <c r="E164" i="7"/>
  <c r="D164" i="7"/>
  <c r="B164" i="7"/>
  <c r="E163" i="7"/>
  <c r="D163" i="7"/>
  <c r="B163" i="7"/>
  <c r="E162" i="7"/>
  <c r="D162" i="7"/>
  <c r="B162" i="7"/>
  <c r="E161" i="7"/>
  <c r="D161" i="7"/>
  <c r="B161" i="7"/>
  <c r="E160" i="7"/>
  <c r="D160" i="7"/>
  <c r="B160" i="7"/>
  <c r="E159" i="7"/>
  <c r="D159" i="7"/>
  <c r="B159" i="7"/>
  <c r="E158" i="7"/>
  <c r="D158" i="7"/>
  <c r="B158" i="7"/>
  <c r="E157" i="7"/>
  <c r="D157" i="7"/>
  <c r="B157" i="7"/>
  <c r="E156" i="7"/>
  <c r="D156" i="7"/>
  <c r="B156" i="7"/>
  <c r="E155" i="7"/>
  <c r="D155" i="7"/>
  <c r="B155" i="7"/>
  <c r="E154" i="7"/>
  <c r="D154" i="7"/>
  <c r="B154" i="7"/>
  <c r="E153" i="7"/>
  <c r="D153" i="7"/>
  <c r="B153" i="7"/>
  <c r="E152" i="7"/>
  <c r="D152" i="7"/>
  <c r="B152" i="7"/>
  <c r="E151" i="7"/>
  <c r="D151" i="7"/>
  <c r="B151" i="7"/>
  <c r="E150" i="7"/>
  <c r="D150" i="7"/>
  <c r="B150" i="7"/>
  <c r="E149" i="7"/>
  <c r="D149" i="7"/>
  <c r="B149" i="7"/>
  <c r="E148" i="7"/>
  <c r="D148" i="7"/>
  <c r="B148" i="7"/>
  <c r="E147" i="7"/>
  <c r="D147" i="7"/>
  <c r="B147" i="7"/>
  <c r="E146" i="7"/>
  <c r="D146" i="7"/>
  <c r="B146" i="7"/>
  <c r="E145" i="7"/>
  <c r="D145" i="7"/>
  <c r="B145" i="7"/>
  <c r="E144" i="7"/>
  <c r="D144" i="7"/>
  <c r="B144" i="7"/>
  <c r="E143" i="7"/>
  <c r="D143" i="7"/>
  <c r="B143" i="7"/>
  <c r="E142" i="7"/>
  <c r="D142" i="7"/>
  <c r="B142" i="7"/>
  <c r="E141" i="7"/>
  <c r="D141" i="7"/>
  <c r="B141" i="7"/>
  <c r="E140" i="7"/>
  <c r="D140" i="7"/>
  <c r="B140" i="7"/>
  <c r="E139" i="7"/>
  <c r="D139" i="7"/>
  <c r="B139" i="7"/>
  <c r="E138" i="7"/>
  <c r="D138" i="7"/>
  <c r="B138" i="7"/>
  <c r="E137" i="7"/>
  <c r="D137" i="7"/>
  <c r="B137" i="7"/>
  <c r="E136" i="7"/>
  <c r="D136" i="7"/>
  <c r="B136" i="7"/>
  <c r="E135" i="7"/>
  <c r="D135" i="7"/>
  <c r="B135" i="7"/>
  <c r="E134" i="7"/>
  <c r="D134" i="7"/>
  <c r="B134" i="7"/>
  <c r="E133" i="7"/>
  <c r="D133" i="7"/>
  <c r="B133" i="7"/>
  <c r="E132" i="7"/>
  <c r="D132" i="7"/>
  <c r="B132" i="7"/>
  <c r="E131" i="7"/>
  <c r="D131" i="7"/>
  <c r="B131" i="7"/>
  <c r="E130" i="7"/>
  <c r="D130" i="7"/>
  <c r="B130" i="7"/>
  <c r="E129" i="7"/>
  <c r="D129" i="7"/>
  <c r="B129" i="7"/>
  <c r="E128" i="7"/>
  <c r="D128" i="7"/>
  <c r="B128" i="7"/>
  <c r="E127" i="7"/>
  <c r="D127" i="7"/>
  <c r="B127" i="7"/>
  <c r="E126" i="7"/>
  <c r="D126" i="7"/>
  <c r="B126" i="7"/>
  <c r="E125" i="7"/>
  <c r="D125" i="7"/>
  <c r="B125" i="7"/>
  <c r="E124" i="7"/>
  <c r="D124" i="7"/>
  <c r="B124" i="7"/>
  <c r="E123" i="7"/>
  <c r="D123" i="7"/>
  <c r="B123" i="7"/>
  <c r="E122" i="7"/>
  <c r="D122" i="7"/>
  <c r="B122" i="7"/>
  <c r="E121" i="7"/>
  <c r="D121" i="7"/>
  <c r="B121" i="7"/>
  <c r="E120" i="7"/>
  <c r="D120" i="7"/>
  <c r="B120" i="7"/>
  <c r="E119" i="7"/>
  <c r="D119" i="7"/>
  <c r="B119" i="7"/>
  <c r="E118" i="7"/>
  <c r="D118" i="7"/>
  <c r="B118" i="7"/>
  <c r="E117" i="7"/>
  <c r="D117" i="7"/>
  <c r="B117" i="7"/>
  <c r="E116" i="7"/>
  <c r="D116" i="7"/>
  <c r="B116" i="7"/>
  <c r="E115" i="7"/>
  <c r="D115" i="7"/>
  <c r="B115" i="7"/>
  <c r="E114" i="7"/>
  <c r="D114" i="7"/>
  <c r="B114" i="7"/>
  <c r="E113" i="7"/>
  <c r="D113" i="7"/>
  <c r="B113" i="7"/>
  <c r="E112" i="7"/>
  <c r="D112" i="7"/>
  <c r="B112" i="7"/>
  <c r="E111" i="7"/>
  <c r="D111" i="7"/>
  <c r="B111" i="7"/>
  <c r="E110" i="7"/>
  <c r="D110" i="7"/>
  <c r="B110" i="7"/>
  <c r="E109" i="7"/>
  <c r="D109" i="7"/>
  <c r="B109" i="7"/>
  <c r="E108" i="7"/>
  <c r="D108" i="7"/>
  <c r="B108" i="7"/>
  <c r="E107" i="7"/>
  <c r="D107" i="7"/>
  <c r="B107" i="7"/>
  <c r="E106" i="7"/>
  <c r="D106" i="7"/>
  <c r="B106" i="7"/>
  <c r="E105" i="7"/>
  <c r="D105" i="7"/>
  <c r="B105" i="7"/>
  <c r="E104" i="7"/>
  <c r="D104" i="7"/>
  <c r="B104" i="7"/>
  <c r="E103" i="7"/>
  <c r="D103" i="7"/>
  <c r="B103" i="7"/>
  <c r="E102" i="7"/>
  <c r="D102" i="7"/>
  <c r="B102" i="7"/>
  <c r="E101" i="7"/>
  <c r="D101" i="7"/>
  <c r="B101" i="7"/>
  <c r="E100" i="7"/>
  <c r="D100" i="7"/>
  <c r="B100" i="7"/>
  <c r="E99" i="7"/>
  <c r="D99" i="7"/>
  <c r="B99" i="7"/>
  <c r="E98" i="7"/>
  <c r="D98" i="7"/>
  <c r="B98" i="7"/>
  <c r="E97" i="7"/>
  <c r="D97" i="7"/>
  <c r="B97" i="7"/>
  <c r="E96" i="7"/>
  <c r="D96" i="7"/>
  <c r="B96" i="7"/>
  <c r="E95" i="7"/>
  <c r="D95" i="7"/>
  <c r="B95" i="7"/>
  <c r="E94" i="7"/>
  <c r="D94" i="7"/>
  <c r="B94" i="7"/>
  <c r="E93" i="7"/>
  <c r="D93" i="7"/>
  <c r="B93" i="7"/>
  <c r="E92" i="7"/>
  <c r="D92" i="7"/>
  <c r="B92" i="7"/>
  <c r="E91" i="7"/>
  <c r="D91" i="7"/>
  <c r="B91" i="7"/>
  <c r="E90" i="7"/>
  <c r="D90" i="7"/>
  <c r="B90" i="7"/>
  <c r="E89" i="7"/>
  <c r="D89" i="7"/>
  <c r="B89" i="7"/>
  <c r="E88" i="7"/>
  <c r="D88" i="7"/>
  <c r="B88" i="7"/>
  <c r="E87" i="7"/>
  <c r="D87" i="7"/>
  <c r="B87" i="7"/>
  <c r="E86" i="7"/>
  <c r="D86" i="7"/>
  <c r="B86" i="7"/>
  <c r="E85" i="7"/>
  <c r="D85" i="7"/>
  <c r="B85" i="7"/>
  <c r="E84" i="7"/>
  <c r="D84" i="7"/>
  <c r="B84" i="7"/>
  <c r="E83" i="7"/>
  <c r="D83" i="7"/>
  <c r="B83" i="7"/>
  <c r="E82" i="7"/>
  <c r="D82" i="7"/>
  <c r="B82" i="7"/>
  <c r="E81" i="7"/>
  <c r="D81" i="7"/>
  <c r="B81" i="7"/>
  <c r="E80" i="7"/>
  <c r="D80" i="7"/>
  <c r="B80" i="7"/>
  <c r="E79" i="7"/>
  <c r="D79" i="7"/>
  <c r="B79" i="7"/>
  <c r="E78" i="7"/>
  <c r="D78" i="7"/>
  <c r="B78" i="7"/>
  <c r="E77" i="7"/>
  <c r="D77" i="7"/>
  <c r="B77" i="7"/>
  <c r="E76" i="7"/>
  <c r="D76" i="7"/>
  <c r="B76" i="7"/>
  <c r="E75" i="7"/>
  <c r="D75" i="7"/>
  <c r="B75" i="7"/>
  <c r="E74" i="7"/>
  <c r="D74" i="7"/>
  <c r="B74" i="7"/>
  <c r="E73" i="7"/>
  <c r="D73" i="7"/>
  <c r="B73" i="7"/>
  <c r="E72" i="7"/>
  <c r="D72" i="7"/>
  <c r="B72" i="7"/>
  <c r="E71" i="7"/>
  <c r="D71" i="7"/>
  <c r="B71" i="7"/>
  <c r="E70" i="7"/>
  <c r="D70" i="7"/>
  <c r="B70" i="7"/>
  <c r="E69" i="7"/>
  <c r="D69" i="7"/>
  <c r="B69" i="7"/>
  <c r="E68" i="7"/>
  <c r="D68" i="7"/>
  <c r="B68" i="7"/>
  <c r="E67" i="7"/>
  <c r="D67" i="7"/>
  <c r="B67" i="7"/>
  <c r="E66" i="7"/>
  <c r="D66" i="7"/>
  <c r="B66" i="7"/>
  <c r="E65" i="7"/>
  <c r="D65" i="7"/>
  <c r="B65" i="7"/>
  <c r="E64" i="7"/>
  <c r="D64" i="7"/>
  <c r="B64" i="7"/>
  <c r="E63" i="7"/>
  <c r="D63" i="7"/>
  <c r="B63" i="7"/>
  <c r="E62" i="7"/>
  <c r="D62" i="7"/>
  <c r="B62" i="7"/>
  <c r="E61" i="7"/>
  <c r="D61" i="7"/>
  <c r="B61" i="7"/>
  <c r="E60" i="7"/>
  <c r="D60" i="7"/>
  <c r="B60" i="7"/>
  <c r="E59" i="7"/>
  <c r="D59" i="7"/>
  <c r="B59" i="7"/>
  <c r="E58" i="7"/>
  <c r="D58" i="7"/>
  <c r="B58" i="7"/>
  <c r="E57" i="7"/>
  <c r="D57" i="7"/>
  <c r="B57" i="7"/>
  <c r="E56" i="7"/>
  <c r="D56" i="7"/>
  <c r="B56" i="7"/>
  <c r="E55" i="7"/>
  <c r="D55" i="7"/>
  <c r="B55" i="7"/>
  <c r="E54" i="7"/>
  <c r="D54" i="7"/>
  <c r="B54" i="7"/>
  <c r="E53" i="7"/>
  <c r="D53" i="7"/>
  <c r="B53" i="7"/>
  <c r="E52" i="7"/>
  <c r="D52" i="7"/>
  <c r="B52" i="7"/>
  <c r="E51" i="7"/>
  <c r="D51" i="7"/>
  <c r="B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5" i="7"/>
  <c r="D45" i="7"/>
  <c r="B45" i="7"/>
  <c r="E44" i="7"/>
  <c r="D44" i="7"/>
  <c r="B44" i="7"/>
  <c r="E43" i="7"/>
  <c r="D43" i="7"/>
  <c r="B43" i="7"/>
  <c r="E42" i="7"/>
  <c r="D42" i="7"/>
  <c r="B42" i="7"/>
  <c r="E41" i="7"/>
  <c r="D41" i="7"/>
  <c r="B41" i="7"/>
  <c r="E40" i="7"/>
  <c r="D40" i="7"/>
  <c r="B40" i="7"/>
  <c r="E39" i="7"/>
  <c r="D39" i="7"/>
  <c r="B39" i="7"/>
  <c r="E38" i="7"/>
  <c r="D38" i="7"/>
  <c r="B38" i="7"/>
  <c r="E37" i="7"/>
  <c r="D37" i="7"/>
  <c r="B37" i="7"/>
  <c r="E36" i="7"/>
  <c r="D36" i="7"/>
  <c r="B36" i="7"/>
  <c r="E35" i="7"/>
  <c r="D35" i="7"/>
  <c r="B35" i="7"/>
  <c r="E34" i="7"/>
  <c r="D34" i="7"/>
  <c r="B34" i="7"/>
  <c r="E33" i="7"/>
  <c r="D33" i="7"/>
  <c r="B33" i="7"/>
  <c r="E32" i="7"/>
  <c r="D32" i="7"/>
  <c r="B32" i="7"/>
  <c r="E31" i="7"/>
  <c r="D31" i="7"/>
  <c r="B31" i="7"/>
  <c r="E30" i="7"/>
  <c r="D30" i="7"/>
  <c r="B30" i="7"/>
  <c r="E29" i="7"/>
  <c r="D29" i="7"/>
  <c r="B29" i="7"/>
  <c r="E28" i="7"/>
  <c r="D28" i="7"/>
  <c r="B28" i="7"/>
  <c r="E27" i="7"/>
  <c r="D27" i="7"/>
  <c r="B27" i="7"/>
  <c r="E26" i="7"/>
  <c r="D26" i="7"/>
  <c r="B26" i="7"/>
  <c r="E25" i="7"/>
  <c r="D25" i="7"/>
  <c r="B25" i="7"/>
  <c r="E24" i="7"/>
  <c r="D24" i="7"/>
  <c r="B24" i="7"/>
  <c r="E23" i="7"/>
  <c r="D23" i="7"/>
  <c r="B23" i="7"/>
  <c r="E22" i="7"/>
  <c r="D22" i="7"/>
  <c r="B22" i="7"/>
  <c r="E21" i="7"/>
  <c r="D21" i="7"/>
  <c r="B21" i="7"/>
  <c r="E20" i="7"/>
  <c r="D20" i="7"/>
  <c r="B20" i="7"/>
  <c r="E19" i="7"/>
  <c r="D19" i="7"/>
  <c r="B19" i="7"/>
  <c r="E18" i="7"/>
  <c r="D18" i="7"/>
  <c r="B18" i="7"/>
  <c r="E17" i="7"/>
  <c r="D17" i="7"/>
  <c r="B17" i="7"/>
  <c r="E16" i="7"/>
  <c r="D16" i="7"/>
  <c r="B16" i="7"/>
  <c r="E15" i="7"/>
  <c r="D15" i="7"/>
  <c r="B15" i="7"/>
  <c r="E14" i="7"/>
  <c r="D14" i="7"/>
  <c r="B14" i="7"/>
  <c r="E13" i="7"/>
  <c r="D13" i="7"/>
  <c r="B13" i="7"/>
  <c r="E12" i="7"/>
  <c r="D12" i="7"/>
  <c r="B12" i="7"/>
  <c r="E11" i="7"/>
  <c r="D11" i="7"/>
  <c r="B11" i="7"/>
  <c r="E10" i="7"/>
  <c r="D10" i="7"/>
  <c r="B10" i="7"/>
  <c r="E9" i="7"/>
  <c r="D9" i="7"/>
  <c r="B9" i="7"/>
  <c r="E8" i="7"/>
  <c r="D8" i="7"/>
  <c r="B8" i="7"/>
  <c r="E7" i="7"/>
  <c r="D7" i="7"/>
  <c r="B7" i="7"/>
  <c r="E6" i="7"/>
  <c r="D6" i="7"/>
  <c r="B6" i="7"/>
  <c r="E5" i="7"/>
  <c r="D5" i="7"/>
  <c r="B5" i="7"/>
  <c r="E4" i="7"/>
  <c r="D4" i="7"/>
  <c r="B4" i="7"/>
  <c r="E3" i="7"/>
  <c r="D3" i="7"/>
  <c r="B3" i="7"/>
  <c r="B743" i="7" l="1"/>
  <c r="D3" i="2"/>
  <c r="D1223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36" i="2"/>
  <c r="D1131" i="2"/>
  <c r="D1130" i="2"/>
  <c r="D1129" i="2"/>
  <c r="D1122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comments1.xml><?xml version="1.0" encoding="utf-8"?>
<comments xmlns="http://schemas.openxmlformats.org/spreadsheetml/2006/main">
  <authors>
    <author>Gilho Lee</author>
  </authors>
  <commentList>
    <comment ref="F73" authorId="0" shapeId="0">
      <text>
        <r>
          <rPr>
            <b/>
            <sz val="9"/>
            <color indexed="81"/>
            <rFont val="BatangChe"/>
            <family val="3"/>
            <charset val="129"/>
          </rPr>
          <t>폐업</t>
        </r>
      </text>
    </comment>
    <comment ref="F87" authorId="0" shapeId="0">
      <text>
        <r>
          <rPr>
            <b/>
            <sz val="9"/>
            <color indexed="81"/>
            <rFont val="BatangChe"/>
            <family val="3"/>
            <charset val="129"/>
          </rPr>
          <t>하이네켄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생맥주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프로모션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집중</t>
        </r>
        <r>
          <rPr>
            <b/>
            <sz val="9"/>
            <color indexed="81"/>
            <rFont val="Tahoma"/>
            <family val="2"/>
          </rPr>
          <t xml:space="preserve">. </t>
        </r>
      </text>
    </comment>
    <comment ref="F89" authorId="0" shapeId="0">
      <text>
        <r>
          <rPr>
            <b/>
            <sz val="9"/>
            <color indexed="81"/>
            <rFont val="BatangChe"/>
            <family val="3"/>
            <charset val="129"/>
          </rPr>
          <t>판매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중단</t>
        </r>
      </text>
    </comment>
    <comment ref="F295" authorId="0" shapeId="0">
      <text>
        <r>
          <rPr>
            <b/>
            <sz val="9"/>
            <color indexed="81"/>
            <rFont val="BatangChe"/>
            <family val="3"/>
            <charset val="129"/>
          </rPr>
          <t>업장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이전</t>
        </r>
        <r>
          <rPr>
            <b/>
            <sz val="9"/>
            <color indexed="81"/>
            <rFont val="Tahoma"/>
            <family val="2"/>
          </rPr>
          <t>. (</t>
        </r>
        <r>
          <rPr>
            <b/>
            <sz val="9"/>
            <color indexed="81"/>
            <rFont val="BatangChe"/>
            <family val="3"/>
            <charset val="129"/>
          </rPr>
          <t>폐업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BatangChe"/>
            <family val="3"/>
            <charset val="129"/>
          </rPr>
          <t>업장명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BatangChe"/>
            <family val="3"/>
            <charset val="129"/>
          </rPr>
          <t>도매상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변경</t>
        </r>
      </text>
    </comment>
    <comment ref="F302" authorId="0" shapeId="0">
      <text>
        <r>
          <rPr>
            <b/>
            <sz val="9"/>
            <color indexed="81"/>
            <rFont val="BatangChe"/>
            <family val="3"/>
            <charset val="129"/>
          </rPr>
          <t>영업활동에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의해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입점했으나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BatangChe"/>
            <family val="3"/>
            <charset val="129"/>
          </rPr>
          <t>업주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판매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거부
하이네켄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생맥주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집중</t>
        </r>
      </text>
    </comment>
    <comment ref="F303" authorId="0" shapeId="0">
      <text>
        <r>
          <rPr>
            <b/>
            <sz val="9"/>
            <color indexed="81"/>
            <rFont val="BatangChe"/>
            <family val="3"/>
            <charset val="129"/>
          </rPr>
          <t>영업활동에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의해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입점했으나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BatangChe"/>
            <family val="3"/>
            <charset val="129"/>
          </rPr>
          <t>업주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판매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거부
하이네켄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생맥주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BatangChe"/>
            <family val="3"/>
            <charset val="129"/>
          </rPr>
          <t>집중</t>
        </r>
      </text>
    </comment>
    <comment ref="F340" authorId="0" shapeId="0">
      <text>
        <r>
          <rPr>
            <b/>
            <sz val="14"/>
            <color indexed="81"/>
            <rFont val="BatangChe"/>
            <family val="3"/>
            <charset val="129"/>
          </rPr>
          <t>하이네켄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BatangChe"/>
            <family val="3"/>
            <charset val="129"/>
          </rPr>
          <t>생맥주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BatangChe"/>
            <family val="3"/>
            <charset val="129"/>
          </rPr>
          <t>판매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BatangChe"/>
            <family val="3"/>
            <charset val="129"/>
          </rPr>
          <t>집중</t>
        </r>
      </text>
    </comment>
    <comment ref="F357" authorId="0" shapeId="0">
      <text>
        <r>
          <rPr>
            <b/>
            <sz val="9"/>
            <color indexed="81"/>
            <rFont val="BatangChe"/>
            <family val="3"/>
            <charset val="129"/>
          </rPr>
          <t xml:space="preserve">판매 중단
</t>
        </r>
      </text>
    </comment>
  </commentList>
</comments>
</file>

<file path=xl/comments2.xml><?xml version="1.0" encoding="utf-8"?>
<comments xmlns="http://schemas.openxmlformats.org/spreadsheetml/2006/main">
  <authors>
    <author>Joonghyun Lee</author>
  </authors>
  <commentList>
    <comment ref="F595" authorId="0" shapeId="0">
      <text>
        <r>
          <rPr>
            <b/>
            <sz val="9"/>
            <color indexed="81"/>
            <rFont val="Tahoma"/>
            <family val="2"/>
          </rPr>
          <t>Joonghyun 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맑은 고딕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맑은 고딕"/>
            <family val="3"/>
            <charset val="129"/>
          </rPr>
          <t>투스톤종합주류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맑은 고딕"/>
            <family val="3"/>
            <charset val="129"/>
          </rPr>
          <t>변경</t>
        </r>
      </text>
    </comment>
    <comment ref="F891" authorId="0" shapeId="0">
      <text>
        <r>
          <rPr>
            <b/>
            <sz val="9"/>
            <color indexed="81"/>
            <rFont val="Tahoma"/>
            <family val="2"/>
          </rPr>
          <t xml:space="preserve">merged to </t>
        </r>
        <r>
          <rPr>
            <b/>
            <sz val="9"/>
            <color indexed="81"/>
            <rFont val="맑은 고딕"/>
            <family val="3"/>
            <charset val="129"/>
          </rPr>
          <t>술나라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영산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1071" authorId="0" shapeId="0">
      <text>
        <r>
          <rPr>
            <b/>
            <sz val="9"/>
            <color indexed="81"/>
            <rFont val="Tahoma"/>
            <family val="2"/>
          </rPr>
          <t>Joonghyun Lee:</t>
        </r>
        <r>
          <rPr>
            <sz val="9"/>
            <color indexed="81"/>
            <rFont val="Tahoma"/>
            <family val="2"/>
          </rPr>
          <t xml:space="preserve">
33382 </t>
        </r>
        <r>
          <rPr>
            <sz val="9"/>
            <color indexed="81"/>
            <rFont val="맑은 고딕"/>
            <family val="3"/>
            <charset val="129"/>
          </rPr>
          <t>현대주류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맑은 고딕"/>
            <family val="3"/>
            <charset val="129"/>
          </rPr>
          <t>사업자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맑은 고딕"/>
            <family val="3"/>
            <charset val="129"/>
          </rPr>
          <t>변경</t>
        </r>
      </text>
    </comment>
  </commentList>
</comments>
</file>

<file path=xl/sharedStrings.xml><?xml version="1.0" encoding="utf-8"?>
<sst xmlns="http://schemas.openxmlformats.org/spreadsheetml/2006/main" count="12383" uniqueCount="3941">
  <si>
    <t>Code</t>
  </si>
  <si>
    <t>Customer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</si>
  <si>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</si>
  <si>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</si>
  <si>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</si>
  <si>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</si>
  <si>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</si>
  <si>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</si>
  <si>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</si>
  <si>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</si>
  <si>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</si>
  <si>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</si>
  <si>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</si>
  <si>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</si>
  <si>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Area1 (시, 도)</t>
  </si>
  <si>
    <t>Area2 (구, 시)</t>
  </si>
  <si>
    <t>Area3 (상세주소)</t>
  </si>
  <si>
    <t>Outlet SR</t>
  </si>
  <si>
    <t>이주석</t>
  </si>
  <si>
    <t>주당(주)</t>
  </si>
  <si>
    <t>베이다야시장(은평)</t>
  </si>
  <si>
    <t>서울시</t>
  </si>
  <si>
    <t>은평구</t>
  </si>
  <si>
    <t>연서로29길 14-9 2층 베이다 야시장</t>
  </si>
  <si>
    <t>정방주류(주)</t>
  </si>
  <si>
    <t>양의전설(관악)</t>
  </si>
  <si>
    <t>관악구</t>
  </si>
  <si>
    <t>남부순환로 1849</t>
  </si>
  <si>
    <t>석송주류(유)</t>
  </si>
  <si>
    <t>오두막양꼬치막걸리(심곡)</t>
  </si>
  <si>
    <t>경기도</t>
  </si>
  <si>
    <t>부천시</t>
  </si>
  <si>
    <t>소사구 성주로269번길 17 1층</t>
  </si>
  <si>
    <t>진성통합상사(주)</t>
  </si>
  <si>
    <t>소세지하우스(상암)</t>
  </si>
  <si>
    <t>마포구</t>
  </si>
  <si>
    <t>매봉산로2안길 20 1층 소세지하우스</t>
  </si>
  <si>
    <t>명륜진사갈비(도림)</t>
  </si>
  <si>
    <t>영등포구</t>
  </si>
  <si>
    <t>대림로 251 1층 104호</t>
  </si>
  <si>
    <t>명륜진사갈비(구로고대병원)</t>
  </si>
  <si>
    <t>구로구</t>
  </si>
  <si>
    <t>구로동로 197 2층</t>
  </si>
  <si>
    <t>백천(대림)</t>
  </si>
  <si>
    <t>대림로 29길 13 107호</t>
  </si>
  <si>
    <t>충칭훠궈(부평)</t>
  </si>
  <si>
    <t>인천시</t>
  </si>
  <si>
    <t>부평구</t>
  </si>
  <si>
    <t>부평문화로106번길 6</t>
  </si>
  <si>
    <t>꼬마카페인(의정부)</t>
  </si>
  <si>
    <t>의정부시</t>
  </si>
  <si>
    <t>평화로552번길 12 2층 꼬마문방구</t>
  </si>
  <si>
    <t>줘마양다리구이(대림)</t>
  </si>
  <si>
    <t>도림천로11길 13</t>
  </si>
  <si>
    <t>쿵푸양꼬치(안산)</t>
  </si>
  <si>
    <t>안산시</t>
  </si>
  <si>
    <t>상록구 매화로2길 43-2</t>
  </si>
  <si>
    <t>쿵푸양꼬치 2호점(안산)</t>
  </si>
  <si>
    <t>상록구 매화로2길 53-1 2층</t>
  </si>
  <si>
    <t>1981 왕징닭날개구이</t>
  </si>
  <si>
    <t>도림로41길 15</t>
  </si>
  <si>
    <t>현화네꼬치구이</t>
  </si>
  <si>
    <t>광진구</t>
  </si>
  <si>
    <t>동일로 18길 26 2층</t>
  </si>
  <si>
    <t>방화리(방화)</t>
  </si>
  <si>
    <t>강서구</t>
  </si>
  <si>
    <t>금낭화로 107-6 1층 방화리</t>
  </si>
  <si>
    <t>천명</t>
  </si>
  <si>
    <t>동일로18길26</t>
  </si>
  <si>
    <t>얼땅쟈</t>
  </si>
  <si>
    <t>동일로18길 68</t>
  </si>
  <si>
    <t>오두막양꼬치(용인)</t>
  </si>
  <si>
    <t>용인시</t>
  </si>
  <si>
    <t>처인구 금령로99번길 6-8</t>
  </si>
  <si>
    <t>만두유통(유)</t>
  </si>
  <si>
    <t>중화요리연(용산)</t>
  </si>
  <si>
    <t>용산구</t>
  </si>
  <si>
    <t>한강대로54길 25 2층</t>
  </si>
  <si>
    <t>중화요리연(가산)</t>
  </si>
  <si>
    <t>금천구</t>
  </si>
  <si>
    <t>가산디지털1로 225 1층 116호</t>
  </si>
  <si>
    <t>중화요리연(가산2호)</t>
  </si>
  <si>
    <t>가산디지털2로 135 1층 129, 130, 131호</t>
  </si>
  <si>
    <t>중화요리연(홍제)</t>
  </si>
  <si>
    <t>서대문구</t>
  </si>
  <si>
    <t>세무서8길 30 지상2층 25호, 26호</t>
  </si>
  <si>
    <t>탐스비어 종암(성북구종암동)</t>
  </si>
  <si>
    <t>성북구</t>
  </si>
  <si>
    <t>종암로9길 86 종암아이파크2차아파트상가동 1층</t>
  </si>
  <si>
    <t>옥탑방(역촌)</t>
  </si>
  <si>
    <t>서오릉로 115 1층 옥탑방</t>
  </si>
  <si>
    <t>정구영</t>
  </si>
  <si>
    <t>정월중식당(대흥)</t>
  </si>
  <si>
    <t>백범로16안길 9 1층</t>
  </si>
  <si>
    <t>이은희</t>
  </si>
  <si>
    <t>림가기</t>
  </si>
  <si>
    <t>와우산로29길 4-13</t>
  </si>
  <si>
    <t>춘</t>
  </si>
  <si>
    <t>동일로20길 64</t>
  </si>
  <si>
    <t>태남흥산(유)</t>
  </si>
  <si>
    <t>천하튀김꼬치</t>
  </si>
  <si>
    <t>연세로11길 32 1층</t>
  </si>
  <si>
    <t>화성통합상사(유)</t>
  </si>
  <si>
    <t>토평한우소곱창(영등포)</t>
  </si>
  <si>
    <t>영중로4길 21-1</t>
  </si>
  <si>
    <t>박성민</t>
  </si>
  <si>
    <t>중앙종합주류</t>
  </si>
  <si>
    <t>호우양꼬치(본점)</t>
  </si>
  <si>
    <t>영중로10길 6 1층</t>
  </si>
  <si>
    <t>모정호</t>
  </si>
  <si>
    <t>대풍주류판매(주)</t>
  </si>
  <si>
    <t>문래숯불갈비(문래)</t>
  </si>
  <si>
    <t>당산로 69 1층</t>
  </si>
  <si>
    <t>두일주류</t>
  </si>
  <si>
    <t>송화강명품양꼬치(마곡나루)</t>
  </si>
  <si>
    <t>마곡중앙로 161-1</t>
  </si>
  <si>
    <t>금산원식당(대림)</t>
  </si>
  <si>
    <t>디지털로 38길2</t>
  </si>
  <si>
    <t>복향원판점(필동)</t>
  </si>
  <si>
    <t>중구</t>
  </si>
  <si>
    <t>서애로1길 6-4</t>
  </si>
  <si>
    <t>목단강식당(대림)</t>
  </si>
  <si>
    <t>디지털로 362</t>
  </si>
  <si>
    <t>목단강보신탕(가리봉동)</t>
  </si>
  <si>
    <t>구로동로 31</t>
  </si>
  <si>
    <t>노퉁궈(대림)</t>
  </si>
  <si>
    <t>도림로38길 9 , 2층</t>
  </si>
  <si>
    <t>산골통닭(잠실)</t>
  </si>
  <si>
    <t>송파구</t>
  </si>
  <si>
    <t>석촌호수로 12길 20</t>
  </si>
  <si>
    <t>청룡주류(주)</t>
  </si>
  <si>
    <t>양대표양꼬치훠궈(원당)</t>
  </si>
  <si>
    <t>서구</t>
  </si>
  <si>
    <t>이음대로 392</t>
  </si>
  <si>
    <t>심양불고기 2호점(정왕)</t>
  </si>
  <si>
    <t>시흥시</t>
  </si>
  <si>
    <t>군서로 36번길 5</t>
  </si>
  <si>
    <t>중원훠궈(오산)</t>
  </si>
  <si>
    <t>오산시</t>
  </si>
  <si>
    <t>궐리사로 71, 1층</t>
  </si>
  <si>
    <t>미니양꼬치(오산)</t>
  </si>
  <si>
    <t>궐리사로 73, 1층</t>
  </si>
  <si>
    <t>미친닭날개(오산)</t>
  </si>
  <si>
    <t>궐동로 19</t>
  </si>
  <si>
    <t>동천주류(유)</t>
  </si>
  <si>
    <t>논현양꼬치(논현)</t>
  </si>
  <si>
    <t>강남구</t>
  </si>
  <si>
    <t>학동로6길 37</t>
  </si>
  <si>
    <t>진만두(서교동)</t>
  </si>
  <si>
    <t>와우산로 29길 4-42</t>
  </si>
  <si>
    <t>주식회사 심도</t>
  </si>
  <si>
    <t>전조(망원)</t>
  </si>
  <si>
    <t>동교로 27, 2층</t>
  </si>
  <si>
    <t>우리슈퍼바틀(이태원동)</t>
  </si>
  <si>
    <t>녹사평대로 234, 1층</t>
  </si>
  <si>
    <t>유한회사 유일종합주류</t>
  </si>
  <si>
    <t>쏘시지요(홍대점)</t>
  </si>
  <si>
    <t>홍익로3길 37 3층</t>
  </si>
  <si>
    <t>넘버원양꼬치(구래)</t>
  </si>
  <si>
    <t>김포시</t>
  </si>
  <si>
    <t>김포한강4로 487 카림에비뉴 2층</t>
  </si>
  <si>
    <t>남서울주류</t>
  </si>
  <si>
    <t>대청포구(계산)</t>
  </si>
  <si>
    <t>계양구</t>
  </si>
  <si>
    <t>계산로 97, 1층</t>
  </si>
  <si>
    <t>봉봉고깃간(작전)</t>
  </si>
  <si>
    <t>작전동 949</t>
  </si>
  <si>
    <t>신강식객양꼬치(인천당하)</t>
  </si>
  <si>
    <t>이음1로 136</t>
  </si>
  <si>
    <t>미채원 양갈비양꼬치(화곡)</t>
  </si>
  <si>
    <t>화곡로 58길 36</t>
  </si>
  <si>
    <t>홍탄양갈비(마곡본점)</t>
  </si>
  <si>
    <t>공항대로 195, 1층 125호</t>
  </si>
  <si>
    <t>연경(자양동)</t>
  </si>
  <si>
    <t>자양로 135</t>
  </si>
  <si>
    <t>연변진미냉면 왕양꼬치(자양동)</t>
  </si>
  <si>
    <t>동이로 18길 48</t>
  </si>
  <si>
    <t>미채원 양갈비양꼬치(까치산점)</t>
  </si>
  <si>
    <t>강서로5길 16, 1층</t>
  </si>
  <si>
    <t>월래순교자관(가리봉동)</t>
  </si>
  <si>
    <t>디지털로19길 13, 1층</t>
  </si>
  <si>
    <t>진미양꼬치(수원 팔달)</t>
  </si>
  <si>
    <t>수원시</t>
  </si>
  <si>
    <t>팔달구 고화로 43</t>
  </si>
  <si>
    <t>소매점양꼬치(수원 본점)</t>
  </si>
  <si>
    <t>팔달구 갓매산로 58, 2층</t>
  </si>
  <si>
    <t>진다이표훠궈(수원 본점)</t>
  </si>
  <si>
    <t>팔달구 갓매산로 55번길 20</t>
  </si>
  <si>
    <t>순달소홀부2호점(부평)</t>
  </si>
  <si>
    <t>시장로51번길 28(부평동) 1층 시장내부</t>
  </si>
  <si>
    <t>명품양꼬치(화곡)</t>
  </si>
  <si>
    <t>화곡로 119, 2층</t>
  </si>
  <si>
    <t>장성양갈비(마곡)</t>
  </si>
  <si>
    <t>마곡중앙6로 79, 205호 206호</t>
  </si>
  <si>
    <t>호츠양꼬치(강서)</t>
  </si>
  <si>
    <t>공항대로 509 (등촌동)102-1,우림보보카운티뷰오피스텔</t>
  </si>
  <si>
    <t>나인웨어(자양동)</t>
  </si>
  <si>
    <t>동일로 18길 53</t>
  </si>
  <si>
    <t>와이모어 크래프트 연구소(삼전동)</t>
  </si>
  <si>
    <t>백제고분로 243, 지하층</t>
  </si>
  <si>
    <t>나산주류상사</t>
  </si>
  <si>
    <t>앰버서더호텔풀만 -호빈</t>
  </si>
  <si>
    <t>동호로 287</t>
  </si>
  <si>
    <t>연변진미냉면 왕양꼬치</t>
  </si>
  <si>
    <t>동일로18길 48</t>
  </si>
  <si>
    <t>나인웨어</t>
  </si>
  <si>
    <t>동일로18길 53</t>
  </si>
  <si>
    <t>술파는사람들</t>
  </si>
  <si>
    <t>심양양꼬치(심곡)</t>
  </si>
  <si>
    <t>심곡로9번길 32, 1층</t>
  </si>
  <si>
    <t>서영주류판매(유)</t>
  </si>
  <si>
    <t>비어맥주창고(강남)</t>
  </si>
  <si>
    <t>학동로45길 8. 2층</t>
  </si>
  <si>
    <t>삼부주류판매(유)</t>
  </si>
  <si>
    <t>진1924(도화)</t>
  </si>
  <si>
    <t>미추홀구</t>
  </si>
  <si>
    <t>숙골로87번길2, 202호</t>
  </si>
  <si>
    <t>신흥주류(유)</t>
  </si>
  <si>
    <t>태산양꼬치(원곡)</t>
  </si>
  <si>
    <t>단원구 원본로 10 1층</t>
  </si>
  <si>
    <t>킹징기스칸(배곧)</t>
  </si>
  <si>
    <t>서울대학로264번길 50</t>
  </si>
  <si>
    <t>하노이맥주밤거리(시흥장곡)</t>
  </si>
  <si>
    <t>장곡로49번길 8</t>
  </si>
  <si>
    <t>하노이맥주밤거리(당산역점)</t>
  </si>
  <si>
    <t>양평로61</t>
  </si>
  <si>
    <t>하노이맥주밤거리(용인동천점)</t>
  </si>
  <si>
    <t>수지구 동천로79</t>
  </si>
  <si>
    <t>하노이맥주밤거리(수원정자점)</t>
  </si>
  <si>
    <t>장안구 정자천로173번길 11-6</t>
  </si>
  <si>
    <t>진천상사(유)</t>
  </si>
  <si>
    <t>호계(합정)</t>
  </si>
  <si>
    <t>양화로6길 57-13</t>
  </si>
  <si>
    <t>금강주류안산</t>
  </si>
  <si>
    <t>셀프맥주(안산)</t>
  </si>
  <si>
    <t>상록구 양지편로36</t>
  </si>
  <si>
    <t>유화진흥(주)</t>
  </si>
  <si>
    <t>김양(역삼)</t>
  </si>
  <si>
    <t>논현로94길24</t>
  </si>
  <si>
    <t>문어집</t>
  </si>
  <si>
    <t>백제고분로15길49</t>
  </si>
  <si>
    <t>성동구</t>
  </si>
  <si>
    <t>용답중앙15길10-1</t>
  </si>
  <si>
    <t>맥주여행(역삼)</t>
  </si>
  <si>
    <t>선릉로93길9</t>
  </si>
  <si>
    <t>미친양꼬치</t>
  </si>
  <si>
    <t>동일로22길 94</t>
  </si>
  <si>
    <t>명지주류(주)</t>
  </si>
  <si>
    <t>쇼촬땐 평택점</t>
  </si>
  <si>
    <t>양고기에빠지다(송도)</t>
  </si>
  <si>
    <t>연수구</t>
  </si>
  <si>
    <t>하모니로138번길 11</t>
  </si>
  <si>
    <t>미채원양갈비(동탄점)</t>
  </si>
  <si>
    <t>화성시</t>
  </si>
  <si>
    <t>동탄대로495</t>
  </si>
  <si>
    <t>주식회사 청담주류</t>
  </si>
  <si>
    <t>백제갈비(이수)</t>
  </si>
  <si>
    <t>동작구</t>
  </si>
  <si>
    <t>사당로231</t>
  </si>
  <si>
    <t>박상일</t>
  </si>
  <si>
    <t>세계주류신림</t>
  </si>
  <si>
    <t>연남향콩(연남)</t>
  </si>
  <si>
    <t>동교로 248, 2층</t>
  </si>
  <si>
    <t>용용선생 원주혁신점</t>
  </si>
  <si>
    <t>강원도</t>
  </si>
  <si>
    <t>원주시</t>
  </si>
  <si>
    <t xml:space="preserve"> 봄마중길 34-1 1층, 101호</t>
  </si>
  <si>
    <t>용용선생 철산점</t>
  </si>
  <si>
    <t>광명시</t>
  </si>
  <si>
    <t xml:space="preserve"> 오리로854번길 8</t>
  </si>
  <si>
    <t>용용선생 야탑점</t>
  </si>
  <si>
    <t>성남시</t>
  </si>
  <si>
    <t xml:space="preserve"> 분당구 장미로86번길 8 1층</t>
  </si>
  <si>
    <t>용용선생 모란역점</t>
  </si>
  <si>
    <t xml:space="preserve"> 중원구 광명로 12-3</t>
  </si>
  <si>
    <t>용용선생 수원영통점</t>
  </si>
  <si>
    <t xml:space="preserve"> 영통구 반달로35번길 21 1층</t>
  </si>
  <si>
    <t>용용선생 수원인계점</t>
  </si>
  <si>
    <t xml:space="preserve"> 팔달구 인계로166번길 48-7 1층 102호</t>
  </si>
  <si>
    <t>용용선생 수원역점</t>
  </si>
  <si>
    <t xml:space="preserve"> 팔달구 향교로 32 1층</t>
  </si>
  <si>
    <t>용용선생 안산중앙점</t>
  </si>
  <si>
    <t xml:space="preserve"> 단원구 고잔1길 53 105호, 106호, 111호, 112호, 113호</t>
  </si>
  <si>
    <t>용용선생 안양일번가점</t>
  </si>
  <si>
    <t>안양시</t>
  </si>
  <si>
    <t xml:space="preserve"> 만안구 안양로292번길 17 1층</t>
  </si>
  <si>
    <t>용용선생 양주옥정점</t>
  </si>
  <si>
    <t>양주시</t>
  </si>
  <si>
    <t xml:space="preserve"> 회천남로 88 1층 115/116/117</t>
  </si>
  <si>
    <t>용용선생 죽전보정점</t>
  </si>
  <si>
    <t xml:space="preserve"> 기흥구 죽전로 6 113~117호</t>
  </si>
  <si>
    <t>용용선생 용인역북점</t>
  </si>
  <si>
    <t xml:space="preserve"> 처인구 명지로60번길 8-11 108호</t>
  </si>
  <si>
    <t>용용선생 의정부점</t>
  </si>
  <si>
    <t xml:space="preserve"> 태평로73번길 39 1층</t>
  </si>
  <si>
    <t>용용선생 평택점</t>
  </si>
  <si>
    <t>평택시</t>
  </si>
  <si>
    <t xml:space="preserve"> 자유로13번길 12 1, 2층</t>
  </si>
  <si>
    <t>용용선생 일산라페스타점</t>
  </si>
  <si>
    <t>고양시</t>
  </si>
  <si>
    <t xml:space="preserve"> 일산동구 장항동 736-3</t>
  </si>
  <si>
    <t>용용선생 김포구래점</t>
  </si>
  <si>
    <t xml:space="preserve"> 구래동 6882-14 1층 일부</t>
  </si>
  <si>
    <t>용용선생 다산신도시점</t>
  </si>
  <si>
    <t>남양주</t>
  </si>
  <si>
    <t xml:space="preserve"> 다산중앙로123번길 22-74</t>
  </si>
  <si>
    <t>용용선생 호평점</t>
  </si>
  <si>
    <t xml:space="preserve"> 호평로46번안길 4-29, 1층</t>
  </si>
  <si>
    <t>용용선생 부천역곡점</t>
  </si>
  <si>
    <t xml:space="preserve"> 역곡로 24 1층</t>
  </si>
  <si>
    <t>용용선생 부천중동점</t>
  </si>
  <si>
    <t xml:space="preserve"> 중동 1166-3</t>
  </si>
  <si>
    <t>용용선생 부천신중동점</t>
  </si>
  <si>
    <t xml:space="preserve"> 중동로254번길 49 1층 101호</t>
  </si>
  <si>
    <t>용용선생 정자역점</t>
  </si>
  <si>
    <t xml:space="preserve"> 분당구 정자일로 158 백궁프라자2 101~105호</t>
  </si>
  <si>
    <t>용용선생 배곧점</t>
  </si>
  <si>
    <t xml:space="preserve"> 서울대학로264번길 25</t>
  </si>
  <si>
    <t>용용선생 안산고잔점</t>
  </si>
  <si>
    <t xml:space="preserve"> 단원구 고잔동 726-6</t>
  </si>
  <si>
    <t>용용선생 오산운암점</t>
  </si>
  <si>
    <t xml:space="preserve"> 운암로 13-18</t>
  </si>
  <si>
    <t>용용선생 수지구청점</t>
  </si>
  <si>
    <t xml:space="preserve"> 수지구 풍덕천로 147번길 11,1층</t>
  </si>
  <si>
    <t>용용선생 파주야당점</t>
  </si>
  <si>
    <t>파주시</t>
  </si>
  <si>
    <t xml:space="preserve"> 소리천로 25, 1층 (유은타워 7차 143, 144, 145호)</t>
  </si>
  <si>
    <t>용용선생 하남미사점</t>
  </si>
  <si>
    <t>하남시</t>
  </si>
  <si>
    <t xml:space="preserve"> 미사강변동로 95, 그랑파사쥬 1013,1014,1015호</t>
  </si>
  <si>
    <t>용용선생 동탄북광장점</t>
  </si>
  <si>
    <t xml:space="preserve"> 동탄중심상가2길 2, 1층 109호 (반송동, 아인슈타인타워)</t>
  </si>
  <si>
    <t>용용선생 동탄역점</t>
  </si>
  <si>
    <t xml:space="preserve"> 오산동 969-6 1층 109호</t>
  </si>
  <si>
    <t>용용선생 강남역점</t>
  </si>
  <si>
    <t xml:space="preserve"> 강남대로96길 17</t>
  </si>
  <si>
    <t>용용선생 선릉점</t>
  </si>
  <si>
    <t xml:space="preserve"> 선릉로86길 44</t>
  </si>
  <si>
    <t>용용선생 논현점</t>
  </si>
  <si>
    <t xml:space="preserve"> 학동로2길 54 1층, 2층 용용선생 논현점</t>
  </si>
  <si>
    <t>용용선생 천호점</t>
  </si>
  <si>
    <t>강동구</t>
  </si>
  <si>
    <t xml:space="preserve"> 천호대로157길 19 2층</t>
  </si>
  <si>
    <t>용용선생 수유점</t>
  </si>
  <si>
    <t>강북구</t>
  </si>
  <si>
    <t xml:space="preserve"> 노해로8길 28 프리마베라빌딩 1층</t>
  </si>
  <si>
    <t>용용선생 까치산역점</t>
  </si>
  <si>
    <t xml:space="preserve"> 강서로5길 4 1층</t>
  </si>
  <si>
    <t>대정 주식회사</t>
  </si>
  <si>
    <t>용용선생 신림점</t>
  </si>
  <si>
    <t xml:space="preserve"> 신림로59길 9 1층</t>
  </si>
  <si>
    <t>용용선생 군자역점</t>
  </si>
  <si>
    <t xml:space="preserve"> 능동로36길 30 1층 용용선생</t>
  </si>
  <si>
    <t>용용선생 건대점 1호점,2호점</t>
  </si>
  <si>
    <t xml:space="preserve"> 아차산로33길 25</t>
  </si>
  <si>
    <t>용용선생 구로디지털단지점</t>
  </si>
  <si>
    <t xml:space="preserve"> 디지털로32나길 22 2층 201호</t>
  </si>
  <si>
    <t>용용선생 노원점</t>
  </si>
  <si>
    <t>노원구</t>
  </si>
  <si>
    <t xml:space="preserve"> 노해로85길 14 1층</t>
  </si>
  <si>
    <t>용용선생 이수점</t>
  </si>
  <si>
    <t xml:space="preserve"> 동작대로27다길 26 이수프라자 106호</t>
  </si>
  <si>
    <t>용용선생 홍대점 1F</t>
  </si>
  <si>
    <t xml:space="preserve"> 잔다리로 10 1층</t>
  </si>
  <si>
    <t>용용선생 홍대점 2F</t>
  </si>
  <si>
    <t xml:space="preserve"> 잔다리로 10 2층</t>
  </si>
  <si>
    <t>용용선생 신촌점</t>
  </si>
  <si>
    <t xml:space="preserve"> 연세로7길 20 1층</t>
  </si>
  <si>
    <t>용용선생 한양대점</t>
  </si>
  <si>
    <t xml:space="preserve"> 마조로3가길 15 1층</t>
  </si>
  <si>
    <t>용용선생 오목교점</t>
  </si>
  <si>
    <t>양천구</t>
  </si>
  <si>
    <t xml:space="preserve"> 오목로 337-10 1층</t>
  </si>
  <si>
    <t>용용선생 영등포역점</t>
  </si>
  <si>
    <t xml:space="preserve"> 영중로4길 9-2</t>
  </si>
  <si>
    <t>용용선생 대학로점</t>
  </si>
  <si>
    <t>종로구</t>
  </si>
  <si>
    <t xml:space="preserve"> 대학로8가길 36 1층 용용선생</t>
  </si>
  <si>
    <t>용용선생 종각점</t>
  </si>
  <si>
    <t xml:space="preserve"> 삼일대로19길 18</t>
  </si>
  <si>
    <t>용용선생 마곡점</t>
  </si>
  <si>
    <t xml:space="preserve"> 마곡중앙6로 69 1층</t>
  </si>
  <si>
    <t>용용선생 마곡나루점</t>
  </si>
  <si>
    <t xml:space="preserve"> 마곡중앙로 165 프라이빗타워 1차 1층 (111호 ~ 113호)</t>
  </si>
  <si>
    <t>용용선생 상암점</t>
  </si>
  <si>
    <t xml:space="preserve"> 상암동 34-34</t>
  </si>
  <si>
    <t>용용선생 당산점</t>
  </si>
  <si>
    <t xml:space="preserve"> 양평로 55</t>
  </si>
  <si>
    <t>용용선생 계양구청점</t>
  </si>
  <si>
    <t xml:space="preserve"> 계양문화로 33 2층</t>
  </si>
  <si>
    <t>용용선생 구월점</t>
  </si>
  <si>
    <t>남동구</t>
  </si>
  <si>
    <t xml:space="preserve"> 인하로 497-28 2층 201호</t>
  </si>
  <si>
    <t>용용선생 인천주안점</t>
  </si>
  <si>
    <t>미추홀</t>
  </si>
  <si>
    <t xml:space="preserve"> 주안로104번길 11</t>
  </si>
  <si>
    <t>용용선생 부평역점</t>
  </si>
  <si>
    <t xml:space="preserve"> 경원대로1403번길 16-1 1층 용용선생 부평역점</t>
  </si>
  <si>
    <t>용용선생 인천동암점</t>
  </si>
  <si>
    <t xml:space="preserve"> 열우물로49번길 23</t>
  </si>
  <si>
    <t>용용선생 검단사거리점</t>
  </si>
  <si>
    <t xml:space="preserve">서구 </t>
  </si>
  <si>
    <t xml:space="preserve"> 검단로 465 1층</t>
  </si>
  <si>
    <t>용용선생 청라시티타워점</t>
  </si>
  <si>
    <t xml:space="preserve"> 청라한내로72번길 7-15 지하1층 B115~B118호</t>
  </si>
  <si>
    <t>용용선생 인천연수점</t>
  </si>
  <si>
    <t xml:space="preserve"> 샘말로43번길 10</t>
  </si>
  <si>
    <t>용용선생 송도점</t>
  </si>
  <si>
    <t xml:space="preserve"> 하모니로 144 1층 A104호~A106호</t>
  </si>
  <si>
    <t>용용선생 인천운서점</t>
  </si>
  <si>
    <t xml:space="preserve">중구 </t>
  </si>
  <si>
    <t xml:space="preserve"> 햇내로14번길 9 108~112호 (운서동)</t>
  </si>
  <si>
    <t>용용선생 검단신도시점</t>
  </si>
  <si>
    <t xml:space="preserve"> 바리미로 31, 112,113,114,115,116호 (원당동)</t>
  </si>
  <si>
    <t>오블라디(사당)</t>
  </si>
  <si>
    <t>동작대로25길 33, 2층(사당동)</t>
  </si>
  <si>
    <t>성민양꼬치(흑석)</t>
  </si>
  <si>
    <t>서달로14나길 9(흑석동)</t>
  </si>
  <si>
    <t>플라잉드래곤(정자)</t>
  </si>
  <si>
    <t>분당구 정자일로 135, 1층 106호</t>
  </si>
  <si>
    <t>(주)제상</t>
  </si>
  <si>
    <t>소리천로 25(야당동, 유은타워7차)</t>
  </si>
  <si>
    <t>뉴올리브</t>
  </si>
  <si>
    <t>신림로59길 9</t>
  </si>
  <si>
    <t>용용선생 방이점</t>
  </si>
  <si>
    <t xml:space="preserve"> 올림픽로32길 18-11 101호, 102호</t>
  </si>
  <si>
    <t>(주)계벽삼주</t>
  </si>
  <si>
    <t>래래향(동탄)</t>
  </si>
  <si>
    <t>동탄지성로 11, 2층 202-204호</t>
  </si>
  <si>
    <t>용우상사</t>
  </si>
  <si>
    <t>옥돈(홍대입구)</t>
  </si>
  <si>
    <t>양화로99</t>
  </si>
  <si>
    <t>김민석</t>
  </si>
  <si>
    <t>주식회사 미소주류</t>
  </si>
  <si>
    <t>판다딤섬(연남)</t>
  </si>
  <si>
    <t>동교로38안길 22 2층</t>
  </si>
  <si>
    <t>주식회사 판다주류</t>
  </si>
  <si>
    <t>하얼빈양꼬치(남영)</t>
  </si>
  <si>
    <t>후암로 87</t>
  </si>
  <si>
    <t>(유)미라클수입주류상사</t>
  </si>
  <si>
    <t>마라쿠시(용산)</t>
  </si>
  <si>
    <t>한강로1가 166-5</t>
  </si>
  <si>
    <t>(주)성학주류</t>
  </si>
  <si>
    <t>서담헌(연남)</t>
  </si>
  <si>
    <t>연희로1길 40-3</t>
  </si>
  <si>
    <t>원진상사(유)</t>
  </si>
  <si>
    <t>연경 본점(차이나타운)</t>
  </si>
  <si>
    <t>차이나타운로 41</t>
  </si>
  <si>
    <t>연경 동화마을(차이나타운)</t>
  </si>
  <si>
    <t>차이나타운로 8</t>
  </si>
  <si>
    <t>인화상사㈜</t>
  </si>
  <si>
    <t>미드나잇인홍콩(신포)</t>
  </si>
  <si>
    <t>신포로15번길 6-2 1층</t>
  </si>
  <si>
    <t>럭키차이나(차이나타운)</t>
  </si>
  <si>
    <t>차이나타운로 48</t>
  </si>
  <si>
    <t>현진상사㈜</t>
  </si>
  <si>
    <t>판다양꼬치(운서)</t>
  </si>
  <si>
    <t>신도시남로150번길 4 103호</t>
  </si>
  <si>
    <t>유진주류판매</t>
  </si>
  <si>
    <t>원나이스양꼬치(안산)</t>
  </si>
  <si>
    <t>단원구</t>
  </si>
  <si>
    <t>고잔로 108 205호</t>
  </si>
  <si>
    <t>초대창(송파구잠실동)</t>
  </si>
  <si>
    <t>백제고분로9길 17 지상1층</t>
  </si>
  <si>
    <t>제주도그릴(송도)</t>
  </si>
  <si>
    <t>인천타워대로 257 a동 202호</t>
  </si>
  <si>
    <t>(자)중국주류</t>
  </si>
  <si>
    <t>수양꼬치(운서)</t>
  </si>
  <si>
    <t>영종대로196번길 25, 118,119호</t>
  </si>
  <si>
    <t>대화주류㈜</t>
  </si>
  <si>
    <t>양도둑(갈산)</t>
  </si>
  <si>
    <t>주부토로 236 인천 테크노벨리U1센터 A동 1층 111, 112호</t>
  </si>
  <si>
    <t>대명종합춘천</t>
  </si>
  <si>
    <t>도원뚝배기짬뽕</t>
  </si>
  <si>
    <t xml:space="preserve">강원도 </t>
  </si>
  <si>
    <t>춘천시</t>
  </si>
  <si>
    <t>거두택지길 65-9</t>
  </si>
  <si>
    <t>온정</t>
  </si>
  <si>
    <t>동면 가산로 165</t>
  </si>
  <si>
    <t>(주)서정주류</t>
  </si>
  <si>
    <t>청도양꼬치(건대)</t>
  </si>
  <si>
    <t>동일로18길 69</t>
  </si>
  <si>
    <t>훈춘양꼬치2(건대)</t>
  </si>
  <si>
    <t>아차산로34길 36</t>
  </si>
  <si>
    <t>한영(유)</t>
  </si>
  <si>
    <t>연옥양꼬치(건대)</t>
  </si>
  <si>
    <t>동일로 18길 42</t>
  </si>
  <si>
    <t>명봉양꼬치(건대)</t>
  </si>
  <si>
    <t>뚝섬로 31길 59</t>
  </si>
  <si>
    <t>원보양꼬치(건대)</t>
  </si>
  <si>
    <t>동일로 18길 23</t>
  </si>
  <si>
    <t>송화주류상사</t>
  </si>
  <si>
    <t>한남성왕꼬치(건대)</t>
  </si>
  <si>
    <t>동일로18길 67</t>
  </si>
  <si>
    <t>명봉양꼬치(반포)</t>
  </si>
  <si>
    <t>서초구</t>
  </si>
  <si>
    <t>고무래로 10-6</t>
  </si>
  <si>
    <t>이민규</t>
  </si>
  <si>
    <t>성북합동상사</t>
  </si>
  <si>
    <t>오하이(종로구권농동)</t>
  </si>
  <si>
    <t>서울 종로구 율곡로10길 67 1층</t>
  </si>
  <si>
    <t>퍼뗀숯불구이 부평3호점(인천부평구부평동)</t>
  </si>
  <si>
    <t>인천 부평구 부평문화로 111-1, 1층</t>
  </si>
  <si>
    <t>천영갈비(중구중림동)</t>
  </si>
  <si>
    <t>서울 중구 서소문로6길 48, 1,2층</t>
  </si>
  <si>
    <t>선진주류(유)</t>
  </si>
  <si>
    <t>도깨비양꼬치(산본)</t>
  </si>
  <si>
    <t>군포시</t>
  </si>
  <si>
    <t xml:space="preserve">산본로 323번길 20-5 </t>
  </si>
  <si>
    <t>용용선생수유</t>
  </si>
  <si>
    <t>노해로8길28</t>
  </si>
  <si>
    <t>황금훠궈</t>
  </si>
  <si>
    <t>고덕여염12길176</t>
  </si>
  <si>
    <t>라운지목화 위례</t>
  </si>
  <si>
    <t>위레서얼로3길 3-6</t>
  </si>
  <si>
    <t>양도둑 천안신불당</t>
  </si>
  <si>
    <t>천안시</t>
  </si>
  <si>
    <t>서북구</t>
  </si>
  <si>
    <t>불당21로 67-26</t>
  </si>
  <si>
    <t>청하양꼬치</t>
  </si>
  <si>
    <t>팔달로247번길21</t>
  </si>
  <si>
    <t>연정칭따오양꼬치</t>
  </si>
  <si>
    <t>안중읍 안중로8번길58-14</t>
  </si>
  <si>
    <t>양명천하</t>
  </si>
  <si>
    <t>아산</t>
  </si>
  <si>
    <t>배방읍 월천2길71</t>
  </si>
  <si>
    <t>훈춘양꼬치 1호점(건대)</t>
  </si>
  <si>
    <t>아차산로34길 38</t>
  </si>
  <si>
    <t>강뚝 건대점</t>
  </si>
  <si>
    <t>동일로18길10</t>
  </si>
  <si>
    <t>신합상사(유)</t>
  </si>
  <si>
    <t>딘타이펑 명동</t>
  </si>
  <si>
    <t>명동7길13</t>
  </si>
  <si>
    <t>딘타이펑 영등포 타임스퀘어</t>
  </si>
  <si>
    <t>영등포동4가442</t>
  </si>
  <si>
    <t>딘타이펑 롯데몰 김포공항</t>
  </si>
  <si>
    <t>방화동886</t>
  </si>
  <si>
    <t>한성양꼬치(구리)</t>
  </si>
  <si>
    <t>구리시</t>
  </si>
  <si>
    <t xml:space="preserve">안골로103번길 41 2층 </t>
  </si>
  <si>
    <t>선화슈퍼가맥(성북구동선동2가)</t>
  </si>
  <si>
    <t>보문로30라길 16 1층</t>
  </si>
  <si>
    <t>대우상사(주)</t>
  </si>
  <si>
    <t>미미향</t>
  </si>
  <si>
    <t>포천시</t>
  </si>
  <si>
    <t>이동면 장암리 242-15</t>
  </si>
  <si>
    <t>도드람주류</t>
  </si>
  <si>
    <t>원탄양꼬치훠궈무한리필</t>
  </si>
  <si>
    <t>안성시</t>
  </si>
  <si>
    <t>죽산면 죽주로 256</t>
  </si>
  <si>
    <t>송이네양꼬치 화성</t>
  </si>
  <si>
    <t>동탄오산로 86-7</t>
  </si>
  <si>
    <t>박건영</t>
  </si>
  <si>
    <t>동부주류(유한)</t>
  </si>
  <si>
    <t>기양한우곱창</t>
  </si>
  <si>
    <t>강릉시</t>
  </si>
  <si>
    <t>하슬라로 206번길 16-7</t>
  </si>
  <si>
    <t>수원왕갈비</t>
  </si>
  <si>
    <t>남부로 136번길 10</t>
  </si>
  <si>
    <t>경남주류제기</t>
  </si>
  <si>
    <t>명동골뱅이(중구을지로3가)</t>
  </si>
  <si>
    <t>을지로3가</t>
  </si>
  <si>
    <t>서울 중구 충무로9길 14, 1층</t>
  </si>
  <si>
    <t>진대박 무한리필</t>
  </si>
  <si>
    <t>충북</t>
  </si>
  <si>
    <t>음성군</t>
  </si>
  <si>
    <t>대소면 오태로 99번길 9</t>
  </si>
  <si>
    <t>하이디라오(건대)</t>
  </si>
  <si>
    <t>능동로 110 스타시티 영존 A동, 2층</t>
  </si>
  <si>
    <t>경포주류판매</t>
  </si>
  <si>
    <t>건도리</t>
  </si>
  <si>
    <t>창해로 427</t>
  </si>
  <si>
    <t>원일 주식회사</t>
  </si>
  <si>
    <t>맥주밤거리(원주혁신도시점)</t>
  </si>
  <si>
    <t>반곡동 1880-1번지 재인프라자 105동 104,105호</t>
  </si>
  <si>
    <t>맥주밤거리(원주단구점)</t>
  </si>
  <si>
    <t>단구로 363 1층</t>
  </si>
  <si>
    <t>강원남부주류(주)</t>
  </si>
  <si>
    <t>맥주밤거리(정선고한점)</t>
  </si>
  <si>
    <t xml:space="preserve"> 단계동 1116-2 1층</t>
  </si>
  <si>
    <t>프랜치불독스토리</t>
  </si>
  <si>
    <t>강변북로661번길23</t>
  </si>
  <si>
    <t>하이디라오(서초)</t>
  </si>
  <si>
    <t>서초대로77길54</t>
  </si>
  <si>
    <t>하이디라오(홍대)</t>
  </si>
  <si>
    <t>양화로176</t>
  </si>
  <si>
    <t>나나양꼬치</t>
  </si>
  <si>
    <t>법원로114</t>
  </si>
  <si>
    <t>태양종합주류 유한회사</t>
  </si>
  <si>
    <t>현경양고기(노원)</t>
  </si>
  <si>
    <t>상계로 3길 21</t>
  </si>
  <si>
    <t>호우양꼬치(송도)</t>
  </si>
  <si>
    <t>송도동3-1</t>
  </si>
  <si>
    <t>호우양꼬치(인계)</t>
  </si>
  <si>
    <t>인계동1041-8</t>
  </si>
  <si>
    <t>호우양꼬치(동백)</t>
  </si>
  <si>
    <t>기흥구중동830-2</t>
  </si>
  <si>
    <t>씨앤짜이도사멱(동탄)</t>
  </si>
  <si>
    <t>메타폴리스로47-7</t>
  </si>
  <si>
    <t>청도양꼬치(노원)</t>
  </si>
  <si>
    <t>상계동326-4</t>
  </si>
  <si>
    <t>하이디라오(영등포)</t>
  </si>
  <si>
    <t>영등포동1가143-3</t>
  </si>
  <si>
    <t>호우양꼬치(성신여대)</t>
  </si>
  <si>
    <t>동선동1가3-6</t>
  </si>
  <si>
    <t>진양주류(주)</t>
  </si>
  <si>
    <t>선양식당</t>
  </si>
  <si>
    <t>우이동72-144</t>
  </si>
  <si>
    <t>오두막양꼬치건대</t>
  </si>
  <si>
    <t>자양동16-37</t>
  </si>
  <si>
    <t>중앙회관</t>
  </si>
  <si>
    <t>충무로1가24-11</t>
  </si>
  <si>
    <t>샤오바오우육면(대림직영점)</t>
  </si>
  <si>
    <t>대림로27길 13-1</t>
  </si>
  <si>
    <t>덕클 망원점(마포구망원동)</t>
  </si>
  <si>
    <t>동교로 9길 23, 1층</t>
  </si>
  <si>
    <t>종로기업(주)</t>
  </si>
  <si>
    <t>효자왕족발(종로 통인동)</t>
  </si>
  <si>
    <t>자하문로 31-2, 1층</t>
  </si>
  <si>
    <t>위주관</t>
  </si>
  <si>
    <t>한강대로80길15</t>
  </si>
  <si>
    <t>양천리양꼬치</t>
  </si>
  <si>
    <t>일산동구 백석로 72번길6-3</t>
  </si>
  <si>
    <t>호우양꼬치화성반송동</t>
  </si>
  <si>
    <t>동탄중심상가 2길 15</t>
  </si>
  <si>
    <t>완벽한인생 양재점</t>
  </si>
  <si>
    <t>양재동347-11</t>
  </si>
  <si>
    <t>오봉집 양재점</t>
  </si>
  <si>
    <t>양재동331-7</t>
  </si>
  <si>
    <t>호우양꼬치 부천상동</t>
  </si>
  <si>
    <t>부천시 소향로37번길13-22</t>
  </si>
  <si>
    <t>랑랑 서교동</t>
  </si>
  <si>
    <t>월드컵북로41</t>
  </si>
  <si>
    <t>백승상사 주식회사</t>
  </si>
  <si>
    <t>먹방양꼬치</t>
  </si>
  <si>
    <t>봉담읍 와우만길 54</t>
  </si>
  <si>
    <t>양밍위 황먼지 미판 명동중국대사관점(중구명동2가)</t>
  </si>
  <si>
    <t>명동4길, 18 4, 5층</t>
  </si>
  <si>
    <t>고우리종합</t>
  </si>
  <si>
    <t>따시남양꼬치</t>
  </si>
  <si>
    <t>오목로 205번길 22</t>
  </si>
  <si>
    <t>강뚝 정왕점</t>
  </si>
  <si>
    <t>정왕시장길51</t>
  </si>
  <si>
    <t>강뚝 부평점</t>
  </si>
  <si>
    <t xml:space="preserve">부평구 </t>
  </si>
  <si>
    <t>경원대로1381</t>
  </si>
  <si>
    <t>가가대소</t>
  </si>
  <si>
    <t>문화서로3번길4</t>
  </si>
  <si>
    <t>북경양꼬치 까치산</t>
  </si>
  <si>
    <t>곰달래로139-1</t>
  </si>
  <si>
    <t>어주관</t>
  </si>
  <si>
    <t>충남</t>
  </si>
  <si>
    <t>서북구 공원로176</t>
  </si>
  <si>
    <t>호우양꼬치 응암동</t>
  </si>
  <si>
    <t>응암로11길7</t>
  </si>
  <si>
    <t>진가주가</t>
  </si>
  <si>
    <t>상계로1길62-10</t>
  </si>
  <si>
    <t>화상손만두</t>
  </si>
  <si>
    <t>남부순환로244길18</t>
  </si>
  <si>
    <t>백옥</t>
  </si>
  <si>
    <t>동일로18길69</t>
  </si>
  <si>
    <t>광장주류판매(주)</t>
  </si>
  <si>
    <t>오래오래양꼬치(고양시덕양구원흥동)</t>
  </si>
  <si>
    <t xml:space="preserve">경기도 </t>
  </si>
  <si>
    <t>덕양구 원흥5로 25 판매시설동 1층 152호</t>
  </si>
  <si>
    <t>기파고계가(영등포구도림동)</t>
  </si>
  <si>
    <t>서울 영등포구 도림로41길 6, 1층</t>
  </si>
  <si>
    <t>딘타이펑 강남점</t>
  </si>
  <si>
    <t>서초동1317-31</t>
  </si>
  <si>
    <t>일오종합파주</t>
  </si>
  <si>
    <t>차알 파미에스테이션점</t>
  </si>
  <si>
    <t>사평대로205 파미스테이션2층</t>
  </si>
  <si>
    <t>이화양꼬치(영등포구도림동)</t>
  </si>
  <si>
    <t>영신로 7, 1층</t>
  </si>
  <si>
    <t>마라쿵푸마라탕1호점(고양시덕양구고양동)</t>
  </si>
  <si>
    <t>덕양구 혜음로 29-9, 1층 101호</t>
  </si>
  <si>
    <t>내고향숯불구이(고양시덕양구고양동)</t>
  </si>
  <si>
    <t>덕양구 혜음로 29-2, 1층(고양동)</t>
  </si>
  <si>
    <t>통큰누이네 육회빈대떡(종로구종로5가)</t>
  </si>
  <si>
    <t>동호로 403-24, 1층 통큰누이네(광장시장)</t>
  </si>
  <si>
    <t>고향양꼬치</t>
  </si>
  <si>
    <t>동일로18길 101</t>
  </si>
  <si>
    <t>양지종합구리</t>
  </si>
  <si>
    <t>무한소(신천)</t>
  </si>
  <si>
    <t>백제고분로 9길 25</t>
  </si>
  <si>
    <t>하얼빈양꼬치2호점</t>
  </si>
  <si>
    <t>백제고분로7길32-4</t>
  </si>
  <si>
    <t>하얼빌양꼬치1호점</t>
  </si>
  <si>
    <t>백제고분로17길45</t>
  </si>
  <si>
    <t>고양꼬치&amp;마라탕</t>
  </si>
  <si>
    <t>덕양구 꽃내음3길52</t>
  </si>
  <si>
    <t>만리양꼬치</t>
  </si>
  <si>
    <t>효창원로276</t>
  </si>
  <si>
    <t>차즈융성마라탕</t>
  </si>
  <si>
    <t>상록구 각골로46</t>
  </si>
  <si>
    <t>서울신라호텔(중구장충동2가)_팔선</t>
  </si>
  <si>
    <t xml:space="preserve">동호로 249, 2층 </t>
  </si>
  <si>
    <t>(합)청도코리아</t>
  </si>
  <si>
    <t>향라선촨촨향(봉천)</t>
  </si>
  <si>
    <t>낙성대로10</t>
  </si>
  <si>
    <t>포도주류분당</t>
  </si>
  <si>
    <t>웍셔너리</t>
  </si>
  <si>
    <t>도산대로 53길 12</t>
  </si>
  <si>
    <t>서담원(연남)</t>
  </si>
  <si>
    <t>연희로 1길 40-3</t>
  </si>
  <si>
    <t>동방양꼬치(성동구행당동)</t>
  </si>
  <si>
    <t>서울 성동구 마조로 33</t>
  </si>
  <si>
    <t>촨촨지우바(중구산림동)</t>
  </si>
  <si>
    <t>서울 중구 을지로 157 대림상가 3층 가358,359</t>
  </si>
  <si>
    <t>해월양꼬치 샤브</t>
  </si>
  <si>
    <t>동일로18길51</t>
  </si>
  <si>
    <t>해란</t>
  </si>
  <si>
    <t>동일로18길73</t>
  </si>
  <si>
    <t>서대문양꼬치(본점)</t>
  </si>
  <si>
    <t>동교로 249</t>
  </si>
  <si>
    <t>이향원(군포)</t>
  </si>
  <si>
    <t>엘에스로 175</t>
  </si>
  <si>
    <t>진달래양꼬치(안양)</t>
  </si>
  <si>
    <t>인덕원로 33</t>
  </si>
  <si>
    <t>아맛나양꼬치(안양본점)</t>
  </si>
  <si>
    <t>평촌대로 223번길 11</t>
  </si>
  <si>
    <t>중화복춘골드</t>
  </si>
  <si>
    <t>월드컵북로 6길 42</t>
  </si>
  <si>
    <t>중화복춘살롱 시그니처</t>
  </si>
  <si>
    <t>연남로 10</t>
  </si>
  <si>
    <t>중화복춘공원</t>
  </si>
  <si>
    <t>동료로 220-7</t>
  </si>
  <si>
    <t>현우네양꼬치1호점</t>
  </si>
  <si>
    <t>상일로 5길 13</t>
  </si>
  <si>
    <t>연교1호점</t>
  </si>
  <si>
    <t>연희로 1길 65</t>
  </si>
  <si>
    <t>연교2호점</t>
  </si>
  <si>
    <t>연희로 33</t>
  </si>
  <si>
    <t>영광주류(주)</t>
  </si>
  <si>
    <t>올리바바양꼬치(오산)</t>
  </si>
  <si>
    <t>성호대로 122</t>
  </si>
  <si>
    <t>작은중식당</t>
  </si>
  <si>
    <t>도화4길 39 1층작은중식당</t>
  </si>
  <si>
    <t>일품향(명동)</t>
  </si>
  <si>
    <t>남대문로 52-13</t>
  </si>
  <si>
    <t>노드링크노프랜드</t>
  </si>
  <si>
    <t>포은로 65</t>
  </si>
  <si>
    <t>향미(연남)</t>
  </si>
  <si>
    <t>성미산로 193</t>
  </si>
  <si>
    <t>완푸(서대문)</t>
  </si>
  <si>
    <t>증가로 10길 36-3</t>
  </si>
  <si>
    <t>상해소흘(연남)</t>
  </si>
  <si>
    <t>동교로 272</t>
  </si>
  <si>
    <t>고불짬뽕(안양범계)</t>
  </si>
  <si>
    <t>평촌대로 243번길 30</t>
  </si>
  <si>
    <t>차이나는양꼬치</t>
  </si>
  <si>
    <t>계산천동로 41번길 2</t>
  </si>
  <si>
    <t>초원양꼬치(김포)</t>
  </si>
  <si>
    <t>양촌읍 양곡2로 60번길 6</t>
  </si>
  <si>
    <t>진양파트너스</t>
  </si>
  <si>
    <t>청암로 17번길 61</t>
  </si>
  <si>
    <t>연변대박난양꼬치</t>
  </si>
  <si>
    <t>남양주시</t>
  </si>
  <si>
    <t>화도읍 비룡로 55번길 3</t>
  </si>
  <si>
    <t>송화(구의)</t>
  </si>
  <si>
    <t>아차산로 51번길 24</t>
  </si>
  <si>
    <t>매화반점(건대)</t>
  </si>
  <si>
    <t>동일로 18번길 105</t>
  </si>
  <si>
    <t>남씨네꼬치꼬치</t>
  </si>
  <si>
    <t>만안구 양화로 234번길 3</t>
  </si>
  <si>
    <t>만주꼬치구이(노량진)</t>
  </si>
  <si>
    <t>장승베기로 145</t>
  </si>
  <si>
    <t>도화원기(김포)</t>
  </si>
  <si>
    <t>김포한강1로 78번길 41-5</t>
  </si>
  <si>
    <t>미미사양꼬치(하남)</t>
  </si>
  <si>
    <t>미사강변동로 127</t>
  </si>
  <si>
    <t>북경야시장(양주)</t>
  </si>
  <si>
    <t>옥정동로5가길 21-5</t>
  </si>
  <si>
    <t>대홍훠궈샤브샤브</t>
  </si>
  <si>
    <t>신정중앙로99</t>
  </si>
  <si>
    <t>마카오훠궈</t>
  </si>
  <si>
    <t>송도과학로 16번길 33-2</t>
  </si>
  <si>
    <t>갱스덕</t>
  </si>
  <si>
    <t>팔달구 효원로 249번길 46-9</t>
  </si>
  <si>
    <t>연희동양꼬치</t>
  </si>
  <si>
    <t>연희로 81-5</t>
  </si>
  <si>
    <t>서대문양꼬치(2호점)</t>
  </si>
  <si>
    <t>기연각(성수)</t>
  </si>
  <si>
    <t>용답중앙길 76</t>
  </si>
  <si>
    <t>산동만두(남가좌)</t>
  </si>
  <si>
    <t>가재울로 53-9</t>
  </si>
  <si>
    <t>마라쿠시</t>
  </si>
  <si>
    <t>이태원로 4길 26</t>
  </si>
  <si>
    <t>양꼬치&amp;칭따오(운정)</t>
  </si>
  <si>
    <t>책향기로 573</t>
  </si>
  <si>
    <t>취더푸사천훠궈</t>
  </si>
  <si>
    <t>명동길 55</t>
  </si>
  <si>
    <t>바이완</t>
  </si>
  <si>
    <t>백제고분로 7길 58</t>
  </si>
  <si>
    <t>양꼬치가(노원)</t>
  </si>
  <si>
    <t>한글비석로 20길 30</t>
  </si>
  <si>
    <t>영동반점(강남)</t>
  </si>
  <si>
    <t>강남대로 122길 31</t>
  </si>
  <si>
    <t>올리바바훠궈&amp;양꼬치(용인)</t>
  </si>
  <si>
    <t>처인구 명지로 40번길 9</t>
  </si>
  <si>
    <t>미성양꼬치(성남)</t>
  </si>
  <si>
    <t>분당구 판교역로 192번길 22</t>
  </si>
  <si>
    <t>쿵푸양꼬치(상록수역)</t>
  </si>
  <si>
    <t>상록구 매화로 2기 53-1</t>
  </si>
  <si>
    <t>쿵푸양꼬치(상록수역본점)</t>
  </si>
  <si>
    <t>책향기로 573 월드타워3 2층 205호</t>
  </si>
  <si>
    <t>신태양부양꼬치</t>
  </si>
  <si>
    <t>청북읍 안청로8길 14-2 1층101호</t>
  </si>
  <si>
    <t>진미</t>
  </si>
  <si>
    <t>월드고양로 19 상가동 1동 1층 209호</t>
  </si>
  <si>
    <t>넘버원양꼬치</t>
  </si>
  <si>
    <t>대사관로 76 2층</t>
  </si>
  <si>
    <t>설화</t>
  </si>
  <si>
    <t>상계로5길 12 동양상가 2층 설화중화식당 (202-1호)</t>
  </si>
  <si>
    <t>하나샤브샤브</t>
  </si>
  <si>
    <t>동산8길 40 1층</t>
  </si>
  <si>
    <t>중국가정식장강중류</t>
  </si>
  <si>
    <t>이태원로 143-30 2층 중국가정식 장강중류</t>
  </si>
  <si>
    <t>중화양꼬치</t>
  </si>
  <si>
    <t>이천시</t>
  </si>
  <si>
    <t>중리천로97번길 24</t>
  </si>
  <si>
    <t>한방양꼬치앤마라탕</t>
  </si>
  <si>
    <t>동대문구</t>
  </si>
  <si>
    <t>왕산로 190 지하층 111, 112, 113호</t>
  </si>
  <si>
    <t>연옥양꼬치</t>
  </si>
  <si>
    <t>동일로18길 42 연옥양꼬치</t>
  </si>
  <si>
    <t>효진양꼬치</t>
  </si>
  <si>
    <t>중봉대로586번길 9-19 107.108호</t>
  </si>
  <si>
    <t>호우양꼬치 상암</t>
  </si>
  <si>
    <t>월드컵북로44길 76</t>
  </si>
  <si>
    <t>양꼬치공방</t>
  </si>
  <si>
    <t>부평문화로 101 부평문화로101</t>
  </si>
  <si>
    <t>니하오객잔(서대문)</t>
  </si>
  <si>
    <t>통일로11길 12-1</t>
  </si>
  <si>
    <t>명동양꼬치</t>
  </si>
  <si>
    <t>명동7길 21, 317,318호</t>
  </si>
  <si>
    <t>몽고양다리</t>
  </si>
  <si>
    <t>영등포구 도림천로 11길 19</t>
  </si>
  <si>
    <t>맛나양꼬치</t>
  </si>
  <si>
    <t>동안구 관평로 305번길 60</t>
  </si>
  <si>
    <t>동원양꼬치</t>
  </si>
  <si>
    <t>승학로 528, 1층 106호</t>
  </si>
  <si>
    <t>초원양꼬치(검단)</t>
  </si>
  <si>
    <t>검단로459번길 3-1 102호</t>
  </si>
  <si>
    <t>양꼬치구이촨</t>
  </si>
  <si>
    <t>무교로 39, 2층 (서린동)</t>
  </si>
  <si>
    <t>심야9대양꼬치</t>
  </si>
  <si>
    <t>소사구 심곡로9번길 32</t>
  </si>
  <si>
    <t>칭따오양꼬치</t>
  </si>
  <si>
    <t>영통구 매영로 393번길 27</t>
  </si>
  <si>
    <t>서탑불고기</t>
  </si>
  <si>
    <t>단원구 원본로 1길 10-7</t>
  </si>
  <si>
    <t>해월양꼬치샤브샤브</t>
  </si>
  <si>
    <t>동일로 18길 51</t>
  </si>
  <si>
    <t>티엔미미(강남)</t>
  </si>
  <si>
    <t>사임당로 143</t>
  </si>
  <si>
    <t>미성반점</t>
  </si>
  <si>
    <t>4. 19로 37 1층 (수유동)</t>
  </si>
  <si>
    <t>명성양갈비전문점</t>
  </si>
  <si>
    <t>테헤란로 20길 25 2층</t>
  </si>
  <si>
    <t>마라인마라탕마라샹궈</t>
  </si>
  <si>
    <t>능동로 44길 28, 1층</t>
  </si>
  <si>
    <t>미란양꼬치</t>
  </si>
  <si>
    <t>수지구 광교중앙로 302, 1층</t>
  </si>
  <si>
    <t>명성양꼬치</t>
  </si>
  <si>
    <t>테헤란로 20길 25, 1층</t>
  </si>
  <si>
    <t>텐텐양꼬치 숯불숙성통양갈비</t>
  </si>
  <si>
    <t>동일로18길 102</t>
  </si>
  <si>
    <t>해룡마라룽샤</t>
  </si>
  <si>
    <t>동일로18길 36</t>
  </si>
  <si>
    <t>구구향훠궈</t>
  </si>
  <si>
    <t>동일로18길62</t>
  </si>
  <si>
    <t>연길왕꼬치</t>
  </si>
  <si>
    <t>동일로18길86</t>
  </si>
  <si>
    <t>설화양꼬치(용인)</t>
  </si>
  <si>
    <t>마라봉(광진)</t>
  </si>
  <si>
    <t>노말보이즈클럽(대전)</t>
  </si>
  <si>
    <t>대전시</t>
  </si>
  <si>
    <t>동구</t>
  </si>
  <si>
    <t>동대전로 131번길 9-7</t>
  </si>
  <si>
    <t>칭따오양꼬치(청북)</t>
  </si>
  <si>
    <t>청북읍 안청로2길 14-11</t>
  </si>
  <si>
    <t>병점양꼬치집</t>
  </si>
  <si>
    <t>병점서로 31-6</t>
  </si>
  <si>
    <t>가문앞 꼬치구이</t>
  </si>
  <si>
    <t>수정구 수정남로 25</t>
  </si>
  <si>
    <t>수정구 수정남로 52-1</t>
  </si>
  <si>
    <t>맥주이마트</t>
  </si>
  <si>
    <t>우정국로 2길 31 7층</t>
  </si>
  <si>
    <t>양드림(월계)</t>
  </si>
  <si>
    <t>광운로2길 27</t>
  </si>
  <si>
    <t>한판삼겹</t>
  </si>
  <si>
    <t>일월로 42번길 20</t>
  </si>
  <si>
    <t>비비큐</t>
  </si>
  <si>
    <t>일원로 9길8</t>
  </si>
  <si>
    <t>서두산딤섬만두</t>
  </si>
  <si>
    <t>올림픽로32길 18-23 2층</t>
  </si>
  <si>
    <t>원조양꼬치(석남)</t>
  </si>
  <si>
    <t>가정로 231</t>
  </si>
  <si>
    <t>명태어장(김포)</t>
  </si>
  <si>
    <t>김포한강4로 129</t>
  </si>
  <si>
    <t>재민이네양꼬치</t>
  </si>
  <si>
    <t>청주시</t>
  </si>
  <si>
    <t>갱고개로 177</t>
  </si>
  <si>
    <t>양때마을(음성)</t>
  </si>
  <si>
    <t>맹동면 산학로 35</t>
  </si>
  <si>
    <t>남극반점(마포)</t>
  </si>
  <si>
    <t>월드컵로14길19 2층</t>
  </si>
  <si>
    <t>램맨양꼬치(안양)</t>
  </si>
  <si>
    <t>동안구 관평로 182번길 53</t>
  </si>
  <si>
    <t>황하호연(광주)</t>
  </si>
  <si>
    <t>광주시</t>
  </si>
  <si>
    <t>풍금로 4번길 9-2</t>
  </si>
  <si>
    <t>태양부호수공원(서산)</t>
  </si>
  <si>
    <t>서산시</t>
  </si>
  <si>
    <t>호수공원5로 31</t>
  </si>
  <si>
    <t>얼땅쟈꼬챙이훠궈(김포)</t>
  </si>
  <si>
    <t>돌문로 68-1</t>
  </si>
  <si>
    <t>친친양꼬치(대전)</t>
  </si>
  <si>
    <t>대전로 815번길 32</t>
  </si>
  <si>
    <t>불끈 FOOD</t>
  </si>
  <si>
    <t>광산구</t>
  </si>
  <si>
    <t>선운로20번길 32</t>
  </si>
  <si>
    <t>대풍여의</t>
  </si>
  <si>
    <t>소흘읍 화홥로 386</t>
  </si>
  <si>
    <t>미친가(인천)</t>
  </si>
  <si>
    <t>한나루로 187</t>
  </si>
  <si>
    <t>성민양꼬치(서대문)</t>
  </si>
  <si>
    <t>통일로 143-7</t>
  </si>
  <si>
    <t>호우양꼬치(상암)</t>
  </si>
  <si>
    <t>월드컵북로 44길 76</t>
  </si>
  <si>
    <t>계향각(종로)</t>
  </si>
  <si>
    <t>동숭길 86</t>
  </si>
  <si>
    <t>룡룡팔사</t>
  </si>
  <si>
    <t>상당구</t>
  </si>
  <si>
    <t>용정로 32번길 9</t>
  </si>
  <si>
    <t>만만디</t>
  </si>
  <si>
    <t>백간공원길 13-4</t>
  </si>
  <si>
    <t>신강양꼬치</t>
  </si>
  <si>
    <t>토정로 37길 21</t>
  </si>
  <si>
    <t>쿠이씽</t>
  </si>
  <si>
    <t>하슬라로 206번길 20</t>
  </si>
  <si>
    <t>회빈장</t>
  </si>
  <si>
    <t>하슬라로 206번길 23-9</t>
  </si>
  <si>
    <t>후레쉬램</t>
  </si>
  <si>
    <t>가산디지털2로 60</t>
  </si>
  <si>
    <t>하얼빈양꼬치(용산후암)</t>
  </si>
  <si>
    <t>후암로87</t>
  </si>
  <si>
    <t>낙성대로 10</t>
  </si>
  <si>
    <t>촨촨</t>
  </si>
  <si>
    <t>율곡초교길 43번길 18</t>
  </si>
  <si>
    <t>연길냉면</t>
  </si>
  <si>
    <t>대림로29길 42</t>
  </si>
  <si>
    <t>짬뽕의신화</t>
  </si>
  <si>
    <t>종로양꼬치</t>
  </si>
  <si>
    <t>삼일대로 17길 20-2</t>
  </si>
  <si>
    <t>리원(강릉)</t>
  </si>
  <si>
    <t>회산로 311</t>
  </si>
  <si>
    <t>무심천드래곤</t>
  </si>
  <si>
    <t>상당구 상당로 121번길 34</t>
  </si>
  <si>
    <t>태양부양꼬치(의정부점)</t>
  </si>
  <si>
    <t>시민로 121번길 54</t>
  </si>
  <si>
    <t>동삼화</t>
  </si>
  <si>
    <t>덕양구 지축 1로 65</t>
  </si>
  <si>
    <t>데블스램펍(문정)</t>
  </si>
  <si>
    <t>송파대로 167</t>
  </si>
  <si>
    <t>텐진식당</t>
  </si>
  <si>
    <t>퇴계로 87길 43</t>
  </si>
  <si>
    <t>마라시대(인제)</t>
  </si>
  <si>
    <t>상동리 96-3</t>
  </si>
  <si>
    <t>촨촨촨(구리)</t>
  </si>
  <si>
    <t>수택동 489-6</t>
  </si>
  <si>
    <t>판다딤섬</t>
  </si>
  <si>
    <t>중화백반(강남구청)</t>
  </si>
  <si>
    <t>옌칭</t>
  </si>
  <si>
    <t>삼국정(본점)</t>
  </si>
  <si>
    <t>미성양꼬치(1호점)</t>
  </si>
  <si>
    <t>미성양꼬치(2호점)</t>
  </si>
  <si>
    <t>중식포차 가차이(인천)</t>
  </si>
  <si>
    <t>성연양꼬치(당진)</t>
  </si>
  <si>
    <t>용봉양꼬치나라(인천)</t>
  </si>
  <si>
    <t>친친양꼬치</t>
  </si>
  <si>
    <t>라파향궈(남양주)</t>
  </si>
  <si>
    <t>신본토양갈비양꼬치(일산)</t>
  </si>
  <si>
    <t>행복대박우육면(고양)</t>
  </si>
  <si>
    <t>삼국정(부천중동2호점)</t>
  </si>
  <si>
    <t>석천로177번길 12</t>
  </si>
  <si>
    <t>정이네양꼬치</t>
  </si>
  <si>
    <t>맥주창고 비코드</t>
  </si>
  <si>
    <t>호양집(천안신방)</t>
  </si>
  <si>
    <t>상하이야시장(동탄)</t>
  </si>
  <si>
    <t>비엔타이(의정부)</t>
  </si>
  <si>
    <t>평화로552번길 29-5</t>
  </si>
  <si>
    <t>채영한</t>
  </si>
  <si>
    <t>포도주류유한</t>
  </si>
  <si>
    <t>반티엔야오 카오위(건대)</t>
  </si>
  <si>
    <t>동일로20길106 2층</t>
  </si>
  <si>
    <t>세왕상사(주)</t>
  </si>
  <si>
    <t>임사부중식주점몽콕 대화역본점</t>
  </si>
  <si>
    <t xml:space="preserve"> 일산로 774 106, 107호</t>
  </si>
  <si>
    <t>직관</t>
  </si>
  <si>
    <t>대원로30</t>
  </si>
  <si>
    <t>설화참치</t>
  </si>
  <si>
    <t>명지로60번길8-13 202호</t>
  </si>
  <si>
    <t>닷지</t>
  </si>
  <si>
    <t>안골로63번길42-12</t>
  </si>
  <si>
    <t>반티엔야오 카오위(명동)</t>
  </si>
  <si>
    <t>명동7길 13</t>
  </si>
  <si>
    <t>반티엔야오 카오위(홍대)</t>
  </si>
  <si>
    <t>양화로 176</t>
  </si>
  <si>
    <t>반티엔야오 카오위(정왕)</t>
  </si>
  <si>
    <t>정왕시장길 52</t>
  </si>
  <si>
    <t>라온(유)</t>
  </si>
  <si>
    <t>변산반도</t>
  </si>
  <si>
    <t>살곶이길 18</t>
  </si>
  <si>
    <t>해동주류성남</t>
  </si>
  <si>
    <t>서울숲누룽지통닭</t>
  </si>
  <si>
    <t>왕십리로5길 10</t>
  </si>
  <si>
    <t>짬뽕위에더짬뽕</t>
  </si>
  <si>
    <t>서울숲6길 21</t>
  </si>
  <si>
    <t>반티엔야오 카오위(강남)</t>
  </si>
  <si>
    <t>서초동 1317-31</t>
  </si>
  <si>
    <t>일일향(을지로)</t>
  </si>
  <si>
    <t>남대문로 125 iM금융센터 3층</t>
  </si>
  <si>
    <t>퐁성양꼬치(일산)</t>
  </si>
  <si>
    <t>주엽로 80 가로수길A동2층</t>
  </si>
  <si>
    <t>진양가양꼬치(일산)</t>
  </si>
  <si>
    <t>백석로72번길 19-4</t>
  </si>
  <si>
    <t>양다리양꼬치넘버원(부천)</t>
  </si>
  <si>
    <t>중동로 262번길 44</t>
  </si>
  <si>
    <t>채홍(부천)</t>
  </si>
  <si>
    <t>삼작로 265</t>
  </si>
  <si>
    <t>국빈</t>
  </si>
  <si>
    <t>탄현로 3-1</t>
  </si>
  <si>
    <t>따시남양꼬치(의정부)</t>
  </si>
  <si>
    <t>오목로205번길 22</t>
  </si>
  <si>
    <t>자금성&amp;자금객잔</t>
  </si>
  <si>
    <t>도봉로98길33</t>
  </si>
  <si>
    <t>훠룽쿵푸</t>
  </si>
  <si>
    <t>청원구 율량로 202번길 80</t>
  </si>
  <si>
    <t>인사동 화원</t>
  </si>
  <si>
    <t>인사동 8길 12</t>
  </si>
  <si>
    <t>제일상사여주</t>
  </si>
  <si>
    <t>금룡(여주)</t>
  </si>
  <si>
    <t>여주시</t>
  </si>
  <si>
    <t>세종로79번길 18-9</t>
  </si>
  <si>
    <t>(유)태양주류</t>
  </si>
  <si>
    <t>슈슈(이의동)</t>
  </si>
  <si>
    <t>영통구 도청로89번길 23 월드프라자 1층 101호</t>
  </si>
  <si>
    <t>군포주류(유)</t>
  </si>
  <si>
    <t>금문원(과천)</t>
  </si>
  <si>
    <t>과천시</t>
  </si>
  <si>
    <t>과천대로7나길 9, DX 타워 2층</t>
  </si>
  <si>
    <t>십리양꼬치(화성)</t>
  </si>
  <si>
    <t>향남읍 한절이1길 26, 101호</t>
  </si>
  <si>
    <t>백산주류평촌</t>
  </si>
  <si>
    <t>상하이(수원)</t>
  </si>
  <si>
    <t>호매실로 104번길 24-61</t>
  </si>
  <si>
    <t>화양연화(동탄)</t>
  </si>
  <si>
    <t>동탄오산로 86-8 107호</t>
  </si>
  <si>
    <t>브라더영꼬치(화성)</t>
  </si>
  <si>
    <t>봉담읍 와우안길 65</t>
  </si>
  <si>
    <t>향양꼬치(오산)</t>
  </si>
  <si>
    <t>밀머리로 19, 1층</t>
  </si>
  <si>
    <t>미니양꼬치(화성)</t>
  </si>
  <si>
    <t>남양읍 역골중앙로 4-15</t>
  </si>
  <si>
    <t>산본주류</t>
  </si>
  <si>
    <t>원호프(안산)</t>
  </si>
  <si>
    <t>단원구 원본로 21-1, 2층</t>
  </si>
  <si>
    <t>화경갈비작은꼬치점(안산)</t>
  </si>
  <si>
    <t>단원구 원본로4길 4, 1층</t>
  </si>
  <si>
    <t>흥안주류(유)</t>
  </si>
  <si>
    <t>안산설화갈비</t>
  </si>
  <si>
    <t>벽제갈비(파라다이스시티점)</t>
  </si>
  <si>
    <t>신세계양꼬치(화성)</t>
  </si>
  <si>
    <t>향남읍55번길 26-5</t>
  </si>
  <si>
    <t>대림상사평택</t>
  </si>
  <si>
    <t>마라e족(안성)</t>
  </si>
  <si>
    <t>대덕면 대학6길 6, 1층</t>
  </si>
  <si>
    <t>욜로미미사양꼬치(평택)</t>
  </si>
  <si>
    <t>평택2로 20번길 21, A동 1층</t>
  </si>
  <si>
    <t>서민숯불꼬치(화성)</t>
  </si>
  <si>
    <t>향남읍 3.1만세로 1084-1</t>
  </si>
  <si>
    <t>주미성주류 유한회사</t>
  </si>
  <si>
    <t>양매력(도봉)</t>
  </si>
  <si>
    <t>도봉구</t>
  </si>
  <si>
    <t>마들로11가길 13-6</t>
  </si>
  <si>
    <t>디케이엘종합주류(주)</t>
  </si>
  <si>
    <t>다복양꼬치(안산)</t>
  </si>
  <si>
    <t>와동공원로 176</t>
  </si>
  <si>
    <t>호우양꼬치(반송동)</t>
  </si>
  <si>
    <t>(유)디케이종합주류</t>
  </si>
  <si>
    <t>경도양꼬치훠궈(금왕)</t>
  </si>
  <si>
    <t>금왕읍 탑골길 43-1</t>
  </si>
  <si>
    <t>일미향양꼬치(오산)</t>
  </si>
  <si>
    <t>성호대로 130</t>
  </si>
  <si>
    <t>경가양꼬치훠궈(음성)</t>
  </si>
  <si>
    <t>음성읍 설성로 60</t>
  </si>
  <si>
    <t>경가양꼬치훠궈(장호원점)</t>
  </si>
  <si>
    <t>장호원읍 서동대로8965번길 43-18 (오남리)</t>
  </si>
  <si>
    <t>서광주류(자)</t>
  </si>
  <si>
    <t>불티나양꼬치(평택)</t>
  </si>
  <si>
    <t>신촌5로 41</t>
  </si>
  <si>
    <t>춘파(합자)</t>
  </si>
  <si>
    <t>양풍양꼬치(수원호매실)</t>
  </si>
  <si>
    <t>권선구 금곡로197번길 59-8</t>
  </si>
  <si>
    <t>(유한)을지식품</t>
  </si>
  <si>
    <t>라홍당마라탕(미사)</t>
  </si>
  <si>
    <t>미사강변동로 73</t>
  </si>
  <si>
    <t>쿵푸팬더훠궈(안성)</t>
  </si>
  <si>
    <t>인지5길 2</t>
  </si>
  <si>
    <t>무봉주류 주식회사</t>
  </si>
  <si>
    <t>종로맥가(수원매탄)</t>
  </si>
  <si>
    <t>영통구 인계로 274</t>
  </si>
  <si>
    <t>삼성주류강동</t>
  </si>
  <si>
    <t>빙삼(강동)</t>
  </si>
  <si>
    <t>상일로7길 6-7</t>
  </si>
  <si>
    <t>남광주류화성</t>
  </si>
  <si>
    <t>바이젠펍(송파)</t>
  </si>
  <si>
    <t>백제고분로22길 4</t>
  </si>
  <si>
    <t>서해주류종합</t>
  </si>
  <si>
    <t>명양꼬치(오산)</t>
  </si>
  <si>
    <t>오산로 53</t>
  </si>
  <si>
    <t>연변냉면(오산)</t>
  </si>
  <si>
    <t>시장길 56</t>
  </si>
  <si>
    <t>경도양꼬치(내수점)</t>
  </si>
  <si>
    <t>청원구 내수읍 내수로 638</t>
  </si>
  <si>
    <t>송림양꼬치(수원)</t>
  </si>
  <si>
    <t>팔달구 화양로 15</t>
  </si>
  <si>
    <t>경가양꼬치훠궈(백암점)</t>
  </si>
  <si>
    <t>처인구 백암면 백원로 537-6</t>
  </si>
  <si>
    <t>경가양꼬치훠궈(남양점)</t>
  </si>
  <si>
    <t>남양읍 남양시장로 21</t>
  </si>
  <si>
    <t>역전양꼬치(병점)</t>
  </si>
  <si>
    <t>경기대로 1025-5</t>
  </si>
  <si>
    <t>호방(평택)</t>
  </si>
  <si>
    <t>특구로 27번길 67</t>
  </si>
  <si>
    <t>후산궁숯불구이(평택)</t>
  </si>
  <si>
    <t>향남읍 평 3길 18</t>
  </si>
  <si>
    <t>배블리양꼬치(평택)</t>
  </si>
  <si>
    <t>송탄로 236</t>
  </si>
  <si>
    <t>합명회사 북광주류</t>
  </si>
  <si>
    <t>치킨파머스(광주오포)</t>
  </si>
  <si>
    <t>오포로 171번길 20</t>
  </si>
  <si>
    <t>해루집(아산)</t>
  </si>
  <si>
    <t>충청남도</t>
  </si>
  <si>
    <t>아산시</t>
  </si>
  <si>
    <t>둔포면 아산밸리중앙로 67</t>
  </si>
  <si>
    <t>송화산시도삭면 1호점</t>
  </si>
  <si>
    <t>뚝섬로27길 48</t>
  </si>
  <si>
    <t>송화산시도삭면 2호점</t>
  </si>
  <si>
    <t>아차산로30길 33</t>
  </si>
  <si>
    <t>풍성양꼬치(일산)</t>
  </si>
  <si>
    <t>만월(역삼)</t>
  </si>
  <si>
    <t>넘버원양꼬치(종로체부)</t>
  </si>
  <si>
    <t>와바양꼬치(영암)</t>
  </si>
  <si>
    <t>먹고보자양꼬치</t>
  </si>
  <si>
    <t>Seoul</t>
  </si>
  <si>
    <t>Team</t>
    <phoneticPr fontId="3" type="noConversion"/>
  </si>
  <si>
    <t>NO.</t>
    <phoneticPr fontId="11" type="noConversion"/>
  </si>
  <si>
    <t>SR</t>
    <phoneticPr fontId="11" type="noConversion"/>
  </si>
  <si>
    <t>SAP Code</t>
    <phoneticPr fontId="11" type="noConversion"/>
  </si>
  <si>
    <t>Customer</t>
    <phoneticPr fontId="11" type="noConversion"/>
  </si>
  <si>
    <t>관동주류판매(주)</t>
  </si>
  <si>
    <t>대유양주판매(주)</t>
  </si>
  <si>
    <t>속초합동상사(주)</t>
  </si>
  <si>
    <t>강릉주류판매㈜</t>
  </si>
  <si>
    <t>영동상사(자)</t>
  </si>
  <si>
    <t>간성합동상사(주)</t>
  </si>
  <si>
    <t>동해주류상사(명)</t>
  </si>
  <si>
    <t>신화주류(합자)</t>
  </si>
  <si>
    <t>동풍종합주류(자)</t>
  </si>
  <si>
    <t>삼원주류판매(명)</t>
  </si>
  <si>
    <t>설악주류유통상사(합)</t>
  </si>
  <si>
    <t>명주합동주류(유)</t>
  </si>
  <si>
    <t>삼척주류판매(주)</t>
  </si>
  <si>
    <t>양양합동상사(명)</t>
  </si>
  <si>
    <t>대광상사(자)</t>
  </si>
  <si>
    <t>강원주류 합자회사</t>
  </si>
  <si>
    <t>원천종합도봉</t>
  </si>
  <si>
    <t>일산종합주류(유)</t>
  </si>
  <si>
    <t>태경 유한회사</t>
  </si>
  <si>
    <t>에이스주산(합)</t>
  </si>
  <si>
    <t>태경상사(유)</t>
  </si>
  <si>
    <t>원천종합주류(유)신세계</t>
  </si>
  <si>
    <t>신합상사(주)SPC</t>
  </si>
  <si>
    <t>중앙종합주류(유)_프랜차이즈</t>
  </si>
  <si>
    <t>(자)중국주류_프랜차이즈</t>
  </si>
  <si>
    <t>유한회사 신동주류</t>
  </si>
  <si>
    <t>서부상사(주)</t>
  </si>
  <si>
    <t>문산상사(유)</t>
  </si>
  <si>
    <t>현대상사(유)</t>
  </si>
  <si>
    <t>금촌상사(유)</t>
  </si>
  <si>
    <t>한맥상사(주)</t>
  </si>
  <si>
    <t>상승상사(주)</t>
  </si>
  <si>
    <t>광진주류판매</t>
  </si>
  <si>
    <t>대산주류(주)</t>
  </si>
  <si>
    <t>삼한주류상사(주)</t>
  </si>
  <si>
    <t>우주실업(주)</t>
  </si>
  <si>
    <t>구리상사(유)</t>
  </si>
  <si>
    <t>은하수주류(주)</t>
  </si>
  <si>
    <t>임성상사 주식회사</t>
  </si>
  <si>
    <t>하늘종합주류(주)</t>
  </si>
  <si>
    <t>타래주류(유)</t>
  </si>
  <si>
    <t>진양주류(유)</t>
  </si>
  <si>
    <t>럭키주류(주)</t>
  </si>
  <si>
    <t>신정주류면목</t>
  </si>
  <si>
    <t>동남양행(유)</t>
  </si>
  <si>
    <t>덕윤주류판매</t>
  </si>
  <si>
    <t>(주)사가명주</t>
  </si>
  <si>
    <t>천지상사</t>
  </si>
  <si>
    <t>대림종합상사(유)</t>
  </si>
  <si>
    <t>석재상사(유)</t>
  </si>
  <si>
    <t>삼정종합주류 주식회사</t>
  </si>
  <si>
    <t>(유)동남종합주류</t>
  </si>
  <si>
    <t>조만통합상사(유)</t>
  </si>
  <si>
    <t>경의주류판매</t>
  </si>
  <si>
    <t>(주)케이앤씨체인</t>
  </si>
  <si>
    <t>홍건석</t>
  </si>
  <si>
    <t>세계주류(주)춘천</t>
  </si>
  <si>
    <t>우성식품(주)</t>
  </si>
  <si>
    <t>남양주류(유)</t>
  </si>
  <si>
    <t>(주)엠케이펍</t>
  </si>
  <si>
    <t>대한상사양주</t>
  </si>
  <si>
    <t>풍원식품(주)</t>
  </si>
  <si>
    <t>영서종합주류(자)</t>
  </si>
  <si>
    <t>덕우사(자)</t>
  </si>
  <si>
    <t>대한종합주류판매상사 합자회사</t>
  </si>
  <si>
    <t>제1종합주류판매(주)</t>
  </si>
  <si>
    <t>건양상사광원</t>
  </si>
  <si>
    <t>춘성주류합동(자)</t>
  </si>
  <si>
    <t>한양주류춘천</t>
  </si>
  <si>
    <t>현대주류(유한)</t>
  </si>
  <si>
    <t>해동주류합동(유)</t>
  </si>
  <si>
    <t>모아주류판매(주)</t>
  </si>
  <si>
    <t>세화상사경기</t>
  </si>
  <si>
    <t>치악주류판매(명)</t>
  </si>
  <si>
    <t>춘천주류합동</t>
  </si>
  <si>
    <t>대진상사(자)</t>
  </si>
  <si>
    <t>대동주류(자)</t>
  </si>
  <si>
    <t>합자회사 봉평주류합동</t>
  </si>
  <si>
    <t>유한회사 봄내주류</t>
  </si>
  <si>
    <t>우리종합주류 합명회사</t>
  </si>
  <si>
    <t>덕건상사(주)</t>
  </si>
  <si>
    <t>호반주류춘천</t>
  </si>
  <si>
    <t>정우(유)</t>
  </si>
  <si>
    <t>선일종합주류</t>
  </si>
  <si>
    <t>홍담종합주류(합)</t>
  </si>
  <si>
    <t>대찬주류 주식회사</t>
  </si>
  <si>
    <t>진연사(유)</t>
  </si>
  <si>
    <t>구룡주류판매(주)</t>
  </si>
  <si>
    <t>대륙종합주류</t>
  </si>
  <si>
    <t>(주)남원</t>
  </si>
  <si>
    <t>대양주류판매상사(명)</t>
  </si>
  <si>
    <t>영월종합주류(합명)</t>
  </si>
  <si>
    <t>설악상사(명)</t>
  </si>
  <si>
    <t>화천주류(주)</t>
  </si>
  <si>
    <t>진부주류합동상사(명)</t>
  </si>
  <si>
    <t>동호상사연천</t>
  </si>
  <si>
    <t>동광주류 합명회사</t>
  </si>
  <si>
    <t>두리상사경기</t>
  </si>
  <si>
    <t>성동주류판매</t>
  </si>
  <si>
    <t>동화상사경기</t>
  </si>
  <si>
    <t>북양상사(유)</t>
  </si>
  <si>
    <t>동대문종합주류</t>
  </si>
  <si>
    <t>길성판매</t>
  </si>
  <si>
    <t>수창주류(주)</t>
  </si>
  <si>
    <t>북부주류판매상사(유)</t>
  </si>
  <si>
    <t>금강주류성동</t>
  </si>
  <si>
    <t>서린주류주식</t>
  </si>
  <si>
    <t>대진주류㈜남양주</t>
  </si>
  <si>
    <t>서광컴퍼니</t>
  </si>
  <si>
    <t>신내종합주류</t>
  </si>
  <si>
    <t>선진주류(유)가정</t>
  </si>
  <si>
    <t>양지종합성북</t>
  </si>
  <si>
    <t>금호주류경기</t>
  </si>
  <si>
    <t>양정종합주류</t>
  </si>
  <si>
    <t>오남주류경기</t>
  </si>
  <si>
    <t>한강주류(유)</t>
  </si>
  <si>
    <t>영산실업(유한)</t>
  </si>
  <si>
    <t>동양주류면목</t>
  </si>
  <si>
    <t>으뜸주류(유)</t>
  </si>
  <si>
    <t>신원주류(주)</t>
  </si>
  <si>
    <t>산호주류(주)</t>
  </si>
  <si>
    <t>삼성주류 주식회사</t>
  </si>
  <si>
    <t>부원주류</t>
  </si>
  <si>
    <t>신승상사(주)</t>
  </si>
  <si>
    <t>두리주류판매</t>
  </si>
  <si>
    <t>성두유통서초</t>
  </si>
  <si>
    <t>두하실업(유)</t>
  </si>
  <si>
    <t>동풍상사(주)</t>
  </si>
  <si>
    <t>미래주류주식회사(성남)</t>
  </si>
  <si>
    <t>민선종합주류</t>
  </si>
  <si>
    <t>와부상사(유)</t>
  </si>
  <si>
    <t>강일주류경기</t>
  </si>
  <si>
    <t>경성종합주류 주식회사</t>
  </si>
  <si>
    <t>다산주류서초</t>
  </si>
  <si>
    <t>세계주류수원</t>
  </si>
  <si>
    <t>에스원주류(주)</t>
  </si>
  <si>
    <t>포도주류 유한회사_프랜차이즈</t>
  </si>
  <si>
    <t>주식회사 미소주류_보배반점</t>
  </si>
  <si>
    <t>(유)세계주류_아워홈</t>
  </si>
  <si>
    <t>혜성주류수원</t>
  </si>
  <si>
    <t>수성주류(주)</t>
  </si>
  <si>
    <t>경기종합주류</t>
  </si>
  <si>
    <t>광교주류유한</t>
  </si>
  <si>
    <t>한성주류(유)</t>
  </si>
  <si>
    <t>장안주류판매</t>
  </si>
  <si>
    <t>서호주류(유)</t>
  </si>
  <si>
    <t>성일주류(유)</t>
  </si>
  <si>
    <t>동원주류판매</t>
  </si>
  <si>
    <t>새한주류수원</t>
  </si>
  <si>
    <t>경기연합주류</t>
  </si>
  <si>
    <t>동화주류수원</t>
  </si>
  <si>
    <t>독도사랑(주)</t>
  </si>
  <si>
    <t>창신주류 주식회사</t>
  </si>
  <si>
    <t>(주)문화체인</t>
  </si>
  <si>
    <t>백산주류(유)_클럽</t>
  </si>
  <si>
    <t>케이엘유통 주식회사</t>
  </si>
  <si>
    <t>프라임주류 주식회사</t>
  </si>
  <si>
    <t>광성주류경기</t>
  </si>
  <si>
    <t>성원주류(유)</t>
  </si>
  <si>
    <t>중앙주류광명</t>
  </si>
  <si>
    <t>양평상사경기</t>
  </si>
  <si>
    <t>옥천주류(유)</t>
  </si>
  <si>
    <t>용문상사(자)</t>
  </si>
  <si>
    <t>대인상사(유)</t>
  </si>
  <si>
    <t>덕천상사안양</t>
  </si>
  <si>
    <t>삼정주류(주)</t>
  </si>
  <si>
    <t>동인주류군포</t>
  </si>
  <si>
    <t>세종주류상사</t>
  </si>
  <si>
    <t>북성상사(자)</t>
  </si>
  <si>
    <t>동광상사(합)</t>
  </si>
  <si>
    <t>이천상사이천</t>
  </si>
  <si>
    <t>대지상사이천</t>
  </si>
  <si>
    <t>중앙상사이천</t>
  </si>
  <si>
    <t>송탄주류판매</t>
  </si>
  <si>
    <t>기흥주류경기</t>
  </si>
  <si>
    <t>병점주류유한</t>
  </si>
  <si>
    <t>성원종합주류(유)</t>
  </si>
  <si>
    <t>동성주류(유)</t>
  </si>
  <si>
    <t>(주)성우종합주류</t>
  </si>
  <si>
    <t>주식회사 팀프주류</t>
  </si>
  <si>
    <t>동광상사(유)</t>
  </si>
  <si>
    <t>경기주류(유)</t>
  </si>
  <si>
    <t>안중주류(유)</t>
  </si>
  <si>
    <t>대성주류평택</t>
  </si>
  <si>
    <t>안성종합주류</t>
  </si>
  <si>
    <t>명성상사 유한회사</t>
  </si>
  <si>
    <t>경남상사평택</t>
  </si>
  <si>
    <t>현대주류평택</t>
  </si>
  <si>
    <t>합동주류㈜</t>
  </si>
  <si>
    <t>낙원주류합명</t>
  </si>
  <si>
    <t>신영주류용인</t>
  </si>
  <si>
    <t>평택주류경기</t>
  </si>
  <si>
    <t>화성합동(주)오산</t>
  </si>
  <si>
    <t>동우주류(주)</t>
  </si>
  <si>
    <t>보경실업강동</t>
  </si>
  <si>
    <t>정산주류강동</t>
  </si>
  <si>
    <t>주식회사 원주류</t>
  </si>
  <si>
    <t>주식회사 삼에이치주류</t>
  </si>
  <si>
    <t>유한회사 동하주류</t>
  </si>
  <si>
    <t>우리종합주류 유한회사</t>
  </si>
  <si>
    <t>포도주류유한회사_메타</t>
  </si>
  <si>
    <t>해동주류(주)_파운틴</t>
  </si>
  <si>
    <t>해동주류(주)_CGV</t>
  </si>
  <si>
    <t>포도종합주류(유)</t>
  </si>
  <si>
    <t>종일상사(유)유흥</t>
  </si>
  <si>
    <t>보광주류포이</t>
  </si>
  <si>
    <t>중문주류(주)</t>
  </si>
  <si>
    <t>케이주류(주)</t>
  </si>
  <si>
    <t>강남양행서초</t>
  </si>
  <si>
    <t>선전기업(주)</t>
  </si>
  <si>
    <t>쌍용종합주류</t>
  </si>
  <si>
    <t>배원유통(합)</t>
  </si>
  <si>
    <t>천지유통(주)</t>
  </si>
  <si>
    <t>원창진흥(주)</t>
  </si>
  <si>
    <t>양강물산(주)</t>
  </si>
  <si>
    <t>서광상사(유)</t>
  </si>
  <si>
    <t>서림유통(주)</t>
  </si>
  <si>
    <t>투원주류(유)</t>
  </si>
  <si>
    <t>세종실업 주식회사</t>
  </si>
  <si>
    <t>동천(유)</t>
  </si>
  <si>
    <t>경성주류성남</t>
  </si>
  <si>
    <t>태흥(유)성남</t>
  </si>
  <si>
    <t>삼풍주류(유)</t>
  </si>
  <si>
    <t>해성주류(주)</t>
  </si>
  <si>
    <t>진원(유)성남</t>
  </si>
  <si>
    <t>두성(유)</t>
  </si>
  <si>
    <t>정성주류</t>
  </si>
  <si>
    <t>(유)청담주류</t>
  </si>
  <si>
    <t>대원(유)</t>
  </si>
  <si>
    <t>(유)미담</t>
  </si>
  <si>
    <t>북창기업(주)</t>
  </si>
  <si>
    <t>두손주류(주)</t>
  </si>
  <si>
    <t>나산주류상사_인서울CC</t>
  </si>
  <si>
    <t>이스타항공(주)인천</t>
  </si>
  <si>
    <t>용천물산㈜</t>
  </si>
  <si>
    <t>산성주류(주)</t>
  </si>
  <si>
    <t>성아종합주류(유)</t>
  </si>
  <si>
    <t>심도상사합명</t>
  </si>
  <si>
    <t>극동주류(명)</t>
  </si>
  <si>
    <t>부흥상사㈜</t>
  </si>
  <si>
    <t>(주)대한항공_에델바이스</t>
  </si>
  <si>
    <t>금파주류합병</t>
  </si>
  <si>
    <t>대명주류상사(주)</t>
  </si>
  <si>
    <t>소사합동(유)</t>
  </si>
  <si>
    <t>서부상사경기</t>
  </si>
  <si>
    <t>부인상사부천</t>
  </si>
  <si>
    <t>성진상사주식</t>
  </si>
  <si>
    <t>부림주류(유)</t>
  </si>
  <si>
    <t>연일주류김포</t>
  </si>
  <si>
    <t>미래종합유통</t>
  </si>
  <si>
    <t>백경주류(명)</t>
  </si>
  <si>
    <t>김포종합주류상사(명)</t>
  </si>
  <si>
    <t>대화주류(주)_프랜차이즈</t>
  </si>
  <si>
    <t>남부상사(유)</t>
  </si>
  <si>
    <t>현대주류(주)</t>
  </si>
  <si>
    <t>동부주류시흥</t>
  </si>
  <si>
    <t>서영주류판매(유)_고래맥주창고</t>
  </si>
  <si>
    <t>서영주류판매(유)_ThursdayParty</t>
  </si>
  <si>
    <t>대흥주류</t>
  </si>
  <si>
    <t>안흥주류시흥</t>
  </si>
  <si>
    <t>건국종합주류</t>
  </si>
  <si>
    <t>대림종합시흥</t>
  </si>
  <si>
    <t>조은주류 합명회사</t>
  </si>
  <si>
    <t>송정주류(유)</t>
  </si>
  <si>
    <t>광덕주류(유)</t>
  </si>
  <si>
    <t>대한주류안산</t>
  </si>
  <si>
    <t>안산주류안산</t>
  </si>
  <si>
    <t>백전주류(주)</t>
  </si>
  <si>
    <t>(자)케이주류</t>
  </si>
  <si>
    <t>의창실업(주)_더블린</t>
  </si>
  <si>
    <t>대영주류(주)</t>
  </si>
  <si>
    <t>세광주류마포</t>
  </si>
  <si>
    <t>가야주류㈜</t>
  </si>
  <si>
    <t>아리랑대방</t>
  </si>
  <si>
    <t>보민㈜</t>
  </si>
  <si>
    <t>서울주류합동</t>
  </si>
  <si>
    <t>구로합동상사(유)</t>
  </si>
  <si>
    <t>성주실업(유)</t>
  </si>
  <si>
    <t>우현종합주류</t>
  </si>
  <si>
    <t>재영유통(주)</t>
  </si>
  <si>
    <t>의양상사(주)</t>
  </si>
  <si>
    <t>의정상사(주)</t>
  </si>
  <si>
    <t>용우상사(유)_슈가레이</t>
  </si>
  <si>
    <t>충무주류(주)</t>
  </si>
  <si>
    <t>선호상사(주)</t>
  </si>
  <si>
    <t>임창상사(주)</t>
  </si>
  <si>
    <t>세계주류(주)신림_고양하치장</t>
  </si>
  <si>
    <t>대정 주식회사_고양하치장</t>
  </si>
  <si>
    <t>정현종합인천</t>
  </si>
  <si>
    <t>의창실업(주)</t>
  </si>
  <si>
    <t>다함주류(유)</t>
  </si>
  <si>
    <t>진두유통(유)</t>
  </si>
  <si>
    <t>고양상사(주)</t>
  </si>
  <si>
    <t>삼정주판(주)</t>
  </si>
  <si>
    <t>성포주류(주)</t>
  </si>
  <si>
    <t>대정 주식회사_용용선생</t>
  </si>
  <si>
    <t>대정 주식회사_고양하치장_용용선생</t>
  </si>
  <si>
    <t>경일주류(주)</t>
  </si>
  <si>
    <t>삼정주류경기</t>
  </si>
  <si>
    <t>백운상사 주식회사</t>
  </si>
  <si>
    <t>태정종합인천</t>
  </si>
  <si>
    <t>청마주류 주식회사</t>
  </si>
  <si>
    <t>대양상사인천</t>
  </si>
  <si>
    <t>광덕상사인천</t>
  </si>
  <si>
    <t>대신주류(주)</t>
  </si>
  <si>
    <t>인일상사(명)</t>
  </si>
  <si>
    <t>삼일주류(유)</t>
  </si>
  <si>
    <t>세진주류(유)</t>
  </si>
  <si>
    <t>태영주류(유)</t>
  </si>
  <si>
    <t>세명주류(유)</t>
  </si>
  <si>
    <t>통일종합주류(유)</t>
  </si>
  <si>
    <t>영일흥산(유)</t>
  </si>
  <si>
    <t>하나주류유한회사</t>
  </si>
  <si>
    <t>삼풍(주)</t>
  </si>
  <si>
    <t>금성주류(주)</t>
  </si>
  <si>
    <t>신림주류판매상사(유)</t>
  </si>
  <si>
    <t>모닝코리아(주)</t>
  </si>
  <si>
    <t>다함주류(유)_코르크</t>
  </si>
  <si>
    <t>주식회사 동북아체인본부</t>
  </si>
  <si>
    <t>진양상사인천</t>
  </si>
  <si>
    <t>진양상사(주)_송쭈집</t>
  </si>
  <si>
    <t>한성주류㈜</t>
  </si>
  <si>
    <t>현대종합주류 유한회사</t>
  </si>
  <si>
    <t>합동상사인천</t>
  </si>
  <si>
    <t>옹진합동상사</t>
  </si>
  <si>
    <t>삼화주류(주)</t>
  </si>
  <si>
    <t>보광주류인천</t>
  </si>
  <si>
    <t>인천상사(주)</t>
  </si>
  <si>
    <t>부평상사㈜</t>
  </si>
  <si>
    <t>풍성주류(유)</t>
  </si>
  <si>
    <t>해동상사인천</t>
  </si>
  <si>
    <t>중부상사인천</t>
  </si>
  <si>
    <t>동영㈜</t>
  </si>
  <si>
    <t>삼성주류㈜</t>
  </si>
  <si>
    <t>제일상사인천</t>
  </si>
  <si>
    <t>호연주류 주식회사</t>
  </si>
  <si>
    <t>삼광주류인천</t>
  </si>
  <si>
    <t>만두유통(유)_공동집배송</t>
  </si>
  <si>
    <t>영풍통합(합)</t>
  </si>
  <si>
    <t>용화상사(주)</t>
  </si>
  <si>
    <t>신성주류신월</t>
  </si>
  <si>
    <t>정진주류상사(주)</t>
  </si>
  <si>
    <t>흥창기업 주식회사</t>
  </si>
  <si>
    <t>만두유통(유)_아웃백</t>
  </si>
  <si>
    <t>김태훈</t>
  </si>
  <si>
    <t>부성주류(주)</t>
  </si>
  <si>
    <t>대도실업(주)</t>
  </si>
  <si>
    <t>남성상사(주)</t>
  </si>
  <si>
    <t>동래상사(주)</t>
  </si>
  <si>
    <t>삼진(주)</t>
  </si>
  <si>
    <t>해동주류(주)</t>
  </si>
  <si>
    <t>유원상사(자)</t>
  </si>
  <si>
    <t>보성주류(주)</t>
  </si>
  <si>
    <t>해성주류판매주식회사</t>
  </si>
  <si>
    <t>제일종합주류(유)</t>
  </si>
  <si>
    <t>동원상사(유)</t>
  </si>
  <si>
    <t>대동상사(유)부산</t>
  </si>
  <si>
    <t>옥포주류판매상사(자)</t>
  </si>
  <si>
    <t>주식회사 덕원</t>
  </si>
  <si>
    <t>삼일상사(유)</t>
  </si>
  <si>
    <t>국제주류(유)</t>
  </si>
  <si>
    <t>동남(주)부산</t>
  </si>
  <si>
    <t>서천(주)</t>
  </si>
  <si>
    <t>청림상사(유)</t>
  </si>
  <si>
    <t>대천상사(자)</t>
  </si>
  <si>
    <t>세일주류(합자)</t>
  </si>
  <si>
    <t>우리주류(유)</t>
  </si>
  <si>
    <t>풍국상사(합자)</t>
  </si>
  <si>
    <t>미래종합주류(합)</t>
  </si>
  <si>
    <t>한미상사(주)</t>
  </si>
  <si>
    <t>삼정상사(주)</t>
  </si>
  <si>
    <t>신도(주)</t>
  </si>
  <si>
    <t>신부창(유)</t>
  </si>
  <si>
    <t>청인상사(합)</t>
  </si>
  <si>
    <t>우성종합주류(합)</t>
  </si>
  <si>
    <t>부덕종합주류(주)</t>
  </si>
  <si>
    <t>거제제일주판(자)</t>
  </si>
  <si>
    <t>거제주류판매상사(자)</t>
  </si>
  <si>
    <t>일진(주)</t>
  </si>
  <si>
    <t>태일상사(주)</t>
  </si>
  <si>
    <t>국일(주)</t>
  </si>
  <si>
    <t>세일주류 주식회사</t>
  </si>
  <si>
    <t>미래주류주식회사</t>
  </si>
  <si>
    <t>한려주류판매(자)</t>
  </si>
  <si>
    <t>일승(유한회사)</t>
  </si>
  <si>
    <t>대림(주)</t>
  </si>
  <si>
    <t>일류상사(합자)</t>
  </si>
  <si>
    <t>대일상사(주)</t>
  </si>
  <si>
    <t>신진상사(자)</t>
  </si>
  <si>
    <t>도천상사(유)</t>
  </si>
  <si>
    <t>영남주류(유)</t>
  </si>
  <si>
    <t>충무주류판매(주)</t>
  </si>
  <si>
    <t>금진종합주류상사(합)</t>
  </si>
  <si>
    <t>하동주류판매상사(명)</t>
  </si>
  <si>
    <t>온천주류(자)</t>
  </si>
  <si>
    <t>강민상사 합자회사</t>
  </si>
  <si>
    <t>마창주류판매상사(유)</t>
  </si>
  <si>
    <t>한일상사(합)</t>
  </si>
  <si>
    <t>대도상사(주)</t>
  </si>
  <si>
    <t>동양상사(합)</t>
  </si>
  <si>
    <t>동국상사(자)</t>
  </si>
  <si>
    <t>밀양상사(유)</t>
  </si>
  <si>
    <t>대림주류(합명)</t>
  </si>
  <si>
    <t>보리상사(자)</t>
  </si>
  <si>
    <t>대양상사㈜</t>
  </si>
  <si>
    <t>한진상사(유)</t>
  </si>
  <si>
    <t>동부상사(합)</t>
  </si>
  <si>
    <t>진해주류판매상사(유)</t>
  </si>
  <si>
    <t>대원상사(자)</t>
  </si>
  <si>
    <t>세창상사(주)</t>
  </si>
  <si>
    <t>대백(주)</t>
  </si>
  <si>
    <t>스타수입주류(주)</t>
  </si>
  <si>
    <t>매일상사(유)</t>
  </si>
  <si>
    <t>동양종합주류 주식회사</t>
  </si>
  <si>
    <t>대한상사㈜-부산</t>
  </si>
  <si>
    <t>창성주류판매(주)</t>
  </si>
  <si>
    <t>하남주류판매상사(명)</t>
  </si>
  <si>
    <t>제일주류(합자)</t>
  </si>
  <si>
    <t>부경주류(합자)</t>
  </si>
  <si>
    <t>부림(주)</t>
  </si>
  <si>
    <t>협진상사(자)</t>
  </si>
  <si>
    <t>대원주류(자)</t>
  </si>
  <si>
    <t>(주)대송주류</t>
  </si>
  <si>
    <t>국제주류(유)_코엔엠</t>
  </si>
  <si>
    <t>유원상사(자)_클럽디</t>
  </si>
  <si>
    <t>삼진(주)CJ</t>
  </si>
  <si>
    <t>삼진텍사스거리</t>
  </si>
  <si>
    <t>보성주류(주)한산마리나리조트</t>
  </si>
  <si>
    <t>동남㈜부산CC</t>
  </si>
  <si>
    <t>삼진(주)빅바틀용</t>
  </si>
  <si>
    <t>이화주류(주)</t>
  </si>
  <si>
    <t>우리주류주식회사</t>
  </si>
  <si>
    <t>신현주류판매상사(합자)</t>
  </si>
  <si>
    <t>김환성</t>
  </si>
  <si>
    <t>신세계수입주류 합자회사</t>
  </si>
  <si>
    <t>예원</t>
  </si>
  <si>
    <t>세계주류(주)마산</t>
  </si>
  <si>
    <t>한양유통합자회사</t>
  </si>
  <si>
    <t>홍익주류합자회사</t>
  </si>
  <si>
    <t>신일주류(유)</t>
  </si>
  <si>
    <t>신용주류(주)</t>
  </si>
  <si>
    <t>부광(주)</t>
  </si>
  <si>
    <t>태광상사(자)</t>
  </si>
  <si>
    <t>범창주류 주식회사</t>
  </si>
  <si>
    <t>남도유통 주식회사</t>
  </si>
  <si>
    <t>덕신주류(유)</t>
  </si>
  <si>
    <t>오션수입주류(주)</t>
  </si>
  <si>
    <t>대동유통(주)</t>
  </si>
  <si>
    <t>한얼주류</t>
  </si>
  <si>
    <t>(주)세화주류</t>
  </si>
  <si>
    <t>유창주류(유)</t>
  </si>
  <si>
    <t>한일주류판매상사㈜</t>
  </si>
  <si>
    <t>동림주류(명)</t>
  </si>
  <si>
    <t>나인주류(주)</t>
  </si>
  <si>
    <t>창신주류(유)</t>
  </si>
  <si>
    <t>천년종합주류 유한회사</t>
  </si>
  <si>
    <t>진복주류판매상사(유)</t>
  </si>
  <si>
    <t>대신주류판매상사(유)</t>
  </si>
  <si>
    <t>제일종합주류판매상사(유)</t>
  </si>
  <si>
    <t>태성주류(주)</t>
  </si>
  <si>
    <t>경남주류판매(주)</t>
  </si>
  <si>
    <t>한국주류(유)</t>
  </si>
  <si>
    <t>창원주류판매(주)</t>
  </si>
  <si>
    <t>대양유통(유)</t>
  </si>
  <si>
    <t>성광종합주류(유)</t>
  </si>
  <si>
    <t>동하주류판매(주)</t>
  </si>
  <si>
    <t>모아주류합자회사</t>
  </si>
  <si>
    <t>삼능상사(합)</t>
  </si>
  <si>
    <t>대한유통주식회사</t>
  </si>
  <si>
    <t>동부주류판매상사(자)</t>
  </si>
  <si>
    <t>태평양주류판매(주)</t>
  </si>
  <si>
    <t>까치상사(합자)</t>
  </si>
  <si>
    <t>삼양주류판매상사(유)</t>
  </si>
  <si>
    <t>신진상사(주)창원</t>
  </si>
  <si>
    <t>삼일주류판매상사(명)</t>
  </si>
  <si>
    <t>에이스주류(유)</t>
  </si>
  <si>
    <t>일신주류(주)</t>
  </si>
  <si>
    <t>삼성주류판매상사</t>
  </si>
  <si>
    <t>스파유통(주)</t>
  </si>
  <si>
    <t>동일주류상사(주)</t>
  </si>
  <si>
    <t>삼덕주류판매(주)</t>
  </si>
  <si>
    <t>조양상사(주)</t>
  </si>
  <si>
    <t>해림상사(주)</t>
  </si>
  <si>
    <t>현대상사(주)</t>
  </si>
  <si>
    <t>남산주류(자)</t>
  </si>
  <si>
    <t>의춘주류판매상사(명)</t>
  </si>
  <si>
    <t>의령주류판매상사(유)</t>
  </si>
  <si>
    <t>장수주류(자)</t>
  </si>
  <si>
    <t>부국상사(주)</t>
  </si>
  <si>
    <t>동림상사(자)</t>
  </si>
  <si>
    <t>대성종합주류(유)</t>
  </si>
  <si>
    <t>백마(주)</t>
  </si>
  <si>
    <t>남영주류(주)부산</t>
  </si>
  <si>
    <t>리셋종합주류(주)</t>
  </si>
  <si>
    <t>동광주류(주)</t>
  </si>
  <si>
    <t>명우상사(유)</t>
  </si>
  <si>
    <t>금호상사(합자)</t>
  </si>
  <si>
    <t>왕건주류(주)</t>
  </si>
  <si>
    <t>신우(주)</t>
  </si>
  <si>
    <t>부영(주)</t>
  </si>
  <si>
    <t>신진상사(합자)</t>
  </si>
  <si>
    <t>부광주류판매 주식회사</t>
  </si>
  <si>
    <t>동성주류(유)김해</t>
  </si>
  <si>
    <t>서울주류판매상사(합)</t>
  </si>
  <si>
    <t>마산주류판매상사(유)</t>
  </si>
  <si>
    <t>고성주류판매상사(주)</t>
  </si>
  <si>
    <t>진흥상사(합자)</t>
  </si>
  <si>
    <t>경호주류판매(주)</t>
  </si>
  <si>
    <t>신합동주류판매상사(유)</t>
  </si>
  <si>
    <t>삼성상사(합자)</t>
  </si>
  <si>
    <t>금보주류(유)</t>
  </si>
  <si>
    <t>대한상사(자)</t>
  </si>
  <si>
    <t>(주)금성종합주류</t>
  </si>
  <si>
    <t>신일주류(유)_맥구피</t>
  </si>
  <si>
    <t>신세계수입주류(합)_고래맥주창고</t>
  </si>
  <si>
    <t>롯데지알에스 주식회사</t>
  </si>
  <si>
    <t>부광(주)타니</t>
  </si>
  <si>
    <t>부광(주)더베이101</t>
  </si>
  <si>
    <t>성광종합주류(주)CJ</t>
  </si>
  <si>
    <t>세정주류주식회사</t>
  </si>
  <si>
    <t>진성주류(유)</t>
  </si>
  <si>
    <t>세일주류(유)</t>
  </si>
  <si>
    <t>쓰리원(주)</t>
  </si>
  <si>
    <t>시화주류 주식회사</t>
  </si>
  <si>
    <t>삼덕주류판매(주)_백산맥주</t>
  </si>
  <si>
    <t>만화상사(유)</t>
  </si>
  <si>
    <t>신세계수입주류(합)_썰스데이파티</t>
  </si>
  <si>
    <t>김태현</t>
  </si>
  <si>
    <t>세계물산주식회사</t>
  </si>
  <si>
    <t>동천(주)</t>
  </si>
  <si>
    <t>제일주류주식회사</t>
  </si>
  <si>
    <t>삼정물산(유)</t>
  </si>
  <si>
    <t>화림물산(유)</t>
  </si>
  <si>
    <t>우일상사(유)</t>
  </si>
  <si>
    <t>신흥물산(유)</t>
  </si>
  <si>
    <t>주성물산 주식회사</t>
  </si>
  <si>
    <t>경민유통(주)</t>
  </si>
  <si>
    <t>영진(주)</t>
  </si>
  <si>
    <t>세광(주)</t>
  </si>
  <si>
    <t>용성물산(유)</t>
  </si>
  <si>
    <t>제주물산(유)</t>
  </si>
  <si>
    <t>경희 주식회사</t>
  </si>
  <si>
    <t>대안물산(주)</t>
  </si>
  <si>
    <t>우주물산(주)</t>
  </si>
  <si>
    <t>조일상사(유)</t>
  </si>
  <si>
    <t>하나(주)</t>
  </si>
  <si>
    <t>개화물산(유)</t>
  </si>
  <si>
    <t>그린 유한회사</t>
  </si>
  <si>
    <t>노나(주)</t>
  </si>
  <si>
    <t>덕성물산유한회사</t>
  </si>
  <si>
    <t>벽상주류(주)</t>
  </si>
  <si>
    <t>일신물산(유)</t>
  </si>
  <si>
    <t>제원물산(유)</t>
  </si>
  <si>
    <t>영주물산(주)</t>
  </si>
  <si>
    <t>만억주류(주)</t>
  </si>
  <si>
    <t>대성물산(주)</t>
  </si>
  <si>
    <t>골드(주)</t>
  </si>
  <si>
    <t>태양주류 주식회사</t>
  </si>
  <si>
    <t>천지물산</t>
  </si>
  <si>
    <t>프레시스(주)</t>
  </si>
  <si>
    <t>주식회사 대명주류</t>
  </si>
  <si>
    <t>김태경</t>
  </si>
  <si>
    <t>제논컴퍼니</t>
  </si>
  <si>
    <t>세계주류상사(주)대구</t>
  </si>
  <si>
    <t>황재주류(주)</t>
  </si>
  <si>
    <t>대림주류유통(주)</t>
  </si>
  <si>
    <t>에이리커컴퍼니</t>
  </si>
  <si>
    <t>에이리커컴퍼니_GOVASON</t>
  </si>
  <si>
    <t>대흥주류(주)</t>
  </si>
  <si>
    <t>우리주류</t>
  </si>
  <si>
    <t>풍산주류(주)</t>
  </si>
  <si>
    <t>화산세계주류주식회사</t>
  </si>
  <si>
    <t>화산세계주류주식회사_20LDK</t>
  </si>
  <si>
    <t>경성주류(주)</t>
  </si>
  <si>
    <t>두성주류(주)</t>
  </si>
  <si>
    <t>두산상사(주)</t>
  </si>
  <si>
    <t>두산상사(주)CJ</t>
  </si>
  <si>
    <t>호담주류</t>
  </si>
  <si>
    <t>호담주류_GOVASON</t>
  </si>
  <si>
    <t>오성주류판매(주)</t>
  </si>
  <si>
    <t>금강기업(유)</t>
  </si>
  <si>
    <t>대덕주류(주)대구</t>
  </si>
  <si>
    <t>대동주류상사(주)</t>
  </si>
  <si>
    <t>대명상사(주)</t>
  </si>
  <si>
    <t>대양종합물류(주)</t>
  </si>
  <si>
    <t>대영주류(유)</t>
  </si>
  <si>
    <t>대일상사(유)</t>
  </si>
  <si>
    <t>명성상사(합자)</t>
  </si>
  <si>
    <t>북부주류판매(주)</t>
  </si>
  <si>
    <t>삼화산업(주)</t>
  </si>
  <si>
    <t>상주기업(유)</t>
  </si>
  <si>
    <t>안동주류판매(주)</t>
  </si>
  <si>
    <t>안동중앙주류(주)</t>
  </si>
  <si>
    <t>영광주류(자)</t>
  </si>
  <si>
    <t>하나종합주류(유한)</t>
  </si>
  <si>
    <t>한국주류(주)</t>
  </si>
  <si>
    <t>한성상사(주)</t>
  </si>
  <si>
    <t>한양기업 합자회사</t>
  </si>
  <si>
    <t>한일주류판매(주)</t>
  </si>
  <si>
    <t>한진산업(자)</t>
  </si>
  <si>
    <t>한진산업(자)_GOVASON</t>
  </si>
  <si>
    <t>함창기업(유)</t>
  </si>
  <si>
    <t>해동상사(주)</t>
  </si>
  <si>
    <t>화진주류유한회사</t>
  </si>
  <si>
    <t>화창주류(주)</t>
  </si>
  <si>
    <t>제일상사(자)</t>
  </si>
  <si>
    <t>신흥기업(자)</t>
  </si>
  <si>
    <t>동양주류(주)</t>
  </si>
  <si>
    <t>남부주류(주)</t>
  </si>
  <si>
    <t>에스엠종합주류</t>
  </si>
  <si>
    <t>동부주류판매(주)</t>
  </si>
  <si>
    <t>성광주류(자)</t>
  </si>
  <si>
    <t>아성주류판매(유)</t>
  </si>
  <si>
    <t>중앙주류(주)</t>
  </si>
  <si>
    <t>동일상사(유한)</t>
  </si>
  <si>
    <t>경북주류판매(주)</t>
  </si>
  <si>
    <t>삼광산업(자)</t>
  </si>
  <si>
    <t>경상유통(주)</t>
  </si>
  <si>
    <t>세중주류(유)</t>
  </si>
  <si>
    <t>국제주류판매(주)</t>
  </si>
  <si>
    <t>김천주류상사(유)</t>
  </si>
  <si>
    <t>달성기업(주)</t>
  </si>
  <si>
    <t>대경주류(유)</t>
  </si>
  <si>
    <t>대구주류판매(주)</t>
  </si>
  <si>
    <t>봉화기업(명)</t>
  </si>
  <si>
    <t>부국(주)</t>
  </si>
  <si>
    <t>삼성합자회사</t>
  </si>
  <si>
    <t>신성상사(유)</t>
  </si>
  <si>
    <t>진성주류(주)</t>
  </si>
  <si>
    <t>평화주류(주)</t>
  </si>
  <si>
    <t>동구상사(유)</t>
  </si>
  <si>
    <t>대하주류판매(주)</t>
  </si>
  <si>
    <t>동서주류(자)</t>
  </si>
  <si>
    <t>동하주류(주)</t>
  </si>
  <si>
    <t>산동상사(주)</t>
  </si>
  <si>
    <t>삼익주류판매(주)</t>
  </si>
  <si>
    <t>영남주류(주)</t>
  </si>
  <si>
    <t>영남주류_GOLF</t>
  </si>
  <si>
    <t>창신(주)</t>
  </si>
  <si>
    <t>태성기업(자)</t>
  </si>
  <si>
    <t>경일산업(주)</t>
  </si>
  <si>
    <t>대가(자)</t>
  </si>
  <si>
    <t>대동상사(주)</t>
  </si>
  <si>
    <t>대한주류(주)대구</t>
  </si>
  <si>
    <t>동창기업(주)</t>
  </si>
  <si>
    <t>세계주류(유)경북</t>
  </si>
  <si>
    <t>현대종합주류(자)</t>
  </si>
  <si>
    <t>대상주류(주)</t>
  </si>
  <si>
    <t>가은기업(유)</t>
  </si>
  <si>
    <t>청구주류(주)</t>
  </si>
  <si>
    <t>봉명기업(유)</t>
  </si>
  <si>
    <t>(유)합동상사</t>
  </si>
  <si>
    <t>소백주류합자회사</t>
  </si>
  <si>
    <t>황재주류(주)_BAY CLUB</t>
  </si>
  <si>
    <t>문경기업(유)</t>
  </si>
  <si>
    <t>금상종합주류</t>
  </si>
  <si>
    <t>야성주류(명)</t>
  </si>
  <si>
    <t>보성주류상사(유)</t>
  </si>
  <si>
    <t>동서주류(유)</t>
  </si>
  <si>
    <t>대양산업(주)</t>
  </si>
  <si>
    <t>안풍산업(주)</t>
  </si>
  <si>
    <t>영남유통(주)</t>
  </si>
  <si>
    <t>금탑주류종합상사(자)</t>
  </si>
  <si>
    <t>경일주류(주)CJ</t>
  </si>
  <si>
    <t>경동산업(주)경북</t>
  </si>
  <si>
    <t>신화기업(주)</t>
  </si>
  <si>
    <t>예천기업(유)</t>
  </si>
  <si>
    <t>극동주류(주)</t>
  </si>
  <si>
    <t>동부주류(주)</t>
  </si>
  <si>
    <t>부강주류(주)</t>
  </si>
  <si>
    <t>현대주류판매(주)</t>
  </si>
  <si>
    <t>협신주류(주)</t>
  </si>
  <si>
    <t>한국주류(자)</t>
  </si>
  <si>
    <t>대국주류 주식회사</t>
  </si>
  <si>
    <t>효성주류(주)</t>
  </si>
  <si>
    <t>수성수입주류 합자회사(대구)</t>
  </si>
  <si>
    <t>국제주류(주)</t>
  </si>
  <si>
    <t>대성주류상사(주)</t>
  </si>
  <si>
    <t>경일주류판매(주)</t>
  </si>
  <si>
    <t>대동산업(주)</t>
  </si>
  <si>
    <t>동도주류판매(주)</t>
  </si>
  <si>
    <t>동도주류판매(주) 이스트힐</t>
  </si>
  <si>
    <t>삼풍기업(주)</t>
  </si>
  <si>
    <t>한빛종합주류(유)</t>
  </si>
  <si>
    <t>영천주류판매(주)</t>
  </si>
  <si>
    <t>영양기업(자)</t>
  </si>
  <si>
    <t>대덕주류상사(주)</t>
  </si>
  <si>
    <t>영덕주류 합명회사</t>
  </si>
  <si>
    <t>영화주류판매(주)</t>
  </si>
  <si>
    <t>제일주류(자)</t>
  </si>
  <si>
    <t>금호주류판매(주)</t>
  </si>
  <si>
    <t>영일만상사(자)</t>
  </si>
  <si>
    <t>금오주류(합)</t>
  </si>
  <si>
    <t>세광상사(합자)</t>
  </si>
  <si>
    <t>청송기업 합자회사</t>
  </si>
  <si>
    <t>계림주류판매(주)</t>
  </si>
  <si>
    <t>현대주류판매(자)</t>
  </si>
  <si>
    <t>제일실업(자)</t>
  </si>
  <si>
    <t>대하상사(자)</t>
  </si>
  <si>
    <t>경주주류판매(주)</t>
  </si>
  <si>
    <t>합자회사동해종합주류</t>
  </si>
  <si>
    <t>(합자)남해주류판매</t>
  </si>
  <si>
    <t>(자)해동산업</t>
  </si>
  <si>
    <t>(자)서부기업</t>
  </si>
  <si>
    <t>동양주류(주)_DAEGUFC</t>
  </si>
  <si>
    <t>(합)보성주류</t>
  </si>
  <si>
    <t>유한회사 에이스주류</t>
  </si>
  <si>
    <t>양찬모</t>
  </si>
  <si>
    <t>충청주류상사(주)</t>
  </si>
  <si>
    <t>대광상사(유)</t>
  </si>
  <si>
    <t>대전합동상사(주)</t>
  </si>
  <si>
    <t>세계양주(자)</t>
  </si>
  <si>
    <t>장천주류(주)</t>
  </si>
  <si>
    <t>동서주류상사(자)</t>
  </si>
  <si>
    <t>아성주류상사㈜</t>
  </si>
  <si>
    <t>청원주류상사(합)</t>
  </si>
  <si>
    <t>한밭상사(주)</t>
  </si>
  <si>
    <t>유일상사(주)</t>
  </si>
  <si>
    <t>백락주류상사(주)</t>
  </si>
  <si>
    <t>청호주류합명회사</t>
  </si>
  <si>
    <t>대덕주류(유)서구</t>
  </si>
  <si>
    <t>대덕상사(주)</t>
  </si>
  <si>
    <t>계룡주류상사(주)</t>
  </si>
  <si>
    <t>대신상사(유)</t>
  </si>
  <si>
    <t>동산주류상사(주)</t>
  </si>
  <si>
    <t>동양합동상사(주)</t>
  </si>
  <si>
    <t>삼사주류(주)</t>
  </si>
  <si>
    <t>삼성주류대전</t>
  </si>
  <si>
    <t>송림주류(주)</t>
  </si>
  <si>
    <t>송원주류(주)</t>
  </si>
  <si>
    <t>아성상사(자)</t>
  </si>
  <si>
    <t>아성상사(자)CJ</t>
  </si>
  <si>
    <t>아성주류상사㈜CJ</t>
  </si>
  <si>
    <t>우리주류상사(대전)</t>
  </si>
  <si>
    <t>하나주류(유)</t>
  </si>
  <si>
    <t>현대주류주식회사</t>
  </si>
  <si>
    <t>삼성주류(주)</t>
  </si>
  <si>
    <t>통일상사(주)</t>
  </si>
  <si>
    <t>공주합동상사(자)</t>
  </si>
  <si>
    <t>광천주류(자)</t>
  </si>
  <si>
    <t>금산주류합동(자)</t>
  </si>
  <si>
    <t>남부주류상사(합)</t>
  </si>
  <si>
    <t>남산주류합동자(자)</t>
  </si>
  <si>
    <t>논산주류합동(자)</t>
  </si>
  <si>
    <t>당진상사(유)</t>
  </si>
  <si>
    <t>대덕상사(자)</t>
  </si>
  <si>
    <t>대두주류상사(합)</t>
  </si>
  <si>
    <t>대명주류상사(유)</t>
  </si>
  <si>
    <t>대한주류상사(유)</t>
  </si>
  <si>
    <t>동양상사(유)</t>
  </si>
  <si>
    <t>동양상사(유)_비체펠리스</t>
  </si>
  <si>
    <t>무한종합주류상사</t>
  </si>
  <si>
    <t>백제주류합동(명)</t>
  </si>
  <si>
    <t>부여군주류합동(명)</t>
  </si>
  <si>
    <t>삼화상사(자)</t>
  </si>
  <si>
    <t>서광주류합동 합자회사</t>
  </si>
  <si>
    <t>서령주류 유한회사</t>
  </si>
  <si>
    <t>서림주류상사(유)</t>
  </si>
  <si>
    <t>서산주류판매(주)</t>
  </si>
  <si>
    <t>서천주류상사(합)</t>
  </si>
  <si>
    <t>서해주류(유)</t>
  </si>
  <si>
    <t>신도(주)충남</t>
  </si>
  <si>
    <t>신도상사 유한회사</t>
  </si>
  <si>
    <t>신진(주)</t>
  </si>
  <si>
    <t>신태산주류합동</t>
  </si>
  <si>
    <t>신한주류 유한회사</t>
  </si>
  <si>
    <t>아성주류 주식회사</t>
  </si>
  <si>
    <t>안면상사(유)</t>
  </si>
  <si>
    <t>예산주류(주)</t>
  </si>
  <si>
    <t>오비상사(유)</t>
  </si>
  <si>
    <t>온양상사(주)</t>
  </si>
  <si>
    <t>우리주류상사(자)</t>
  </si>
  <si>
    <t>전풍상사(자)</t>
  </si>
  <si>
    <t>제일상사(유)(보령)</t>
  </si>
  <si>
    <t>종합주류(합)</t>
  </si>
  <si>
    <t>집합상사(자)</t>
  </si>
  <si>
    <t>창성(주)</t>
  </si>
  <si>
    <t>천안상사(주)</t>
  </si>
  <si>
    <t>천안종합주류상사(자)</t>
  </si>
  <si>
    <t>천원합동(자)</t>
  </si>
  <si>
    <t>청마주류(주)</t>
  </si>
  <si>
    <t>청양주류(유)</t>
  </si>
  <si>
    <t>충무상사(자)</t>
  </si>
  <si>
    <t>태산주류합동 유한회사</t>
  </si>
  <si>
    <t>태안주류판매(자)</t>
  </si>
  <si>
    <t>태왕상사(자)</t>
  </si>
  <si>
    <t>태창상사(자)</t>
  </si>
  <si>
    <t>평화상사(유)</t>
  </si>
  <si>
    <t>한길상사(자)</t>
  </si>
  <si>
    <t>합덕주류상사(합)</t>
  </si>
  <si>
    <t>현대주류상사(자)</t>
  </si>
  <si>
    <t>홍성주류합자회사</t>
  </si>
  <si>
    <t>황산종합주류 합자회사</t>
  </si>
  <si>
    <t>(유)세종주류</t>
  </si>
  <si>
    <t>제일주류합동(주)옥천</t>
  </si>
  <si>
    <t>하나종합주류주식회사</t>
  </si>
  <si>
    <t>광성합동상사(자)</t>
  </si>
  <si>
    <t>괴산주류합동(자)</t>
  </si>
  <si>
    <t>국원주류합동(자)</t>
  </si>
  <si>
    <t>대광(자)</t>
  </si>
  <si>
    <t>대광주류합동상사(자)</t>
  </si>
  <si>
    <t>대양물산(주)</t>
  </si>
  <si>
    <t>대원종합주류(명)</t>
  </si>
  <si>
    <t>국제수입주류합자회사</t>
  </si>
  <si>
    <t>대진종합주류(유)</t>
  </si>
  <si>
    <t>대청종합주류상사(유)</t>
  </si>
  <si>
    <t>동부주류합동(자)</t>
  </si>
  <si>
    <t>보은주류합동(자)</t>
  </si>
  <si>
    <t>삼화상사(주)</t>
  </si>
  <si>
    <t>새한물산(주)</t>
  </si>
  <si>
    <t>서원주류상사(유)</t>
  </si>
  <si>
    <t>성림상사(주)</t>
  </si>
  <si>
    <t>영동주류합동(유)</t>
  </si>
  <si>
    <t>영신주류판매상사(유)</t>
  </si>
  <si>
    <t>예성주류합동(자)</t>
  </si>
  <si>
    <t>우리주류(주)</t>
  </si>
  <si>
    <t>우진상사(자)</t>
  </si>
  <si>
    <t>원진주류(주)</t>
  </si>
  <si>
    <t>음성상사(주)</t>
  </si>
  <si>
    <t>음성합동상사(자)</t>
  </si>
  <si>
    <t>제일상사(유)(청주)</t>
  </si>
  <si>
    <t>중앙주류(유)</t>
  </si>
  <si>
    <t>중원주류상사(명)</t>
  </si>
  <si>
    <t>진천주류합동상사(자)</t>
  </si>
  <si>
    <t>청남주류(자)</t>
  </si>
  <si>
    <t>청원주류상사(유)</t>
  </si>
  <si>
    <t>청주주류상사(유)</t>
  </si>
  <si>
    <t>충북종합주류(주)</t>
  </si>
  <si>
    <t>충청주류(자)</t>
  </si>
  <si>
    <t>탄금합동(명)</t>
  </si>
  <si>
    <t>한국주류 합자회사</t>
  </si>
  <si>
    <t>합자회사 엔에스주류</t>
  </si>
  <si>
    <t>금성종합주류상사(주)</t>
  </si>
  <si>
    <t>에어로케이항공(주)</t>
  </si>
  <si>
    <t>에어로케이항공(주)_DF</t>
  </si>
  <si>
    <t>신태산주류합동(유)_프린세스CC</t>
  </si>
  <si>
    <t>양찬모</t>
    <phoneticPr fontId="11" type="noConversion"/>
  </si>
  <si>
    <t>공릉동 원조 멸치국수</t>
  </si>
  <si>
    <t>동산주류상사(주)_유성CC</t>
  </si>
  <si>
    <t>산수주류 유한회사</t>
  </si>
  <si>
    <t>김성원</t>
  </si>
  <si>
    <t>(주)서울랜드_쌈이맛</t>
  </si>
  <si>
    <t>오진환</t>
  </si>
  <si>
    <t>(주)밸류플러스</t>
  </si>
  <si>
    <t>변재영</t>
  </si>
  <si>
    <t>고창주류(유)</t>
  </si>
  <si>
    <t>가든주류(유)</t>
  </si>
  <si>
    <t>강남종합광주</t>
  </si>
  <si>
    <t>우진주류(주)</t>
  </si>
  <si>
    <t>동양상사광주</t>
  </si>
  <si>
    <t>동화상사광주</t>
  </si>
  <si>
    <t>광주맥주판매</t>
  </si>
  <si>
    <t>동서주류광주</t>
  </si>
  <si>
    <t>화순주류합동(자)</t>
  </si>
  <si>
    <t>아시아주류상</t>
  </si>
  <si>
    <t>부성상사(주)</t>
  </si>
  <si>
    <t>제일주류화순</t>
  </si>
  <si>
    <t>진광상사(유)</t>
  </si>
  <si>
    <t>호남상사광주</t>
  </si>
  <si>
    <t>한일상사전남</t>
  </si>
  <si>
    <t>성왕상사전남</t>
  </si>
  <si>
    <t>성왕상사(명)CJ</t>
  </si>
  <si>
    <t>신세계주류상사(유)전</t>
  </si>
  <si>
    <t>진성주류합동(창업)</t>
  </si>
  <si>
    <t>협심상사(자)</t>
  </si>
  <si>
    <t>청수주류광주</t>
  </si>
  <si>
    <t>대운주류전남</t>
  </si>
  <si>
    <t>현대상사전남</t>
  </si>
  <si>
    <t>무등상사(주)</t>
  </si>
  <si>
    <t>광산주류판매</t>
  </si>
  <si>
    <t>금광상사(자)</t>
  </si>
  <si>
    <t>금천주류전남</t>
  </si>
  <si>
    <t>대광(주)</t>
  </si>
  <si>
    <t>장성합신상사</t>
  </si>
  <si>
    <t>황룡주류상사</t>
  </si>
  <si>
    <t>광주상사(자)</t>
  </si>
  <si>
    <t>광일종합광산</t>
  </si>
  <si>
    <t>국진상사광주</t>
  </si>
  <si>
    <t>신우주류광주</t>
  </si>
  <si>
    <t>합동상사전남</t>
  </si>
  <si>
    <t>해동상사광주</t>
  </si>
  <si>
    <t>담양주류합동(주)</t>
  </si>
  <si>
    <t>전주호남주류</t>
  </si>
  <si>
    <t>전주유통(주)</t>
  </si>
  <si>
    <t>제일주류전북</t>
  </si>
  <si>
    <t>동아상사전북</t>
  </si>
  <si>
    <t>전북종합주류</t>
  </si>
  <si>
    <t>신진종합주류</t>
  </si>
  <si>
    <t>신정주류익산</t>
  </si>
  <si>
    <t>백화양주상사</t>
  </si>
  <si>
    <t>군산주류군산</t>
  </si>
  <si>
    <t>샘물종합주류</t>
  </si>
  <si>
    <t>송민체인유한</t>
  </si>
  <si>
    <t>성원상사전북</t>
  </si>
  <si>
    <t>신일상사전북</t>
  </si>
  <si>
    <t>변산주류전북</t>
  </si>
  <si>
    <t>조일주류상사</t>
  </si>
  <si>
    <t>군장종합주류</t>
  </si>
  <si>
    <t>서해주류전북</t>
  </si>
  <si>
    <t>한일주류상사</t>
  </si>
  <si>
    <t>천마주류상사</t>
  </si>
  <si>
    <t>현대주류군산</t>
  </si>
  <si>
    <t>우리주류전북</t>
  </si>
  <si>
    <t>종합주류전북</t>
  </si>
  <si>
    <t>합동전북</t>
  </si>
  <si>
    <t>옥구상사(유)</t>
  </si>
  <si>
    <t>한국주류전주</t>
  </si>
  <si>
    <t>협신상사전북</t>
  </si>
  <si>
    <t>대광상사전북</t>
  </si>
  <si>
    <t>부안주류전북</t>
  </si>
  <si>
    <t>번영주류(유)</t>
  </si>
  <si>
    <t>근양주류전북</t>
  </si>
  <si>
    <t>샘물주류(유)</t>
  </si>
  <si>
    <t>동보종합주류전주</t>
  </si>
  <si>
    <t>동양상사전북</t>
  </si>
  <si>
    <t>마한주류익산</t>
  </si>
  <si>
    <t>승화주류전북</t>
  </si>
  <si>
    <t>영진주류전북</t>
  </si>
  <si>
    <t>전주양주합동</t>
  </si>
  <si>
    <t>조은주류전북</t>
  </si>
  <si>
    <t>협동상사장수</t>
  </si>
  <si>
    <t>백제주류전북</t>
  </si>
  <si>
    <t>정읍주류판매(현진종합)</t>
  </si>
  <si>
    <t>우리주류합동상사(유)</t>
  </si>
  <si>
    <t>무진상사전북</t>
  </si>
  <si>
    <t>신라상사전북</t>
  </si>
  <si>
    <t>익산주류전북</t>
  </si>
  <si>
    <t>전주상사전주</t>
  </si>
  <si>
    <t>정일주류전북</t>
  </si>
  <si>
    <t>주류통합공사</t>
  </si>
  <si>
    <t>통합상사무주</t>
  </si>
  <si>
    <t>남원제이주류</t>
  </si>
  <si>
    <t>제일주류임실</t>
  </si>
  <si>
    <t>대방주류남원</t>
  </si>
  <si>
    <t>무주주류 합동상사(유)</t>
  </si>
  <si>
    <t>세계종합주류(유)</t>
  </si>
  <si>
    <t>호남상사(유)</t>
  </si>
  <si>
    <t>동남주류(유)</t>
  </si>
  <si>
    <t>해동주류상사(유)</t>
  </si>
  <si>
    <t>전주종합주류 유한회사</t>
  </si>
  <si>
    <t>월드주류</t>
  </si>
  <si>
    <t>삼원상사(유)</t>
  </si>
  <si>
    <t>삼우상사익산</t>
  </si>
  <si>
    <t>대성주류순천(신세계순천)</t>
  </si>
  <si>
    <t>태흥물산전남</t>
  </si>
  <si>
    <t>대일주류전남</t>
  </si>
  <si>
    <t>한국주류전남</t>
  </si>
  <si>
    <t>여수맥주여수</t>
  </si>
  <si>
    <t>목포주류전남</t>
  </si>
  <si>
    <t>보광주류전남</t>
  </si>
  <si>
    <t>오복상사전남</t>
  </si>
  <si>
    <t>영진주류전남</t>
  </si>
  <si>
    <t>남해상사전남</t>
  </si>
  <si>
    <t>미래주류(자)</t>
  </si>
  <si>
    <t>대한상사전남</t>
  </si>
  <si>
    <t>소천주류전남</t>
  </si>
  <si>
    <t>전남종합주류</t>
  </si>
  <si>
    <t>한성종합전남</t>
  </si>
  <si>
    <t>오대양주류</t>
  </si>
  <si>
    <t>청도주류상사</t>
  </si>
  <si>
    <t>곡성주류전남</t>
  </si>
  <si>
    <t>대신주류보성</t>
  </si>
  <si>
    <t>히트주류상사</t>
  </si>
  <si>
    <t>우리주류전남</t>
  </si>
  <si>
    <t>순천주류전남</t>
  </si>
  <si>
    <t>팔마주류상사</t>
  </si>
  <si>
    <t>하나주류전남</t>
  </si>
  <si>
    <t>여수주류전남</t>
  </si>
  <si>
    <t>문성상사해남</t>
  </si>
  <si>
    <t>강진주류전남</t>
  </si>
  <si>
    <t>중앙상사곡성</t>
  </si>
  <si>
    <t>한려주류서광</t>
  </si>
  <si>
    <t>금호주류전남</t>
  </si>
  <si>
    <t>남부유통전남</t>
  </si>
  <si>
    <t>대화주류전남</t>
  </si>
  <si>
    <t>덕성상사광양</t>
  </si>
  <si>
    <t>동부주류전남</t>
  </si>
  <si>
    <t>삼산주류전남</t>
  </si>
  <si>
    <t>상운주류전남</t>
  </si>
  <si>
    <t>서남주류전남</t>
  </si>
  <si>
    <t>성실상사전남</t>
  </si>
  <si>
    <t>신성주류전남</t>
  </si>
  <si>
    <t>천보상사여수</t>
  </si>
  <si>
    <t>한신주류전남</t>
  </si>
  <si>
    <t>호남제일주류</t>
  </si>
  <si>
    <t>영동주류전남</t>
  </si>
  <si>
    <t>승달주류전남</t>
  </si>
  <si>
    <t>신봉황(합자)</t>
  </si>
  <si>
    <t>봉황주류고흥</t>
  </si>
  <si>
    <t>거산주류보성</t>
  </si>
  <si>
    <t>건국주류전남</t>
  </si>
  <si>
    <t>낭주상사전남</t>
  </si>
  <si>
    <t>대동주류전남</t>
  </si>
  <si>
    <t>마로현주류(자)</t>
  </si>
  <si>
    <t>영산주류전남</t>
  </si>
  <si>
    <t>유달상사전남</t>
  </si>
  <si>
    <t>진남주류여수</t>
  </si>
  <si>
    <t>해일주류상사</t>
  </si>
  <si>
    <t>옥주주류상사</t>
  </si>
  <si>
    <t>삼보상사</t>
  </si>
  <si>
    <t>영광판매전남</t>
  </si>
  <si>
    <t>제일주류해남</t>
  </si>
  <si>
    <t>해남주류판매(주)</t>
  </si>
  <si>
    <t>옥당주류판매(명)</t>
  </si>
  <si>
    <t>금강주류판매(자)</t>
  </si>
  <si>
    <t>유성주류상사 합자회사</t>
  </si>
  <si>
    <t>순광주류상사(합명)</t>
  </si>
  <si>
    <t>백산주류</t>
  </si>
  <si>
    <t>광양연합주류상사(명)</t>
  </si>
  <si>
    <t>문암상사(유한)</t>
  </si>
  <si>
    <t>보해물산(유)</t>
  </si>
  <si>
    <t>녹동주류(자)</t>
  </si>
  <si>
    <t>대성주류 유한회사</t>
  </si>
  <si>
    <t>우성상사(명)</t>
  </si>
  <si>
    <t>나로주류(합명)</t>
  </si>
  <si>
    <t>진로주류상사(자)</t>
  </si>
  <si>
    <t>진도주류상사(유)</t>
  </si>
  <si>
    <t>소안주류합동판매상사(명)</t>
  </si>
  <si>
    <t>장흥주류</t>
  </si>
  <si>
    <t>바른주류</t>
  </si>
  <si>
    <t>(합)고금주류</t>
  </si>
  <si>
    <t>(자)완도군주류판매공사</t>
  </si>
  <si>
    <t>합명회사천지주류</t>
  </si>
  <si>
    <t>성실주류판매(자)</t>
  </si>
  <si>
    <t>(유)디오니_스포츠</t>
  </si>
  <si>
    <t>주식회사 다담리테일</t>
  </si>
  <si>
    <t>주식회사 풍년종합상사</t>
  </si>
  <si>
    <t>일신중국주류</t>
  </si>
  <si>
    <t>일호물산(주)</t>
  </si>
  <si>
    <t>주식회사 부산종합유통</t>
  </si>
  <si>
    <t>(주)종로맥가</t>
  </si>
  <si>
    <t>제일주류판매(주)</t>
  </si>
  <si>
    <t>원창상사(유)</t>
  </si>
  <si>
    <t>보천상사(유한)</t>
  </si>
  <si>
    <t>시화주류(유)</t>
  </si>
  <si>
    <t>논홉</t>
  </si>
  <si>
    <t>(주)이반유통</t>
  </si>
  <si>
    <t>엠디워크스</t>
  </si>
  <si>
    <t>트레이드제이</t>
  </si>
  <si>
    <t>교촌필방</t>
  </si>
  <si>
    <t>아모제푸드(주)_테르메덴</t>
  </si>
  <si>
    <t>대영주류(주)_갓잇</t>
  </si>
  <si>
    <t>서초식품(주)</t>
  </si>
  <si>
    <t>한국쥬맥스(주)</t>
  </si>
  <si>
    <t>주식회사글로벌제너레이션</t>
  </si>
  <si>
    <t>주식회사 송정디앤비</t>
  </si>
  <si>
    <t>(주)오늘연구소</t>
  </si>
  <si>
    <t>아람주류주식회사</t>
  </si>
  <si>
    <t>대일주류합자회사</t>
  </si>
  <si>
    <t>제논 컴퍼니</t>
  </si>
  <si>
    <t>주식회사 엠에스컴퍼니</t>
  </si>
  <si>
    <t>서유통</t>
  </si>
  <si>
    <t>에스디마켓</t>
  </si>
  <si>
    <t>씨제이프레시웨이주식회사</t>
  </si>
  <si>
    <t>김태현</t>
    <phoneticPr fontId="11" type="noConversion"/>
  </si>
  <si>
    <t>플러스월드(주)</t>
  </si>
  <si>
    <t>월드 에프앤비</t>
  </si>
  <si>
    <t>한일주류(유)</t>
  </si>
  <si>
    <t>금성주류(합명)</t>
  </si>
  <si>
    <t>한마음주류(명)</t>
  </si>
  <si>
    <t>대성주류판매(주)</t>
  </si>
  <si>
    <t>광신주류(주)</t>
  </si>
  <si>
    <t>와룡주류(유)</t>
  </si>
  <si>
    <t>진산주류(주)</t>
  </si>
  <si>
    <t>경성주류(유)</t>
  </si>
  <si>
    <t>금산주류판매(명)</t>
  </si>
  <si>
    <t>현대주류판매상사(명)</t>
  </si>
  <si>
    <t>통일주류판매상사(유)</t>
  </si>
  <si>
    <t>동아주류판매상사(유)</t>
  </si>
  <si>
    <t>금성주류판매(주)</t>
  </si>
  <si>
    <t>신양상사(자)</t>
  </si>
  <si>
    <t>회원(주)</t>
  </si>
  <si>
    <t>진주주류판매(주)</t>
  </si>
  <si>
    <t>아시아주류 합명회사</t>
  </si>
  <si>
    <t>가람주류(유)</t>
  </si>
  <si>
    <t>서부상사(자)</t>
  </si>
  <si>
    <t>대양주류판매(주)</t>
  </si>
  <si>
    <t>광신주류㈜_클럽디</t>
  </si>
  <si>
    <t>원수입주류 합자회사</t>
  </si>
  <si>
    <t>청설주류(자)</t>
  </si>
  <si>
    <t>삼성양주(합)</t>
  </si>
  <si>
    <t>울주주류판매상사(주)</t>
  </si>
  <si>
    <t>복성상사(주)</t>
  </si>
  <si>
    <t>신정주류(명)</t>
  </si>
  <si>
    <t>삼원주류판매상사(주)</t>
  </si>
  <si>
    <t>신세계주류판매주식회사</t>
  </si>
  <si>
    <t>울산주판(명)</t>
  </si>
  <si>
    <t>동인주류(주)</t>
  </si>
  <si>
    <t>신진주류(주)</t>
  </si>
  <si>
    <t>남송종합주류</t>
  </si>
  <si>
    <t>국제주류판매상사(명)</t>
  </si>
  <si>
    <t>모든주류 유한회사</t>
  </si>
  <si>
    <t>동평주류합자회사</t>
  </si>
  <si>
    <t>유한회사 금성종합주류</t>
  </si>
  <si>
    <t>태화주류(주)</t>
  </si>
  <si>
    <t>비에스 주식회사</t>
  </si>
  <si>
    <t xml:space="preserve">티웨이항공(주) </t>
  </si>
  <si>
    <t>티웨이항공(주)_청주</t>
  </si>
  <si>
    <t>우주상사주식회사</t>
  </si>
  <si>
    <t>대진주류(주)_Hotel</t>
  </si>
  <si>
    <t>대한주류판매상사(명)</t>
  </si>
  <si>
    <t>아람종합종류</t>
  </si>
  <si>
    <t>씨엘소다</t>
  </si>
  <si>
    <t>대성음료</t>
  </si>
  <si>
    <t>주식회사 판다주류제주</t>
  </si>
  <si>
    <t>서린주류주식회사_모닝</t>
  </si>
  <si>
    <t>대명주류상사(유)_한림용인cc</t>
  </si>
  <si>
    <t>우성식품(주)_페스티벌</t>
  </si>
  <si>
    <t>태정종합주류상사유한</t>
  </si>
  <si>
    <t>동광주류판매(주)</t>
  </si>
  <si>
    <t>원천종합주류(유)인천공항</t>
  </si>
  <si>
    <t>세계주류(주)춘천_ALSM</t>
  </si>
  <si>
    <t>정현종합주류주식회사_프랜차이즈</t>
  </si>
  <si>
    <t>주식회사 태양수입주류</t>
  </si>
  <si>
    <t>엠케이펍(MKPUB)</t>
  </si>
  <si>
    <t>유일상사(주)_MacFries</t>
  </si>
  <si>
    <t>명성주류(주)</t>
  </si>
  <si>
    <t>주식회사 위펀풀필먼트</t>
  </si>
  <si>
    <t>대덕상사(주)_Thursday Party</t>
  </si>
  <si>
    <t>성북칠성(주)</t>
  </si>
  <si>
    <t>주식회사 파라타항공</t>
  </si>
  <si>
    <t>서영주류판매(유)_CLUB</t>
  </si>
  <si>
    <t>주식회사 세정종합주류</t>
  </si>
  <si>
    <t>바다주류(주)_브릭클럽</t>
  </si>
  <si>
    <t>(명) 삼화주판</t>
  </si>
  <si>
    <t>주식회사 대정_호텔</t>
  </si>
  <si>
    <t>86581</t>
  </si>
  <si>
    <t>(명)평창주류합동</t>
  </si>
  <si>
    <t>알에이크리에이티브</t>
  </si>
  <si>
    <t>청호주류합명회사_디아너스CC</t>
  </si>
  <si>
    <t>Team</t>
    <phoneticPr fontId="11" type="noConversion"/>
  </si>
  <si>
    <t>Busan</t>
  </si>
  <si>
    <t>KRSR222</t>
  </si>
  <si>
    <t>KRSR248</t>
  </si>
  <si>
    <t>KRSR186</t>
  </si>
  <si>
    <t>KRSR237</t>
  </si>
  <si>
    <t>KRSR032</t>
  </si>
  <si>
    <t>KRSR086</t>
  </si>
  <si>
    <t>KRSR210</t>
  </si>
  <si>
    <t>KRSR190</t>
  </si>
  <si>
    <t>KRSR191</t>
  </si>
  <si>
    <t>KRSR123</t>
  </si>
  <si>
    <t>KRSR183</t>
  </si>
  <si>
    <t>KRSR066</t>
  </si>
  <si>
    <t>Daejeon</t>
  </si>
  <si>
    <t>KRSR318</t>
  </si>
  <si>
    <t>Gwangju</t>
  </si>
  <si>
    <t>KRSR195</t>
  </si>
  <si>
    <t>Daegu</t>
    <phoneticPr fontId="3" type="noConversion"/>
  </si>
  <si>
    <t>Jeju</t>
    <phoneticPr fontId="3" type="noConversion"/>
  </si>
  <si>
    <t>DDE</t>
    <phoneticPr fontId="3" type="noConversion"/>
  </si>
  <si>
    <t>Outlet Name</t>
    <phoneticPr fontId="3" type="noConversion"/>
  </si>
  <si>
    <t>2025Y</t>
    <phoneticPr fontId="3" type="noConversion"/>
  </si>
  <si>
    <t>2026Y</t>
    <phoneticPr fontId="3" type="noConversion"/>
  </si>
  <si>
    <t>램플러스(장평)</t>
  </si>
  <si>
    <t>펠리체</t>
  </si>
  <si>
    <t>통파이브 옥포</t>
  </si>
  <si>
    <t>아비아토</t>
  </si>
  <si>
    <t>남매양꼬치</t>
  </si>
  <si>
    <t>문향 수제꼬치구이전문점</t>
  </si>
  <si>
    <t>일미양꼬치 김해율하</t>
  </si>
  <si>
    <t xml:space="preserve">한인연 </t>
  </si>
  <si>
    <t>우선생양꼬치</t>
  </si>
  <si>
    <t>태화루 1975</t>
  </si>
  <si>
    <t>대륙훠궈 광안점</t>
  </si>
  <si>
    <t>몽원양다리구이</t>
  </si>
  <si>
    <t>영빈루양꼬치</t>
  </si>
  <si>
    <t>초원양꼬치 양산증산</t>
  </si>
  <si>
    <t>영원반점</t>
  </si>
  <si>
    <t>화연훠궈 온산</t>
  </si>
  <si>
    <t>홍아루</t>
  </si>
  <si>
    <t>미향양꼬치마라탕</t>
  </si>
  <si>
    <t>홍명반점</t>
  </si>
  <si>
    <t>용용선생 동래점</t>
  </si>
  <si>
    <t>오복양꼬치(아주)</t>
  </si>
  <si>
    <t>일가양꼬치(창원)</t>
  </si>
  <si>
    <t>초원양꼬치 창원명서</t>
  </si>
  <si>
    <t>용용선생 서면점</t>
  </si>
  <si>
    <t>용용선생 경성대점</t>
  </si>
  <si>
    <t>용용선생 부산하단점</t>
  </si>
  <si>
    <t>두만강 양꼬치</t>
  </si>
  <si>
    <t xml:space="preserve">취영루 </t>
  </si>
  <si>
    <t>목양촌몽골양다리바베큐(명촌점)</t>
  </si>
  <si>
    <t>목양촌몽골양다리바베큐(달동점)</t>
  </si>
  <si>
    <t>목양촌몽골양다리바베큐(삼산점)</t>
  </si>
  <si>
    <t>용용선생 창원상남점</t>
  </si>
  <si>
    <t>용용선생 부산남포점</t>
  </si>
  <si>
    <t>홍등 2호점</t>
  </si>
  <si>
    <t>음</t>
  </si>
  <si>
    <t>탕화쿵푸마라탕 반여점</t>
  </si>
  <si>
    <t>탕화쿵푸마라탕 센텀점</t>
  </si>
  <si>
    <t>연화양</t>
  </si>
  <si>
    <t>양과의하루 남포본점</t>
  </si>
  <si>
    <t>별이빛나는밤에</t>
  </si>
  <si>
    <t>학성양꼬치</t>
  </si>
  <si>
    <t>투엔양꼬치</t>
  </si>
  <si>
    <t>하얼빈샤브샤브 양꼬치무한리필(정관점)</t>
  </si>
  <si>
    <t>하얼빈샤브샤브 양꼬치무한리필(좌동점)</t>
  </si>
  <si>
    <t>와와양꼬치 명지점</t>
  </si>
  <si>
    <t>발해양꼬치</t>
  </si>
  <si>
    <t>천성훠궈</t>
  </si>
  <si>
    <t>동북양꼬치</t>
  </si>
  <si>
    <t>팔복양꼬치</t>
  </si>
  <si>
    <t>연길양꼬치(마산)</t>
  </si>
  <si>
    <t>양화대교</t>
  </si>
  <si>
    <t>중동양꼬치</t>
  </si>
  <si>
    <t>사천훠거양꼬치 경성대점</t>
  </si>
  <si>
    <t>연길양꼬치(밀양)</t>
  </si>
  <si>
    <t>사천훠거양꼬치 남포점</t>
  </si>
  <si>
    <t>팔도객잔(문현)</t>
  </si>
  <si>
    <t>한반도양꼬치</t>
  </si>
  <si>
    <t>맛있는양꼬치</t>
  </si>
  <si>
    <t>왕가양갈비(울산중구)</t>
  </si>
  <si>
    <t>구구구양꼬치(언양)</t>
  </si>
  <si>
    <t>크랩크랩(하단점)</t>
  </si>
  <si>
    <t>동해짬뽕</t>
  </si>
  <si>
    <t>씨엔 중식당(울산)</t>
  </si>
  <si>
    <t>용용선생 울산삼산점</t>
  </si>
  <si>
    <t>용용선생 진주평거점</t>
  </si>
  <si>
    <t>용용선생 광안리점</t>
  </si>
  <si>
    <t>부산갈매기</t>
  </si>
  <si>
    <t>비턴 상동점</t>
  </si>
  <si>
    <t>비턴 삼천포</t>
  </si>
  <si>
    <t>올바른양꼬치</t>
  </si>
  <si>
    <t>가자세계맥주</t>
  </si>
  <si>
    <t>비턴 능포점</t>
  </si>
  <si>
    <t>비턴 보물섬남해점</t>
  </si>
  <si>
    <t>소풍가자</t>
  </si>
  <si>
    <t>하이디라오 부산점</t>
  </si>
  <si>
    <t>꽁시만두</t>
  </si>
  <si>
    <t>대지양</t>
  </si>
  <si>
    <t>라라관 서면</t>
  </si>
  <si>
    <t>양통령양꼬치</t>
  </si>
  <si>
    <t>대자연경성양육관(연산점)</t>
  </si>
  <si>
    <t>객잔</t>
  </si>
  <si>
    <t>양옥(해운대점)</t>
  </si>
  <si>
    <t>아난티 루</t>
  </si>
  <si>
    <t>비턴 범일점</t>
  </si>
  <si>
    <t>17번지 닭한마리 양정점</t>
  </si>
  <si>
    <t>마라섬</t>
  </si>
  <si>
    <t>흥안양꼬지</t>
  </si>
  <si>
    <t>선비양꼬치</t>
  </si>
  <si>
    <t>종로맥가 창원소답점</t>
  </si>
  <si>
    <t>삼천리 양꼬치</t>
  </si>
  <si>
    <t>연길 양꼬치</t>
  </si>
  <si>
    <t>사천훠궈양꼬치 경대본점</t>
  </si>
  <si>
    <t>중남해(경성대)</t>
  </si>
  <si>
    <t>천리향양꼬치(당감)</t>
  </si>
  <si>
    <t>화락</t>
  </si>
  <si>
    <t>북경양꼬치(진주)</t>
  </si>
  <si>
    <t>화명숯불양꼬치(북구)</t>
  </si>
  <si>
    <t>여기다양꼬치2호점(진주)</t>
  </si>
  <si>
    <t>마더훠궈</t>
  </si>
  <si>
    <t>송화강</t>
  </si>
  <si>
    <t>홍위양꼬치&amp;훠궈</t>
  </si>
  <si>
    <t>천지양꼬치</t>
  </si>
  <si>
    <t>문향 통영</t>
  </si>
  <si>
    <t>칭베이 훠궈양꼬치</t>
  </si>
  <si>
    <t>조선양꼬치</t>
  </si>
  <si>
    <t>청년감자탕순대국</t>
  </si>
  <si>
    <t>장백산</t>
  </si>
  <si>
    <t>칸양</t>
  </si>
  <si>
    <t>호호양꼬치</t>
  </si>
  <si>
    <t>라무진(연산)</t>
  </si>
  <si>
    <t>취원(광안)</t>
  </si>
  <si>
    <t>취원(연산)</t>
  </si>
  <si>
    <t>여기다양꼬치 평거5호점</t>
  </si>
  <si>
    <t>대풍(주례)</t>
  </si>
  <si>
    <t>상하이다이닝</t>
  </si>
  <si>
    <t>조선양꼬치(수영)</t>
  </si>
  <si>
    <t>구구구양꼬치 동래점</t>
  </si>
  <si>
    <t>양꼬치&amp;마라훠궈(해운대)</t>
  </si>
  <si>
    <t>제이비어</t>
  </si>
  <si>
    <t>호야</t>
  </si>
  <si>
    <t>쫜쫜허궈서면점</t>
  </si>
  <si>
    <t>진(JIN)</t>
  </si>
  <si>
    <t>대본진</t>
  </si>
  <si>
    <t>락꼬치</t>
  </si>
  <si>
    <t>왕자맥주 개금점</t>
  </si>
  <si>
    <t>왕자맥주 신개금점</t>
  </si>
  <si>
    <t>왕자맥주 주례점</t>
  </si>
  <si>
    <t>왕자맥주 부민점</t>
  </si>
  <si>
    <t>왕자맥주 감전점</t>
  </si>
  <si>
    <t>소림대풍 동래점</t>
  </si>
  <si>
    <t>비턴 부산시청점</t>
  </si>
  <si>
    <t>그양양꼬치</t>
  </si>
  <si>
    <t>북경양꼬치(남천)</t>
  </si>
  <si>
    <t>구구구양꼬치 하단점</t>
  </si>
  <si>
    <t>메오</t>
  </si>
  <si>
    <t>후구구양꼬치구이</t>
  </si>
  <si>
    <t>퐈퐈</t>
  </si>
  <si>
    <t>17번지묵은지닭한마리 양정점</t>
  </si>
  <si>
    <t>17번지묵은지닭한마리 미남점</t>
  </si>
  <si>
    <t>CDC수영</t>
  </si>
  <si>
    <t>딤타오 (창원점)</t>
  </si>
  <si>
    <t>라임비어</t>
  </si>
  <si>
    <t>한인연 (창원상남)</t>
  </si>
  <si>
    <t>중경객잔</t>
  </si>
  <si>
    <t>상하이다이닝 양정점</t>
  </si>
  <si>
    <t>상하이다이닝 안락점</t>
  </si>
  <si>
    <t>상하이다이닝 초읍</t>
  </si>
  <si>
    <t>홍바오</t>
  </si>
  <si>
    <t>스티켓</t>
  </si>
  <si>
    <t>별밤세계맥주</t>
  </si>
  <si>
    <t>은하수짬뽕</t>
  </si>
  <si>
    <t>사천훠거양꼬치 서면점</t>
  </si>
  <si>
    <t>일가인 우리집</t>
  </si>
  <si>
    <t>차화</t>
  </si>
  <si>
    <t>동방미식</t>
  </si>
  <si>
    <t>여의루</t>
  </si>
  <si>
    <t>양과의하루(남포점)</t>
  </si>
  <si>
    <t>똥술포차</t>
  </si>
  <si>
    <t>도깨비치킨</t>
  </si>
  <si>
    <t>설탕원탁가라오케</t>
  </si>
  <si>
    <t>창월</t>
  </si>
  <si>
    <t>중앙양고기</t>
  </si>
  <si>
    <t>경상남도</t>
  </si>
  <si>
    <t>거제시</t>
  </si>
  <si>
    <t>장평로4길 35 1층</t>
  </si>
  <si>
    <t>김해시</t>
  </si>
  <si>
    <t>인제로200(삼방동)</t>
  </si>
  <si>
    <t>옥포로4길 18(옥포동)</t>
  </si>
  <si>
    <t>부산시</t>
  </si>
  <si>
    <t>해운대구</t>
  </si>
  <si>
    <t>우동1로20번길 27-19, 1층</t>
  </si>
  <si>
    <t>창원시</t>
  </si>
  <si>
    <t>진해구 용원동 1228-4</t>
  </si>
  <si>
    <t>통영시</t>
  </si>
  <si>
    <t>무전1길 64-22</t>
  </si>
  <si>
    <t>율하1로81번길 18-14</t>
  </si>
  <si>
    <t>의창구 원이대로261번길8</t>
  </si>
  <si>
    <t>구남로 23-1 2층</t>
  </si>
  <si>
    <t>함안군</t>
  </si>
  <si>
    <t>군북면 함마대로372</t>
  </si>
  <si>
    <t>수영구</t>
  </si>
  <si>
    <t>광안해변로279번길 5</t>
  </si>
  <si>
    <t>울산시</t>
  </si>
  <si>
    <t>울주군</t>
  </si>
  <si>
    <t>신온8길 6-5</t>
  </si>
  <si>
    <t>온산읍 신경10길 8</t>
  </si>
  <si>
    <t>양산시</t>
  </si>
  <si>
    <t>물금읍 서들로 142</t>
  </si>
  <si>
    <t>동면 금로6길 32-1</t>
  </si>
  <si>
    <t>온산읍 덕남로 53</t>
  </si>
  <si>
    <t>북구</t>
  </si>
  <si>
    <t>동대14길 6</t>
  </si>
  <si>
    <t>웅촌면 삼동로 1621</t>
  </si>
  <si>
    <t>사하구</t>
  </si>
  <si>
    <t>낙동대로 199번길 23</t>
  </si>
  <si>
    <t>동래구</t>
  </si>
  <si>
    <t>명륜동 553-12</t>
  </si>
  <si>
    <t>아주1로3길 14</t>
  </si>
  <si>
    <t>성산구 용지로113번길 15</t>
  </si>
  <si>
    <t>의창구 우곡로217번길 24</t>
  </si>
  <si>
    <t>진구</t>
  </si>
  <si>
    <t>동천로95번길 15</t>
  </si>
  <si>
    <t>남구</t>
  </si>
  <si>
    <t>용소로13번길 13</t>
  </si>
  <si>
    <t>낙동남로 1423번길</t>
  </si>
  <si>
    <t>의창구 원이대로261번길 6-19 봉곡동</t>
  </si>
  <si>
    <t>의창구 원이대로258번길 3</t>
  </si>
  <si>
    <t>명촌2길 8 지상1층</t>
  </si>
  <si>
    <t>삼산로199번길 19</t>
  </si>
  <si>
    <t>정동로80번길 7-1</t>
  </si>
  <si>
    <t>성산구 마디미로43번길 10</t>
  </si>
  <si>
    <t>광복로 17-1, 1층</t>
  </si>
  <si>
    <t>기장군</t>
  </si>
  <si>
    <t>정관읍 구연로 3</t>
  </si>
  <si>
    <t>경남</t>
  </si>
  <si>
    <t>인제로200번길 3-13</t>
  </si>
  <si>
    <t>선수촌로 79 2층</t>
  </si>
  <si>
    <t>재반로 95-1 2층</t>
  </si>
  <si>
    <t>용소로8번길 46</t>
  </si>
  <si>
    <t>광복로22-5</t>
  </si>
  <si>
    <t>명지오션시티4로 60</t>
  </si>
  <si>
    <t>가구거리68</t>
  </si>
  <si>
    <t>기장읍 대청로 16 ,2층</t>
  </si>
  <si>
    <t>정관7로 33-3</t>
  </si>
  <si>
    <t>좌동 1461 -3</t>
  </si>
  <si>
    <t>명지국제1로 56-1</t>
  </si>
  <si>
    <t>부산진구</t>
  </si>
  <si>
    <t>가야대로784번길 60</t>
  </si>
  <si>
    <t>의창구</t>
  </si>
  <si>
    <t>창이대로107번길 8</t>
  </si>
  <si>
    <t>광복로 6번길 11-1</t>
  </si>
  <si>
    <t>평산로159번길37 2층</t>
  </si>
  <si>
    <t>마산합포구</t>
  </si>
  <si>
    <t>월영북로 7</t>
  </si>
  <si>
    <t>명지오션시티12로 75 103호</t>
  </si>
  <si>
    <t>좌동순환로468번길 30</t>
  </si>
  <si>
    <t>용소로13번길 16 2층</t>
  </si>
  <si>
    <t>밀양시</t>
  </si>
  <si>
    <t>백민로9길 10-1</t>
  </si>
  <si>
    <t>부평1길 7</t>
  </si>
  <si>
    <t>고동골로4번길 11, 2층</t>
  </si>
  <si>
    <t xml:space="preserve">명안로17번길 99 1층 </t>
  </si>
  <si>
    <t>진주시</t>
  </si>
  <si>
    <t>충의로 20-22 한라빌딩 107호</t>
  </si>
  <si>
    <t>문화의거리 8</t>
  </si>
  <si>
    <t>삼남읍 교동로 122</t>
  </si>
  <si>
    <t>낙동대로 484</t>
  </si>
  <si>
    <t>북면 천주로 571, 1층</t>
  </si>
  <si>
    <t>해수욕장10길 18, 4층</t>
  </si>
  <si>
    <t>왕생로40번길 25, 1층</t>
  </si>
  <si>
    <t>평거로14번길 12, 1층</t>
  </si>
  <si>
    <t>광남로 144</t>
  </si>
  <si>
    <t>명지오션시티4로 75</t>
  </si>
  <si>
    <t>거제중앙로 1793</t>
  </si>
  <si>
    <t>사천시</t>
  </si>
  <si>
    <t>벌리9길 34</t>
  </si>
  <si>
    <t>남강로309번길 48</t>
  </si>
  <si>
    <t>역사동길 63-52</t>
  </si>
  <si>
    <t>능포로2길 55</t>
  </si>
  <si>
    <t>남해군</t>
  </si>
  <si>
    <t>화전로78번길 1</t>
  </si>
  <si>
    <t>진해구 용원동 1213-1</t>
  </si>
  <si>
    <t>중앙대로 175</t>
  </si>
  <si>
    <t>광안해변로284번길 38, 1층 124호</t>
  </si>
  <si>
    <t>구남로24번길 29</t>
  </si>
  <si>
    <t>동천로 47-1</t>
  </si>
  <si>
    <t>삼계중앙로 77</t>
  </si>
  <si>
    <t>연제구</t>
  </si>
  <si>
    <t>연산동 590-47</t>
  </si>
  <si>
    <t>중앙대로910번길 15</t>
  </si>
  <si>
    <t>대천로 106번길 16</t>
  </si>
  <si>
    <t>기장해안로 267-7</t>
  </si>
  <si>
    <t>조방로49번길 15</t>
  </si>
  <si>
    <t>연수로 39</t>
  </si>
  <si>
    <t>동천로 53</t>
  </si>
  <si>
    <t>미남로 22</t>
  </si>
  <si>
    <t>물금읍 화합10길 10-1</t>
  </si>
  <si>
    <t>소답동 111-9</t>
  </si>
  <si>
    <t>중앙1길 5</t>
  </si>
  <si>
    <t>대학로145번길 9, 1층</t>
  </si>
  <si>
    <t>용소로14번길 16</t>
  </si>
  <si>
    <t>용소로 42</t>
  </si>
  <si>
    <t>동평로74,2층</t>
  </si>
  <si>
    <t>사상구</t>
  </si>
  <si>
    <t>낙동대로1210번길 79 1층</t>
  </si>
  <si>
    <t>가좌동 481-15</t>
  </si>
  <si>
    <t>금곡대로303번길 70</t>
  </si>
  <si>
    <t>도동천로 78-1</t>
  </si>
  <si>
    <t>서전로10번길 41-2</t>
  </si>
  <si>
    <t>양정동 386-10</t>
  </si>
  <si>
    <t>석사로11</t>
  </si>
  <si>
    <t>번화1로44번길 23, 103호</t>
  </si>
  <si>
    <t>광도면 죽림4로 23-19, 106호</t>
  </si>
  <si>
    <t>부산광역시</t>
  </si>
  <si>
    <t>중앙대로 391, 2층</t>
  </si>
  <si>
    <t>무학로49번길 111, 1~2층</t>
  </si>
  <si>
    <t>과학산단2로20번길 12, 1층</t>
  </si>
  <si>
    <t>물금읍</t>
  </si>
  <si>
    <t>범어리 2703-3</t>
  </si>
  <si>
    <t>양달로6</t>
  </si>
  <si>
    <t>사직북로57번길 47-1</t>
  </si>
  <si>
    <t>부산</t>
  </si>
  <si>
    <t>고분로13번길 25</t>
  </si>
  <si>
    <t>광안해변로287</t>
  </si>
  <si>
    <t>연산동 1499-27</t>
  </si>
  <si>
    <t>신평공원길 11번길 12-5</t>
  </si>
  <si>
    <t>주례로 13</t>
  </si>
  <si>
    <t>연제구 쌍미천로151번길 30</t>
  </si>
  <si>
    <t>명륜로129번다길 10 1층</t>
  </si>
  <si>
    <t>구남로12번길 4 , 2층</t>
  </si>
  <si>
    <t>부산 중구 광복로85번길 3-1</t>
  </si>
  <si>
    <t xml:space="preserve"> 서전로68번길 15 1층</t>
  </si>
  <si>
    <t xml:space="preserve"> 중앙대로 672 5층</t>
  </si>
  <si>
    <t>장유면 번화1로68번길 19</t>
  </si>
  <si>
    <t>재반로105, 재송동</t>
  </si>
  <si>
    <t>중앙대로116번길 5</t>
  </si>
  <si>
    <t>엄광로16, 개금현대아이파크상가1층</t>
  </si>
  <si>
    <t>백양대로 313, 1층</t>
  </si>
  <si>
    <t>백양대로 497 1층</t>
  </si>
  <si>
    <t>구덕로232번길 14</t>
  </si>
  <si>
    <t>학감대로270 1층 101호</t>
  </si>
  <si>
    <t>안남로 104</t>
  </si>
  <si>
    <t>쌍미천로161번길 20</t>
  </si>
  <si>
    <t>명륜로129번나길 17</t>
  </si>
  <si>
    <t>남천동로10번길 18 101호</t>
  </si>
  <si>
    <t xml:space="preserve">부산시 </t>
  </si>
  <si>
    <t>부산 사하구 낙동남로1423번길 75 1층</t>
  </si>
  <si>
    <t>울산광역시</t>
  </si>
  <si>
    <t>태화동 117-2</t>
  </si>
  <si>
    <t>일산진3길27</t>
  </si>
  <si>
    <t>성남동 89-2 1층</t>
  </si>
  <si>
    <t>연수로39</t>
  </si>
  <si>
    <t>미남로54</t>
  </si>
  <si>
    <t>민락로32 1층</t>
  </si>
  <si>
    <t>성산구</t>
  </si>
  <si>
    <t>상남동 22-7</t>
  </si>
  <si>
    <t>여고로24, 1층</t>
  </si>
  <si>
    <t>상남동 21-10</t>
  </si>
  <si>
    <t>마산회원구</t>
  </si>
  <si>
    <t>회원동서로 13, 1층</t>
  </si>
  <si>
    <t>동평로406번길 40</t>
  </si>
  <si>
    <t>안락로 28-2</t>
  </si>
  <si>
    <t>새싹로 272</t>
  </si>
  <si>
    <t>전포대로210번길 15</t>
  </si>
  <si>
    <t>서전로68번길 38-6</t>
  </si>
  <si>
    <t>유엔평화로 11</t>
  </si>
  <si>
    <t>사상로223번길 23</t>
  </si>
  <si>
    <t>서면로68번길 53</t>
  </si>
  <si>
    <t>금정구</t>
  </si>
  <si>
    <t>금강로321번길 60 1층</t>
  </si>
  <si>
    <t>낙동대로563번안길 60 순창빌 1층 차화</t>
  </si>
  <si>
    <t>40계단길 3 ,2층</t>
  </si>
  <si>
    <t>청사포로58번길 117 101호</t>
  </si>
  <si>
    <t>고원준</t>
  </si>
  <si>
    <t>정성훈</t>
  </si>
  <si>
    <t>장현호</t>
  </si>
  <si>
    <t>김경호</t>
  </si>
  <si>
    <t>강영민</t>
  </si>
  <si>
    <t>변진현</t>
  </si>
  <si>
    <t>장군양꼬치</t>
  </si>
  <si>
    <t>미송생고기</t>
  </si>
  <si>
    <t>선산곱창</t>
  </si>
  <si>
    <t>우야지막창(범어)</t>
  </si>
  <si>
    <t>죽도양꼬치</t>
  </si>
  <si>
    <t>ZOT비어</t>
  </si>
  <si>
    <t>모다클럽</t>
  </si>
  <si>
    <t>맥주터널 수성</t>
  </si>
  <si>
    <t>맥주터널 칠곡</t>
  </si>
  <si>
    <t>폭탄주이모네</t>
  </si>
  <si>
    <t>맥주터널 김천</t>
  </si>
  <si>
    <t>백화정</t>
  </si>
  <si>
    <t>비턴(옥동)</t>
  </si>
  <si>
    <t>짝만두(웅부점)</t>
  </si>
  <si>
    <t>쏘시지요(반야월)</t>
  </si>
  <si>
    <t>훠궈앤</t>
  </si>
  <si>
    <t>투다리(이동)</t>
  </si>
  <si>
    <t>장풍</t>
  </si>
  <si>
    <t>598양꼬치</t>
  </si>
  <si>
    <t>맥주터널(김천)</t>
  </si>
  <si>
    <t>효자동양갈비</t>
  </si>
  <si>
    <t>하노이맥주밤거리(옥포)</t>
  </si>
  <si>
    <t>하노이맥주밤거리(석적)</t>
  </si>
  <si>
    <t>용용선생(수성점)</t>
  </si>
  <si>
    <t>용용선생(포항영일대점)</t>
  </si>
  <si>
    <t>용용선생(구미인동점)</t>
  </si>
  <si>
    <t>용용선생(영남대)</t>
  </si>
  <si>
    <t>승리양꼬치</t>
  </si>
  <si>
    <t>호우유양꼬치</t>
  </si>
  <si>
    <t>효자양꼬치</t>
  </si>
  <si>
    <t>훌랄라치킨</t>
  </si>
  <si>
    <t>몽돌치킨</t>
  </si>
  <si>
    <t>뉴욕야시장</t>
  </si>
  <si>
    <t>쉘비어</t>
  </si>
  <si>
    <t>설램양꼬치</t>
  </si>
  <si>
    <t>쌍사양꼬치</t>
  </si>
  <si>
    <t>송도켄터키</t>
  </si>
  <si>
    <t>충칭훠궈마라탕</t>
  </si>
  <si>
    <t>대한양꼬치</t>
  </si>
  <si>
    <t>텐미미양꼬치</t>
  </si>
  <si>
    <t>텐미미양꼬치(영천)</t>
  </si>
  <si>
    <t>홍대양꼬치</t>
  </si>
  <si>
    <t>란쥬</t>
  </si>
  <si>
    <t>홍홍양꼬치</t>
  </si>
  <si>
    <t>숯불천하</t>
  </si>
  <si>
    <t>연길양꼬치</t>
  </si>
  <si>
    <t>백두산양꼬치(신천)</t>
  </si>
  <si>
    <t>홍콩맨션(하양)</t>
  </si>
  <si>
    <t>미가숯불꼬치</t>
  </si>
  <si>
    <t>해룡</t>
  </si>
  <si>
    <t>미촨랭라이브</t>
  </si>
  <si>
    <t>유월</t>
  </si>
  <si>
    <t>행복한우야지</t>
  </si>
  <si>
    <t>연맥</t>
  </si>
  <si>
    <t>태양부양꼬치</t>
  </si>
  <si>
    <t>타이완다이닝</t>
  </si>
  <si>
    <t>만정</t>
  </si>
  <si>
    <t>교맥동</t>
  </si>
  <si>
    <t>금강산돌구이</t>
  </si>
  <si>
    <t>스몰비어</t>
  </si>
  <si>
    <t>만계화본점</t>
  </si>
  <si>
    <t>만계화범어점</t>
  </si>
  <si>
    <t>만계화고성점</t>
  </si>
  <si>
    <t>태화루양꼬치</t>
  </si>
  <si>
    <t>오백원양꼬치</t>
  </si>
  <si>
    <t>눈꽃을나누다</t>
  </si>
  <si>
    <t>미촨랭</t>
  </si>
  <si>
    <t>IF</t>
  </si>
  <si>
    <t>짜이</t>
  </si>
  <si>
    <t>용용선생(계명대점)</t>
  </si>
  <si>
    <t>맥주터널(장기점)</t>
  </si>
  <si>
    <t>맥주터널(복현점)</t>
  </si>
  <si>
    <t>용용선생(동성로)</t>
  </si>
  <si>
    <t>몽골양다리바베큐</t>
  </si>
  <si>
    <t>아롬맥주</t>
  </si>
  <si>
    <t>롱썸</t>
  </si>
  <si>
    <t>용용선생(광장코아점)</t>
  </si>
  <si>
    <t>용용선생(칠곡점)</t>
  </si>
  <si>
    <t>미스터세븐복현</t>
  </si>
  <si>
    <t>명덕반점</t>
  </si>
  <si>
    <t>사천노마훠궈</t>
  </si>
  <si>
    <t>미스터양꼬치</t>
  </si>
  <si>
    <t>뮤직인</t>
  </si>
  <si>
    <t>알로하</t>
  </si>
  <si>
    <t>청양궁양꼬치</t>
  </si>
  <si>
    <t>덕성반점</t>
  </si>
  <si>
    <t>오성양꼬치</t>
  </si>
  <si>
    <t>칭진</t>
  </si>
  <si>
    <t>가든숯불막창</t>
  </si>
  <si>
    <t>오빠뻘</t>
  </si>
  <si>
    <t>B612</t>
  </si>
  <si>
    <t>키비</t>
  </si>
  <si>
    <t>짜객</t>
  </si>
  <si>
    <t>약전</t>
  </si>
  <si>
    <t>MONG</t>
  </si>
  <si>
    <t>박탄돈까스</t>
  </si>
  <si>
    <t>읍내숯불</t>
  </si>
  <si>
    <t>감투밥 종로</t>
  </si>
  <si>
    <t>대구광역시</t>
  </si>
  <si>
    <t>수성구</t>
  </si>
  <si>
    <t>두산동 193-1</t>
  </si>
  <si>
    <t>무학로23길 52</t>
  </si>
  <si>
    <t>무학로23길 49</t>
  </si>
  <si>
    <t>범어천로 147-8</t>
  </si>
  <si>
    <t>경상북도</t>
  </si>
  <si>
    <t>포항시</t>
  </si>
  <si>
    <t>천마로46번길 9</t>
  </si>
  <si>
    <t>동부로 22길 65</t>
  </si>
  <si>
    <t>달서구</t>
  </si>
  <si>
    <t>달서대로 95길7</t>
  </si>
  <si>
    <t>범어천로 62</t>
  </si>
  <si>
    <t>동천로 125-7</t>
  </si>
  <si>
    <t>해안로 101</t>
  </si>
  <si>
    <t>김천시</t>
  </si>
  <si>
    <t>신음새동네길 52</t>
  </si>
  <si>
    <t>안동시</t>
  </si>
  <si>
    <t>옥서로 45</t>
  </si>
  <si>
    <t>복주2길 64</t>
  </si>
  <si>
    <t>서동문로 188-1</t>
  </si>
  <si>
    <t>반야월북로 140</t>
  </si>
  <si>
    <t>효자동길5번길 14</t>
  </si>
  <si>
    <t>이동 655-4</t>
  </si>
  <si>
    <t>대이로 143번길 12-12</t>
  </si>
  <si>
    <t>대이로 159번길 11-12</t>
  </si>
  <si>
    <t>효성로64번길 1</t>
  </si>
  <si>
    <t>달성군</t>
  </si>
  <si>
    <t>돌미상업로1길 25 1층</t>
  </si>
  <si>
    <t>칠곡군</t>
  </si>
  <si>
    <t>석적읍 석적로 939</t>
  </si>
  <si>
    <t>수성못2길 55-2</t>
  </si>
  <si>
    <t>북구 해안로 77</t>
  </si>
  <si>
    <t>구미시</t>
  </si>
  <si>
    <t>인동중앙로 11길 20</t>
  </si>
  <si>
    <t>경산시</t>
  </si>
  <si>
    <t>대학로 59길 14</t>
  </si>
  <si>
    <t>남구 효자동5번길 16</t>
  </si>
  <si>
    <t>남구 이동로 10-1</t>
  </si>
  <si>
    <t>효성로 93번길 30-26</t>
  </si>
  <si>
    <t>의성군</t>
  </si>
  <si>
    <t>문소1길 119</t>
  </si>
  <si>
    <t>대구</t>
  </si>
  <si>
    <t>효동로 6길 30</t>
  </si>
  <si>
    <t>동촌로 169</t>
  </si>
  <si>
    <t>서구 달서로 84</t>
  </si>
  <si>
    <t>과학로6길3</t>
  </si>
  <si>
    <t>경북</t>
  </si>
  <si>
    <t>중흥로 140번길 14</t>
  </si>
  <si>
    <t>송도해안길 32-1</t>
  </si>
  <si>
    <t>상사서로4길 21</t>
  </si>
  <si>
    <t>동부로30길 73</t>
  </si>
  <si>
    <t>구상길187-1</t>
  </si>
  <si>
    <t>경북 영천시</t>
  </si>
  <si>
    <t> </t>
  </si>
  <si>
    <t>영화로 373</t>
  </si>
  <si>
    <t>대구시</t>
  </si>
  <si>
    <t>달구벌대로329길 128</t>
  </si>
  <si>
    <t>달구벌대로329길 123</t>
  </si>
  <si>
    <t>경북 구미시</t>
  </si>
  <si>
    <t>인동28길 19-8</t>
  </si>
  <si>
    <t>경북 경산시</t>
  </si>
  <si>
    <t>청운1로 67</t>
  </si>
  <si>
    <t>경북 포항</t>
  </si>
  <si>
    <t>냉천로302번길 37</t>
  </si>
  <si>
    <t>범어천로 63</t>
  </si>
  <si>
    <t>평사리 30-2</t>
  </si>
  <si>
    <t>진천로4길 66</t>
  </si>
  <si>
    <t>봉덕로 93</t>
  </si>
  <si>
    <t>중앙대로51길 119</t>
  </si>
  <si>
    <t>수성대로 21길 3</t>
  </si>
  <si>
    <t>율하동 1429</t>
  </si>
  <si>
    <t>청수로 24길 7</t>
  </si>
  <si>
    <t>경북 포항시</t>
  </si>
  <si>
    <t>상대로 82</t>
  </si>
  <si>
    <t>두호동 1094-2</t>
  </si>
  <si>
    <t>시청남 1길 12-13</t>
  </si>
  <si>
    <t>두호동 113-4</t>
  </si>
  <si>
    <t>흥해읍 이인로67번길 5-8</t>
  </si>
  <si>
    <t>천마로46번길 8 1층</t>
  </si>
  <si>
    <t>상원로 171</t>
  </si>
  <si>
    <t>대구 수성구 달구벌대로526길 14 1층</t>
  </si>
  <si>
    <t>대구 수성구 범어동 810-18</t>
  </si>
  <si>
    <t>대구 북구 칠성남로 27 1층</t>
  </si>
  <si>
    <t>호산동로 36길 5</t>
  </si>
  <si>
    <t>북구 동천로 1289 2층</t>
  </si>
  <si>
    <t>대구 북구 동천로 138 - 10</t>
  </si>
  <si>
    <t>경주시</t>
  </si>
  <si>
    <t>현진앞3길 19 1층</t>
  </si>
  <si>
    <t>금성로407번길 15</t>
  </si>
  <si>
    <t>동천동 790</t>
  </si>
  <si>
    <t>서당로7길 48</t>
  </si>
  <si>
    <t>장기로 57길 19</t>
  </si>
  <si>
    <t>경진로 1길 2</t>
  </si>
  <si>
    <t>동성로3길 58-9 1층</t>
  </si>
  <si>
    <t>서당로 9길 14</t>
  </si>
  <si>
    <t>대구 중구 봉산동 135-17</t>
  </si>
  <si>
    <t>대구 중구 서성로14길 104 1층</t>
  </si>
  <si>
    <t>달구벌대로344길 47</t>
  </si>
  <si>
    <t>동천로 125-13</t>
  </si>
  <si>
    <t>경진로 1길 8</t>
  </si>
  <si>
    <t>대구 중구 종로 34-1</t>
  </si>
  <si>
    <t>대구 중구 종로 48-1 2층</t>
  </si>
  <si>
    <t>대구 중구 종로1가 84-1</t>
  </si>
  <si>
    <t>대구 중구 대봉동 174-14</t>
  </si>
  <si>
    <t>대구 중구 대봉동 25-8</t>
  </si>
  <si>
    <t>고성동2가 111-22</t>
  </si>
  <si>
    <t>대구광역시 중구 대봉로 188</t>
  </si>
  <si>
    <t>대구 달서구 상인동 1399-2</t>
  </si>
  <si>
    <t>중앙대로 81길 30</t>
  </si>
  <si>
    <t>월성동 1243</t>
  </si>
  <si>
    <t>대구 중구 공평로 26-3</t>
  </si>
  <si>
    <t xml:space="preserve">대구광역시 </t>
  </si>
  <si>
    <t>장기동 820-2</t>
  </si>
  <si>
    <t>동성로2가 144-3</t>
  </si>
  <si>
    <t>경주</t>
  </si>
  <si>
    <t>현곡면 금장리 416-2</t>
  </si>
  <si>
    <t>약령길 28</t>
  </si>
  <si>
    <t>황성동 244-17</t>
  </si>
  <si>
    <t>달성공원로 9-32</t>
  </si>
  <si>
    <t>김태완</t>
  </si>
  <si>
    <t>손선호</t>
  </si>
  <si>
    <t>마씸</t>
  </si>
  <si>
    <t>흑돼지비비큐</t>
  </si>
  <si>
    <t>희신이네</t>
  </si>
  <si>
    <t>휘게루프탑</t>
  </si>
  <si>
    <t>용용선생(제원점)</t>
  </si>
  <si>
    <t>용용선생(시청점)</t>
  </si>
  <si>
    <t>용용선생(일도점)</t>
  </si>
  <si>
    <t>천일만두</t>
  </si>
  <si>
    <t>화룡양꼬치(서귀포점)</t>
  </si>
  <si>
    <t>맥주창고(도남점)</t>
  </si>
  <si>
    <t>브로콜리</t>
  </si>
  <si>
    <t>부화룡양꼬치</t>
  </si>
  <si>
    <t>프레드허쉬</t>
  </si>
  <si>
    <t>용등각</t>
  </si>
  <si>
    <t>하이디라오(제주점)</t>
  </si>
  <si>
    <t>BBQ치킨(제주드림타워점)</t>
  </si>
  <si>
    <t>중국집마씸</t>
  </si>
  <si>
    <t>월하객잔</t>
  </si>
  <si>
    <t>로화룡양꼬치</t>
  </si>
  <si>
    <t>풍광양꼬치</t>
  </si>
  <si>
    <t>희양양(서귀포점)</t>
  </si>
  <si>
    <t>한양관양꼬치</t>
  </si>
  <si>
    <t>강리향</t>
  </si>
  <si>
    <t>홍발</t>
  </si>
  <si>
    <t>호서</t>
  </si>
  <si>
    <t>화룡양꼬치(연동)</t>
  </si>
  <si>
    <t>홍천하마라탕(성산)</t>
  </si>
  <si>
    <t>호가</t>
  </si>
  <si>
    <t>중문양꼬치</t>
  </si>
  <si>
    <t>중화객잔효</t>
  </si>
  <si>
    <t>마씸(성산점)</t>
  </si>
  <si>
    <t>첨밀밀양고기(표선)</t>
  </si>
  <si>
    <t>양푼이</t>
  </si>
  <si>
    <t>버찌</t>
  </si>
  <si>
    <t>중원</t>
  </si>
  <si>
    <t>꼬란</t>
  </si>
  <si>
    <t>덕성원(본점)</t>
  </si>
  <si>
    <t>서귀포호</t>
  </si>
  <si>
    <t>미하이</t>
  </si>
  <si>
    <t>4아일랜드</t>
  </si>
  <si>
    <t>사가식탁</t>
  </si>
  <si>
    <t>연화양꼬치</t>
  </si>
  <si>
    <t>우영밭을감싼돌담</t>
  </si>
  <si>
    <t>해리네횟집</t>
  </si>
  <si>
    <t>나은이네막창</t>
  </si>
  <si>
    <t>밤밤</t>
  </si>
  <si>
    <t>효매초소282훠궈</t>
  </si>
  <si>
    <t>모란</t>
  </si>
  <si>
    <t>코코찬빠</t>
  </si>
  <si>
    <t>민타이</t>
  </si>
  <si>
    <t>류차이</t>
  </si>
  <si>
    <t>쇼린마라탕(서귀포)</t>
  </si>
  <si>
    <t>마라힐링(세화점)</t>
  </si>
  <si>
    <t>신선로훠궈</t>
  </si>
  <si>
    <t>잉가이</t>
  </si>
  <si>
    <t>사랑식당</t>
  </si>
  <si>
    <t>명가낙지</t>
  </si>
  <si>
    <t>제주특별자치도</t>
  </si>
  <si>
    <t>서귀포시</t>
  </si>
  <si>
    <t>환해장성로129-1</t>
  </si>
  <si>
    <t>태평로353번길7</t>
  </si>
  <si>
    <t>서홍로175</t>
  </si>
  <si>
    <t>동홍중앙로49</t>
  </si>
  <si>
    <t>제주시</t>
  </si>
  <si>
    <t>은남4길46</t>
  </si>
  <si>
    <t>서광로32길32</t>
  </si>
  <si>
    <t>고마로148</t>
  </si>
  <si>
    <t>서문로25</t>
  </si>
  <si>
    <t>이중섭로12</t>
  </si>
  <si>
    <t>도남로40</t>
  </si>
  <si>
    <t>삼무로49</t>
  </si>
  <si>
    <t>우령2길31</t>
  </si>
  <si>
    <t>태평로416-1</t>
  </si>
  <si>
    <t>노연로28</t>
  </si>
  <si>
    <t>연동4길2, 5층</t>
  </si>
  <si>
    <t>노연로28,1층</t>
  </si>
  <si>
    <t>동홍중앙로52번길7</t>
  </si>
  <si>
    <t>구좌읍 월정3길 38</t>
  </si>
  <si>
    <t>제주 제주시 고마로 130</t>
  </si>
  <si>
    <t>제주 서귀포시 태평로431번길 27</t>
  </si>
  <si>
    <t>제주 서귀포시 서호남로32번길 28 1층</t>
  </si>
  <si>
    <t>제주 제주시 연삼로 450</t>
  </si>
  <si>
    <t>제주 제주시 원노형남1길 11 1층 111호 강리향 제주본점</t>
  </si>
  <si>
    <t>제주 서귀포시 천제연로 131-7</t>
  </si>
  <si>
    <t>제주특별자치도 서귀포시 천제연로 181 1층</t>
  </si>
  <si>
    <t>제주 제주시 신대로16길 40</t>
  </si>
  <si>
    <t>제주 서귀포시 성산읍 동류암로39번길 7</t>
  </si>
  <si>
    <t>제주특별자치도 서귀포시 안덕면 화순중앙로 64</t>
  </si>
  <si>
    <t>제주 서귀포시 천제연로208번길 2</t>
  </si>
  <si>
    <t>제주 제주시 신성로10길 3 1층</t>
  </si>
  <si>
    <t>성산읍 수시로 10번길3</t>
  </si>
  <si>
    <t>표선면 표선동서로 234</t>
  </si>
  <si>
    <t>광양13길 10-2</t>
  </si>
  <si>
    <t>원노형남2길 45-1</t>
  </si>
  <si>
    <t>동문동로2</t>
  </si>
  <si>
    <t>태평로401번길4</t>
  </si>
  <si>
    <t>서문로29번길 9 1층</t>
  </si>
  <si>
    <t>원노형8길18</t>
  </si>
  <si>
    <t>칠십리로113</t>
  </si>
  <si>
    <t>조천읍 북흘로 139-15</t>
  </si>
  <si>
    <t>연동8길28</t>
  </si>
  <si>
    <t>지석13길28</t>
  </si>
  <si>
    <t>대정읍 하모항구로 54</t>
  </si>
  <si>
    <t>신서로48번길 12</t>
  </si>
  <si>
    <t>수덕로33</t>
  </si>
  <si>
    <t>중앙로 71번길 12</t>
  </si>
  <si>
    <t>제주특별자치조</t>
  </si>
  <si>
    <t>서광로302</t>
  </si>
  <si>
    <t>원노형남1길 18-1</t>
  </si>
  <si>
    <t>노형11길16</t>
  </si>
  <si>
    <t>중문관광로330</t>
  </si>
  <si>
    <t>중정로91번길56</t>
  </si>
  <si>
    <t>구좌읍 세화2길2</t>
  </si>
  <si>
    <t>원노형남1길11</t>
  </si>
  <si>
    <t>무근성7길1</t>
  </si>
  <si>
    <t>한경면 두신로46</t>
  </si>
  <si>
    <t>한림읍 옹포2길 10</t>
  </si>
  <si>
    <t>정재영</t>
  </si>
  <si>
    <t>4도맥주(노은)</t>
  </si>
  <si>
    <t>하노이밤거리맥주(관평)</t>
  </si>
  <si>
    <t>쿠바하바나(두정)</t>
  </si>
  <si>
    <t>낙원갈비집(노은)</t>
  </si>
  <si>
    <t>훠룽쿵부(율량)</t>
  </si>
  <si>
    <t>칭칭양꼬치(도마)</t>
  </si>
  <si>
    <t>샤오차이나(궁동)</t>
  </si>
  <si>
    <t>블루카멜비어펍(단양)</t>
  </si>
  <si>
    <t>종로맥가(장대)</t>
  </si>
  <si>
    <t>종로맥가(보람)</t>
  </si>
  <si>
    <t>종로맥가(고운)</t>
  </si>
  <si>
    <t>남도식당(봉명)</t>
  </si>
  <si>
    <t>신아리랑양꼬치(봉명)</t>
  </si>
  <si>
    <t>칭따오양꼬치(율량)</t>
  </si>
  <si>
    <t>한궁양꼬치(송촌)</t>
  </si>
  <si>
    <t>참숯자갈치(탄방)</t>
  </si>
  <si>
    <t>노사부면관(자양)</t>
  </si>
  <si>
    <t>한성양꼬치(나성)</t>
  </si>
  <si>
    <t>심초(중리)</t>
  </si>
  <si>
    <t>하오츠마라탕(송강)</t>
  </si>
  <si>
    <t>청호양꼬치(아산)</t>
  </si>
  <si>
    <t>천리향(노은)</t>
  </si>
  <si>
    <t>착한양꼬치(조치원)</t>
  </si>
  <si>
    <t>성연양꼬치(오창)</t>
  </si>
  <si>
    <t>초원양꼬치(오창)</t>
  </si>
  <si>
    <t>도깨비가맥(오송)</t>
  </si>
  <si>
    <t>맥주아울렛(산남)</t>
  </si>
  <si>
    <t>동문(제천)</t>
  </si>
  <si>
    <t>남양양꼬치(성화)</t>
  </si>
  <si>
    <t>선양양꼬치(제천)</t>
  </si>
  <si>
    <t>먹태비어(중리)</t>
  </si>
  <si>
    <t>반지하(도안)</t>
  </si>
  <si>
    <t>따다(노은)</t>
  </si>
  <si>
    <t>골드윙(갈마)</t>
  </si>
  <si>
    <t>일품향(송강)</t>
  </si>
  <si>
    <t>몽콕(관평)</t>
  </si>
  <si>
    <t>칭따오 양꼬치</t>
  </si>
  <si>
    <t>참숯자갈치꼼장어</t>
  </si>
  <si>
    <t>초원양꼬치 (관평)</t>
  </si>
  <si>
    <t>남양양꼬치 용화</t>
  </si>
  <si>
    <t>칭따오양꼬치(송강)</t>
  </si>
  <si>
    <t>천리향양꼬치(노은)</t>
  </si>
  <si>
    <t>초원양꼬치(관평)</t>
  </si>
  <si>
    <t>맥주가게킹(원성)</t>
  </si>
  <si>
    <t>하노이맥주밤거리(연수)</t>
  </si>
  <si>
    <t>하노이맥주밤거리(음성대소)</t>
  </si>
  <si>
    <t>용용선생(복대)</t>
  </si>
  <si>
    <t>용용선생(동남)</t>
  </si>
  <si>
    <t>화로양가(관평)</t>
  </si>
  <si>
    <t>앗싸양꼬치(안서)</t>
  </si>
  <si>
    <t>상하이양꼬치(관평)</t>
  </si>
  <si>
    <t>핫오리양꼬치(용화)</t>
  </si>
  <si>
    <t>쌍둥이네양꼬치(용화)</t>
  </si>
  <si>
    <t>칭다오양꼬치(산남)</t>
  </si>
  <si>
    <t>맥주마켓(송촌)</t>
  </si>
  <si>
    <t>하노이맥주밤거리(도담)</t>
  </si>
  <si>
    <t>하오친친(산남)</t>
  </si>
  <si>
    <t>이루훠궈양꼬치(관평)</t>
  </si>
  <si>
    <t>맥주가게끝판왕(청당)</t>
  </si>
  <si>
    <t>6692양꼬치(쌍용)</t>
  </si>
  <si>
    <t>이선생우육면(궁동)</t>
  </si>
  <si>
    <t>바른암소한우(가수원)</t>
  </si>
  <si>
    <t>탕화쿵푸마라탕(용전)</t>
  </si>
  <si>
    <t>종로맥가(봉명)</t>
  </si>
  <si>
    <t>종로맥가(신관)</t>
  </si>
  <si>
    <t>종로맥가(중촌)</t>
  </si>
  <si>
    <t>종로맥가(관저)</t>
  </si>
  <si>
    <t>종로맥가(탄방)</t>
  </si>
  <si>
    <t>종로맥가(반석)</t>
  </si>
  <si>
    <t>풍운양꼬치(전민)</t>
  </si>
  <si>
    <t>종로맥가(갈마)</t>
  </si>
  <si>
    <t>일오칠양꼬치(장락)</t>
  </si>
  <si>
    <t>용용선생(서산호수공원)</t>
  </si>
  <si>
    <t>용용선생(당진CGV)</t>
  </si>
  <si>
    <t>한일수육칼국수(둔산)</t>
  </si>
  <si>
    <t>우기뚝배기(내동)</t>
  </si>
  <si>
    <t>차이나타운양꼬치(판암)</t>
  </si>
  <si>
    <t>종로맥가(세종고운)</t>
  </si>
  <si>
    <t>종로맥가(죽동)</t>
  </si>
  <si>
    <t>종로맥가(관평)</t>
  </si>
  <si>
    <t>꽁술(송촌)</t>
  </si>
  <si>
    <t>차오차오(홍도)</t>
  </si>
  <si>
    <t>따다(반석)</t>
  </si>
  <si>
    <t>신강양꼬치(신부)</t>
  </si>
  <si>
    <t>김복남맥주(천동)</t>
  </si>
  <si>
    <t>아띠랑스(계룡)</t>
  </si>
  <si>
    <t>동바세계맥주(성남)</t>
  </si>
  <si>
    <t>종로맥가(나성)</t>
  </si>
  <si>
    <t>아이엠마오차이(관평)</t>
  </si>
  <si>
    <t>한궁양꼬치(대흥)</t>
  </si>
  <si>
    <t>한궁양꼬치(둔산)</t>
  </si>
  <si>
    <t>한궁양꼬치(궁동)</t>
  </si>
  <si>
    <t>양면천하(배방)</t>
  </si>
  <si>
    <t>북경양꼬치(오송)</t>
  </si>
  <si>
    <t>복터세계호프(용전)</t>
  </si>
  <si>
    <t>미니양꼬치(괴정)</t>
  </si>
  <si>
    <t>편백어화(신성)</t>
  </si>
  <si>
    <t>봉림닭강정앤치킨(유천)</t>
  </si>
  <si>
    <t>큰나무훠궈(둔산)</t>
  </si>
  <si>
    <t>하얼번(갈마)</t>
  </si>
  <si>
    <t>하얼번(나성)</t>
  </si>
  <si>
    <t>요우티하우스(둔산)</t>
  </si>
  <si>
    <t>신강양꼬치(신탄진)</t>
  </si>
  <si>
    <t>한중마라탕(송촌)</t>
  </si>
  <si>
    <t>친친양꼬치(정동)</t>
  </si>
  <si>
    <t>정감육</t>
  </si>
  <si>
    <t>돈키호테(효동)</t>
  </si>
  <si>
    <t>마약양꼬치(오창)</t>
  </si>
  <si>
    <t>마양양꼬치(중리)</t>
  </si>
  <si>
    <t>100%양꼬치(가오)</t>
  </si>
  <si>
    <t>부연부(봉명)</t>
  </si>
  <si>
    <t>미미램(대흥)</t>
  </si>
  <si>
    <t>연취(궁동)</t>
  </si>
  <si>
    <t>석탑호프(석교)</t>
  </si>
  <si>
    <t>양명천하(배방)</t>
  </si>
  <si>
    <t>마기반점(장대)</t>
  </si>
  <si>
    <t>로방훠궈(신부)</t>
  </si>
  <si>
    <t>남양양꼬치(신창)</t>
  </si>
  <si>
    <t>맥주창고(봉명)</t>
  </si>
  <si>
    <t>경성양꼬치(궁동)</t>
  </si>
  <si>
    <t>유성대패포차(가오)</t>
  </si>
  <si>
    <t>3다시1호프(서산)</t>
  </si>
  <si>
    <t>복이네 양꼬치(옥천)</t>
  </si>
  <si>
    <t>참숯양꼬치(오송)</t>
  </si>
  <si>
    <t>순한양꼬치(보람)</t>
  </si>
  <si>
    <t>천하춘(궁동)</t>
  </si>
  <si>
    <t>상하이양꼬치(송절)</t>
  </si>
  <si>
    <t>마라퀸(송절)</t>
  </si>
  <si>
    <t>중원양꼬치(사창)</t>
  </si>
  <si>
    <t>일품향양꼬치(용화)</t>
  </si>
  <si>
    <t>남양가(성화)</t>
  </si>
  <si>
    <t>월정양꼬치(봉명)</t>
  </si>
  <si>
    <t>깐쇼(송촌)</t>
  </si>
  <si>
    <t>용주(갈마)</t>
  </si>
  <si>
    <t>하얼빈양꼬치(오송)</t>
  </si>
  <si>
    <t>칭따오양꼬치(도담)</t>
  </si>
  <si>
    <t>맥주밤거리(관평)</t>
  </si>
  <si>
    <t>엠피플(대흥)</t>
  </si>
  <si>
    <t>종로맥가(분평)</t>
  </si>
  <si>
    <t>종로맥가(가수원)</t>
  </si>
  <si>
    <t>한궁양꼬치(도안)</t>
  </si>
  <si>
    <t>양복점(둔산)</t>
  </si>
  <si>
    <t>화로양고기(노은)</t>
  </si>
  <si>
    <t>화진식당(제천)</t>
  </si>
  <si>
    <t>엄지설렁탕(제천)</t>
  </si>
  <si>
    <t>명동호프(제천)</t>
  </si>
  <si>
    <t>전가복(제천)</t>
  </si>
  <si>
    <t>밸리광장(제천)</t>
  </si>
  <si>
    <t>지금여기(제천)</t>
  </si>
  <si>
    <t>화성양꼬치(홍도)</t>
  </si>
  <si>
    <t>평화(배방)</t>
  </si>
  <si>
    <t>레드호프(충주)</t>
  </si>
  <si>
    <t>카우포훠궈(궁동)</t>
  </si>
  <si>
    <t>대전</t>
  </si>
  <si>
    <t>가오동 641</t>
  </si>
  <si>
    <t>유성구</t>
  </si>
  <si>
    <t>봉명동 547-6</t>
  </si>
  <si>
    <t>대흥동 207-6</t>
  </si>
  <si>
    <t>대학로163번길 31 1층</t>
  </si>
  <si>
    <t>대종로 223 4층</t>
  </si>
  <si>
    <t>북수리 1656</t>
  </si>
  <si>
    <t>온천서로 48</t>
  </si>
  <si>
    <t>먹거리8길 37</t>
  </si>
  <si>
    <t>남성길 196</t>
  </si>
  <si>
    <t>흥덕구 덕암로30번길 50</t>
  </si>
  <si>
    <t>농대로15번길 12 1층</t>
  </si>
  <si>
    <t>대전로442</t>
  </si>
  <si>
    <t>충남 서산시 부춘4로 3-1 3다시1호프</t>
  </si>
  <si>
    <t>옥천읍</t>
  </si>
  <si>
    <t>금구리 45-2</t>
  </si>
  <si>
    <t>오송읍 만수리 852</t>
  </si>
  <si>
    <t>세종</t>
  </si>
  <si>
    <t>보람동 755 201호</t>
  </si>
  <si>
    <t>대전 유성구 대학로155번길 19 1층</t>
  </si>
  <si>
    <t>충남 아산시 용화로48번길 16-2 일품향양꼬치</t>
  </si>
  <si>
    <t>서원구 성화동 833</t>
  </si>
  <si>
    <t>흥덕구 봉명동 2868</t>
  </si>
  <si>
    <t>대덕구</t>
  </si>
  <si>
    <t>송촌동 473-10</t>
  </si>
  <si>
    <t>갈마동 1027</t>
  </si>
  <si>
    <t>흥덕구</t>
  </si>
  <si>
    <t>오송읍 봉산리 1097</t>
  </si>
  <si>
    <t>도담동 675</t>
  </si>
  <si>
    <t>관평동 1071</t>
  </si>
  <si>
    <t>대흥동 246-10</t>
  </si>
  <si>
    <t>서원구</t>
  </si>
  <si>
    <t>분평동 1301</t>
  </si>
  <si>
    <t>대전 서구 가수원동 916</t>
  </si>
  <si>
    <t>대전 서구 도안동로 9 1층 110, 111호</t>
  </si>
  <si>
    <t>대덕대로185번길 47 1층</t>
  </si>
  <si>
    <t>은구비서로 23번길 34 1층 화로양고기</t>
  </si>
  <si>
    <t>제천시</t>
  </si>
  <si>
    <t>용두대로 15가길 11</t>
  </si>
  <si>
    <t>송문로 120</t>
  </si>
  <si>
    <t>의림대로 11길 11</t>
  </si>
  <si>
    <t>장락로 186</t>
  </si>
  <si>
    <t>바이오밸리 3로 100</t>
  </si>
  <si>
    <t>독순로 6길 4</t>
  </si>
  <si>
    <t>홍도로33번길 81 홍도동 92-48 2층</t>
  </si>
  <si>
    <t>아산시 호서로 79번길 12</t>
  </si>
  <si>
    <t>충주시</t>
  </si>
  <si>
    <t>첨단산업 1로 72</t>
  </si>
  <si>
    <t>대전 유성구 궁동로18번길 63</t>
  </si>
  <si>
    <t>김균태</t>
  </si>
  <si>
    <t>김정규</t>
  </si>
  <si>
    <t>노은동로 79번길 46 101호</t>
  </si>
  <si>
    <t>대전 유성구 관들2길 72-27</t>
  </si>
  <si>
    <t>천안</t>
  </si>
  <si>
    <t>두정동 685</t>
  </si>
  <si>
    <t>지족동 906-3</t>
  </si>
  <si>
    <t>청주</t>
  </si>
  <si>
    <t>청원구</t>
  </si>
  <si>
    <t>율량로202번길80 102호</t>
  </si>
  <si>
    <t>도마동 34-5</t>
  </si>
  <si>
    <t>대학로151번길 25 5층</t>
  </si>
  <si>
    <t>단양군</t>
  </si>
  <si>
    <t>수변로 97</t>
  </si>
  <si>
    <t>대전 유성구 문화원로6번길 93</t>
  </si>
  <si>
    <t>보람동 751</t>
  </si>
  <si>
    <t>고운서길 20 참샘빌딩 107호</t>
  </si>
  <si>
    <t>동남구</t>
  </si>
  <si>
    <t>봉명동 430</t>
  </si>
  <si>
    <t>흥덕구 덕암로114번길 62</t>
  </si>
  <si>
    <t>율량로202번길 36 1층</t>
  </si>
  <si>
    <t>대덕구 송촌북로16번길 28 1층</t>
  </si>
  <si>
    <t>탄방로7번길</t>
  </si>
  <si>
    <t>동대전로 149 1층 102호</t>
  </si>
  <si>
    <t>나성북1로 12 메가타워2 2층 207호</t>
  </si>
  <si>
    <t>중리남로 24 1층 102호</t>
  </si>
  <si>
    <t>대전 유성구 봉산로 11 지상1층 102, 115호</t>
  </si>
  <si>
    <t>대전 유성구 구즉로52번길 31</t>
  </si>
  <si>
    <t>모종남로12번길 62</t>
  </si>
  <si>
    <t>은구비서로3번길 51 지족동907-24</t>
  </si>
  <si>
    <t>세종시</t>
  </si>
  <si>
    <t>조치원읍 행복12길 11</t>
  </si>
  <si>
    <t>청원구 오창읍 구룡택지로 8-21 102호</t>
  </si>
  <si>
    <t>청원구 오창읍 양청2안길 59 빌라엠</t>
  </si>
  <si>
    <t>흥덕구 오송읍 오송생명5로 267-4</t>
  </si>
  <si>
    <t>서원구 원흥로64번길 37</t>
  </si>
  <si>
    <t>의림대로16길 22-6</t>
  </si>
  <si>
    <t>장락동 431-36</t>
  </si>
  <si>
    <t>중리남로 13</t>
  </si>
  <si>
    <t>도안북로 117번길 17</t>
  </si>
  <si>
    <t>은구비서로23번길 40</t>
  </si>
  <si>
    <t>신갈마로141번길 7-1</t>
  </si>
  <si>
    <t>구족로54번길 9</t>
  </si>
  <si>
    <t>관들2길 72-5</t>
  </si>
  <si>
    <t>구즉로52번길 31</t>
  </si>
  <si>
    <t>대전 서구 탄방로7번길 41</t>
  </si>
  <si>
    <t>대전 유성구 관들2길 8-35 1층</t>
  </si>
  <si>
    <t>용화동</t>
  </si>
  <si>
    <t>충남 아산시 어의정로133번길 11 그라시아 1층</t>
  </si>
  <si>
    <t>모종동</t>
  </si>
  <si>
    <t>대전 유성구 은구비서로3번길 51 지족동907-24</t>
  </si>
  <si>
    <t>충남 천안시 동남구 충절로 205</t>
  </si>
  <si>
    <t>연수상가4길 12</t>
  </si>
  <si>
    <t>대소면 오산로 65 101호 하정빌딩</t>
  </si>
  <si>
    <t>진재로 95, 1층</t>
  </si>
  <si>
    <t>중고개로141번길 13-12</t>
  </si>
  <si>
    <t>대전 유성구 관들2길 49 1층</t>
  </si>
  <si>
    <t>충남 천안시 동남구 안서1길 5-15 앗싸양꼬치</t>
  </si>
  <si>
    <t>대전 유성구 관들2길 72-9</t>
  </si>
  <si>
    <t>충남 아산시 어의정로17번길 17</t>
  </si>
  <si>
    <t>충청남도 아산시 어의정로17번길 16</t>
  </si>
  <si>
    <t>서원구 두꺼비로20번길 43</t>
  </si>
  <si>
    <t>송촌북로20번길 20</t>
  </si>
  <si>
    <t>보듬3로 8-20 세종한신휴시티 128호, 129호</t>
  </si>
  <si>
    <t>서원구 산남로 54(산남동, 청수타워)</t>
  </si>
  <si>
    <t>대전 유성구 관들4길 23</t>
  </si>
  <si>
    <t>충남 천안시 동남구 청수5로 3 2층 맥주가게끝판왕</t>
  </si>
  <si>
    <t>충남 천안시 서북구 미라2길 47 1층</t>
  </si>
  <si>
    <t>대전 유성구 대학로 151번길 54</t>
  </si>
  <si>
    <t>대전 유성구 대학로151번길 25 5층</t>
  </si>
  <si>
    <t>대전 서구 도안동 1794</t>
  </si>
  <si>
    <t>동서대로 1695번길 16 2층</t>
  </si>
  <si>
    <t>문화원로 108</t>
  </si>
  <si>
    <t>공주시</t>
  </si>
  <si>
    <t>흑수골길 24</t>
  </si>
  <si>
    <t>목중로 26번길 30</t>
  </si>
  <si>
    <t>관저중로 96번길 17</t>
  </si>
  <si>
    <t>탄방로7번길 59</t>
  </si>
  <si>
    <t>반석로12번안길 16</t>
  </si>
  <si>
    <t>전민로34번길 54</t>
  </si>
  <si>
    <t>갈마동 362-3</t>
  </si>
  <si>
    <t>장락로 157-4</t>
  </si>
  <si>
    <t>호수공원5로 30</t>
  </si>
  <si>
    <t>당진시</t>
  </si>
  <si>
    <t>북문로1길 35-7</t>
  </si>
  <si>
    <t>둔산남로 3</t>
  </si>
  <si>
    <t>관들2길 8-35</t>
  </si>
  <si>
    <t>동서대로 997번길 110</t>
  </si>
  <si>
    <t>판암로 15</t>
  </si>
  <si>
    <t>고운서길 20</t>
  </si>
  <si>
    <t>죽동로279번길 53</t>
  </si>
  <si>
    <t>관평동 1145</t>
  </si>
  <si>
    <t>송촌북로12번길 48</t>
  </si>
  <si>
    <t>한남로 11 1층</t>
  </si>
  <si>
    <t>대전 유성구 지족동 911-1</t>
  </si>
  <si>
    <t>충청남도 천안시 동남구 먹거리8길 35-1</t>
  </si>
  <si>
    <t>천동 519</t>
  </si>
  <si>
    <t>계룡시</t>
  </si>
  <si>
    <t>충남 계룡시 서금암2길 19-3 5층 501호</t>
  </si>
  <si>
    <t>계족로392번길 102</t>
  </si>
  <si>
    <t>세종 나성북1로 12 메가타워2 103,104호</t>
  </si>
  <si>
    <t>대전광역시 유성구 관평1로 78-1 1층</t>
  </si>
  <si>
    <t>대흥동 201-1</t>
  </si>
  <si>
    <t>둔산동 1079</t>
  </si>
  <si>
    <t>궁동 411-9</t>
  </si>
  <si>
    <t>배방읍 북수리 1656</t>
  </si>
  <si>
    <t>오송읍 만수리 543</t>
  </si>
  <si>
    <t>용전동 136-8</t>
  </si>
  <si>
    <t>도솔로 374</t>
  </si>
  <si>
    <t>신성남로111번길 27 1층</t>
  </si>
  <si>
    <t>유천동 326-1</t>
  </si>
  <si>
    <t>대덕대로249번길 15</t>
  </si>
  <si>
    <t>대전 서구 대덕대로 135번길 11</t>
  </si>
  <si>
    <t>나성북로 9</t>
  </si>
  <si>
    <t>갈마동 864</t>
  </si>
  <si>
    <t>신탄진동로7번길 60</t>
  </si>
  <si>
    <t>동춘당로 83 1층</t>
  </si>
  <si>
    <t>정동 13-7</t>
  </si>
  <si>
    <t>괴정로 151</t>
  </si>
  <si>
    <t>계족로4</t>
  </si>
  <si>
    <t>오창읍 주성1길 9 산토리니빌딩 1층102호</t>
  </si>
  <si>
    <t>중리동 240-22</t>
  </si>
  <si>
    <t>취향루(용봉동)</t>
  </si>
  <si>
    <t>쎄쎼니양꼬치(용봉동)</t>
  </si>
  <si>
    <t>양치기양꼬치(용봉동)</t>
  </si>
  <si>
    <t>한얼빈양꼬치(금호동)</t>
  </si>
  <si>
    <t>취화선(쌍촌동)</t>
  </si>
  <si>
    <t>초원양꼬치(주월동)</t>
  </si>
  <si>
    <t>판다손양꼬치(상무점)</t>
  </si>
  <si>
    <t>뉴럭셔리(중화산점)</t>
  </si>
  <si>
    <t>럭셔리가맥(아중점)</t>
  </si>
  <si>
    <t>늑대와양(삼천동)</t>
  </si>
  <si>
    <t>홍매참숯양꼬치(운암동)</t>
  </si>
  <si>
    <t>꾸석지돌판한우(수송점)</t>
  </si>
  <si>
    <t>용용선생(광주상무점)</t>
  </si>
  <si>
    <t>용용선생(목포평화광장점)</t>
  </si>
  <si>
    <t>용용선생(순천조례점)</t>
  </si>
  <si>
    <t>용용선생(익산원광대점)</t>
  </si>
  <si>
    <t>용용선생(봉선점)</t>
  </si>
  <si>
    <t>용용선생(전북대점)</t>
  </si>
  <si>
    <t>용용선생(신불당점)</t>
  </si>
  <si>
    <t>용용선생(두정점)</t>
  </si>
  <si>
    <t>용용선생(둔산점)</t>
  </si>
  <si>
    <t>용용선생(수완점)</t>
  </si>
  <si>
    <t>용용선생(봉명점)</t>
  </si>
  <si>
    <t>4도시(부안)</t>
  </si>
  <si>
    <t>취란(익산)</t>
  </si>
  <si>
    <t>황하호연(주월)</t>
  </si>
  <si>
    <t>우미횟집(운암)</t>
  </si>
  <si>
    <t>이화원(용봉)</t>
  </si>
  <si>
    <t>일품양꼬치(군산)</t>
  </si>
  <si>
    <t>신풍양꼬치(평화동2가)</t>
  </si>
  <si>
    <t>왕부(익산)</t>
  </si>
  <si>
    <t>일품양꼬치(익산)</t>
  </si>
  <si>
    <t>예가양꼬치(혁신)</t>
  </si>
  <si>
    <t>카엔(상무)</t>
  </si>
  <si>
    <t>동보성(익산)</t>
  </si>
  <si>
    <t>월간맥주(서신점)</t>
  </si>
  <si>
    <t>땡벌막차(송천점)</t>
  </si>
  <si>
    <t>양누리(효자동)</t>
  </si>
  <si>
    <t>락(우아)</t>
  </si>
  <si>
    <t>후켄통통치킨(서신)</t>
  </si>
  <si>
    <t>황하호연(문흥)</t>
  </si>
  <si>
    <t>일미양꼬치(전대)</t>
  </si>
  <si>
    <t>홍양꼬치앤마라(목포)</t>
  </si>
  <si>
    <t>애상마라(동천동)</t>
  </si>
  <si>
    <t>예상하이양꼬치(월계동)</t>
  </si>
  <si>
    <t>삼국양꼬치본점(익산)</t>
  </si>
  <si>
    <t>신풍양참춫양꼬치(익산)</t>
  </si>
  <si>
    <t>투다리(운암점)</t>
  </si>
  <si>
    <t>노랑통닭(금호)</t>
  </si>
  <si>
    <t>용용선생(전주신시가지)</t>
  </si>
  <si>
    <t>치순이통닭(반월)</t>
  </si>
  <si>
    <t>로꼬꼬(금암)</t>
  </si>
  <si>
    <t>장수하늘소(혁신도시)</t>
  </si>
  <si>
    <t>제주가든(학동)</t>
  </si>
  <si>
    <t>일품양꼬치(정읍)</t>
  </si>
  <si>
    <t>오천동양꼬치(오천동)</t>
  </si>
  <si>
    <t>신세계양꼬치(월계동)</t>
  </si>
  <si>
    <t>늑대와양(전주완산)</t>
  </si>
  <si>
    <t>신풍참숯(전주혁신중동)</t>
  </si>
  <si>
    <t>장가계양꼬치(쌍암)</t>
  </si>
  <si>
    <t>천리향양꼬치(전주)</t>
  </si>
  <si>
    <t>전주양가(군산)</t>
  </si>
  <si>
    <t>교동 하얼빈짬뽕(구례)</t>
  </si>
  <si>
    <t>하노이맥주밤거리(남악점)</t>
  </si>
  <si>
    <t>오크통(하남점)</t>
  </si>
  <si>
    <t>만리향양꼬치(주현동)</t>
  </si>
  <si>
    <t>평취주루(신동)</t>
  </si>
  <si>
    <t>복록수(불로동)</t>
  </si>
  <si>
    <t>양떼(익산)</t>
  </si>
  <si>
    <t>장백산(치평/별관)</t>
  </si>
  <si>
    <t>풍호양꼬치(용봉동)</t>
  </si>
  <si>
    <t>화바양꼬치(쌍촌구왕가후주)</t>
  </si>
  <si>
    <t>용용선생 광주첨단점</t>
  </si>
  <si>
    <t>용용선생 공주대점</t>
  </si>
  <si>
    <t>용용선생 나성점</t>
  </si>
  <si>
    <t>용용선생 관평점</t>
  </si>
  <si>
    <t>용용선생 대흥점</t>
  </si>
  <si>
    <t>황화호연(첨단점)</t>
  </si>
  <si>
    <t>금수훠궈마라(전주완산)</t>
  </si>
  <si>
    <t>신풍참숯(송천동)</t>
  </si>
  <si>
    <t>풍미양꼬치(여수)</t>
  </si>
  <si>
    <t>켈러(상무)</t>
  </si>
  <si>
    <t xml:space="preserve">쎄쎄니(흑석) </t>
  </si>
  <si>
    <t>사천샤브샤브 연향점</t>
  </si>
  <si>
    <t>옥당풍천민물장어</t>
  </si>
  <si>
    <t>비턴광양2호점</t>
  </si>
  <si>
    <t>종로맥가(군산미장점)</t>
  </si>
  <si>
    <t>다향(군산)</t>
  </si>
  <si>
    <t>백두산양꼬치(순천)</t>
  </si>
  <si>
    <t>브라더양꼬치(정읍)</t>
  </si>
  <si>
    <t>야래향양꼬치(군산)</t>
  </si>
  <si>
    <t>연변나나가맥(전주덕진)</t>
  </si>
  <si>
    <t>장백산(용봉동)</t>
  </si>
  <si>
    <t>중화정(중화산점)</t>
  </si>
  <si>
    <t>행복전통양꼬치(동광양)</t>
  </si>
  <si>
    <t>벨라</t>
  </si>
  <si>
    <t xml:space="preserve">중화정(송천) </t>
  </si>
  <si>
    <t>한반도양꼬치(군산)</t>
  </si>
  <si>
    <t>팡팡</t>
  </si>
  <si>
    <t>더세인트</t>
  </si>
  <si>
    <t>미래향(하남용아로)</t>
  </si>
  <si>
    <t>신금원무한리필충칭훠궈&amp;양꼬치</t>
  </si>
  <si>
    <t>이화양꼬치(송정)</t>
  </si>
  <si>
    <t>취홍(첨단)</t>
  </si>
  <si>
    <t>츠츠허허(용봉)</t>
  </si>
  <si>
    <t>태양부양꼬치(전주효자)</t>
  </si>
  <si>
    <t>선소맥주(소호)</t>
  </si>
  <si>
    <t>마마스케일</t>
  </si>
  <si>
    <t>순천양꼬치(동광양)</t>
  </si>
  <si>
    <t>순천양꼬치(순천조례동)</t>
  </si>
  <si>
    <t>종로맥가(수송)</t>
  </si>
  <si>
    <t>라온더카페</t>
  </si>
  <si>
    <t>여기다 양꼬치(목포)</t>
  </si>
  <si>
    <t>판다손양꼬치(호대)</t>
  </si>
  <si>
    <t>금향달양꼬치(왕지)</t>
  </si>
  <si>
    <t>북경양갈비(남악)</t>
  </si>
  <si>
    <t>가원양갈비(순천)</t>
  </si>
  <si>
    <t>대한양꼬치훠커(우산동)</t>
  </si>
  <si>
    <t>천리향양꼬치(염주)</t>
  </si>
  <si>
    <t>주도씨(상무)</t>
  </si>
  <si>
    <t>풍호양꼬치(충장)</t>
  </si>
  <si>
    <t>노퉁궈(월계)</t>
  </si>
  <si>
    <t>풍호양꼬치(첨단)</t>
  </si>
  <si>
    <t>천지양꼬치(나주)</t>
  </si>
  <si>
    <t>마돈나(치평)</t>
  </si>
  <si>
    <t>첨단포차(첨단)</t>
  </si>
  <si>
    <t>미미(풍암)</t>
  </si>
  <si>
    <t>아리산(주월)</t>
  </si>
  <si>
    <t>나주양꼬치마라탕(나주)</t>
  </si>
  <si>
    <t>와바양꼬치(대불)</t>
  </si>
  <si>
    <t>신풍참숯양꼬치(신대)</t>
  </si>
  <si>
    <t>컬러드 쟝리</t>
  </si>
  <si>
    <t>굴양갈비(군산)</t>
  </si>
  <si>
    <t>굿모닝(전주)</t>
  </si>
  <si>
    <t>명인양꼬치(익산)</t>
  </si>
  <si>
    <t>복만각양꼬치훠궈(군산)</t>
  </si>
  <si>
    <t>오꾸닭-오븐에꾸운닭(선암, 호대)</t>
  </si>
  <si>
    <t>팔선(첨단)</t>
  </si>
  <si>
    <t>홍금마라(화순읍)</t>
  </si>
  <si>
    <t>천지원양꼬치(여서)</t>
  </si>
  <si>
    <t>종로맥가(송천)</t>
  </si>
  <si>
    <t>기타루(금호)</t>
  </si>
  <si>
    <t>광주광역시</t>
  </si>
  <si>
    <t>설죽로217번길 29</t>
  </si>
  <si>
    <t>곽경준</t>
  </si>
  <si>
    <t>저불로31번길 6</t>
  </si>
  <si>
    <t>반룡로 35 1층</t>
  </si>
  <si>
    <t>금화로73번길 2-7</t>
  </si>
  <si>
    <t>상무오월로3번길 12</t>
  </si>
  <si>
    <t>대남대로159번길 13</t>
  </si>
  <si>
    <t xml:space="preserve">상무화원로32번길 25-9 </t>
  </si>
  <si>
    <t>전라북도</t>
  </si>
  <si>
    <t>전주시</t>
  </si>
  <si>
    <t>완산구 효자로 285</t>
  </si>
  <si>
    <t>덕진구 아중로 209</t>
  </si>
  <si>
    <t>완산구 용리로 36-19</t>
  </si>
  <si>
    <t>황계로55번길 24</t>
  </si>
  <si>
    <t>군산시</t>
  </si>
  <si>
    <t>동수송안길 45 105, 106호</t>
  </si>
  <si>
    <t>상무번영로 44 1층</t>
  </si>
  <si>
    <t>전라남도</t>
  </si>
  <si>
    <t>목포시</t>
  </si>
  <si>
    <t>원형로 45 1층</t>
  </si>
  <si>
    <t>순천시</t>
  </si>
  <si>
    <t>봉화2길 38</t>
  </si>
  <si>
    <t>익산시</t>
  </si>
  <si>
    <t>무왕로4길 32</t>
  </si>
  <si>
    <t>봉선2로 30 1층</t>
  </si>
  <si>
    <t>덕진구 명륜3길 16 1층</t>
  </si>
  <si>
    <t>서북구 불당33길 17</t>
  </si>
  <si>
    <t>서북구 원두정8길 18 1층</t>
  </si>
  <si>
    <t>대전광역시</t>
  </si>
  <si>
    <t>대덕대로185번길 37 1층</t>
  </si>
  <si>
    <t>수완로74번길 12-2</t>
  </si>
  <si>
    <t>대학로 60 매드블럭 1층</t>
  </si>
  <si>
    <t>부안군</t>
  </si>
  <si>
    <t> 부안읍 진성길 20</t>
  </si>
  <si>
    <t> 배산로10길 3</t>
  </si>
  <si>
    <t>서문대로749번길 14</t>
  </si>
  <si>
    <t>북문대로33번길 3</t>
  </si>
  <si>
    <t>용봉택지로 53 1층</t>
  </si>
  <si>
    <t> 수송안2길 4</t>
  </si>
  <si>
    <t>완산구 평화로 150 </t>
  </si>
  <si>
    <t>서동로 105-1</t>
  </si>
  <si>
    <t>배산로 149</t>
  </si>
  <si>
    <t>나주시</t>
  </si>
  <si>
    <t>빛가람동 205-1 </t>
  </si>
  <si>
    <t>봉선중앙로47번길 12 </t>
  </si>
  <si>
    <t> 하나로 437</t>
  </si>
  <si>
    <t>완산구 새터로 30지도</t>
  </si>
  <si>
    <t>덕진구 두간로 16</t>
  </si>
  <si>
    <t>완산구 마전들로 49 </t>
  </si>
  <si>
    <t>덕진구 건산로 263</t>
  </si>
  <si>
    <t>완산구 당산로 99 </t>
  </si>
  <si>
    <t>서하로 362-3 </t>
  </si>
  <si>
    <t>호동로 13-6</t>
  </si>
  <si>
    <t> 죽산로 38</t>
  </si>
  <si>
    <t>유림로98번길 41</t>
  </si>
  <si>
    <t>임방울대로800번길 77</t>
  </si>
  <si>
    <t>중앙로 132</t>
  </si>
  <si>
    <t>선화로 67</t>
  </si>
  <si>
    <t>대자로 36 116호</t>
  </si>
  <si>
    <t xml:space="preserve">금화로85번길 23 </t>
  </si>
  <si>
    <t>완산구 홍산중앙로 33 1층</t>
  </si>
  <si>
    <t>덕진구 혁신로 665</t>
  </si>
  <si>
    <t>덕진구 명륜3길 22</t>
  </si>
  <si>
    <t>완주군</t>
  </si>
  <si>
    <t>이서면 혁신로 243-19</t>
  </si>
  <si>
    <t>여수시</t>
  </si>
  <si>
    <t>시청서 5길 15</t>
  </si>
  <si>
    <t>정읍시</t>
  </si>
  <si>
    <t>중앙1길 1</t>
  </si>
  <si>
    <t>오천5길 12</t>
  </si>
  <si>
    <t>첨단내촌로70번길 72-2 </t>
  </si>
  <si>
    <t>덕진구 오정1길 11</t>
  </si>
  <si>
    <t>첨단중앙로152번길 5-15</t>
  </si>
  <si>
    <t>덕진구 건산로 264</t>
  </si>
  <si>
    <t>장미1길 4</t>
  </si>
  <si>
    <t>구례군</t>
  </si>
  <si>
    <t>토지면 피아골로 9</t>
  </si>
  <si>
    <t>무안군</t>
  </si>
  <si>
    <t>삼향읍 대죽서로15번길 30 </t>
  </si>
  <si>
    <t>용아로399번길 28</t>
  </si>
  <si>
    <t>서동로 77</t>
  </si>
  <si>
    <t>악선대로 70길 22</t>
  </si>
  <si>
    <t>서석로10번길 9</t>
  </si>
  <si>
    <t>선화로7길 39</t>
  </si>
  <si>
    <t>상무중앙로78번길 6 지우빌딩</t>
  </si>
  <si>
    <t>용봉택지로 72 1층</t>
  </si>
  <si>
    <t>상무오월로3번길 4 </t>
  </si>
  <si>
    <t>임방울대로826번길 42 1~2층</t>
  </si>
  <si>
    <t>번영2로 78-14 1층</t>
  </si>
  <si>
    <t>충청북도</t>
  </si>
  <si>
    <t>나성로 125-16</t>
  </si>
  <si>
    <t>관평1로 57 1층</t>
  </si>
  <si>
    <t>중앙로122번길 34 1층</t>
  </si>
  <si>
    <t>임방울대로801번길 29</t>
  </si>
  <si>
    <t>완산구 효자로 275</t>
  </si>
  <si>
    <t>덕진구 시천로 70 1층</t>
  </si>
  <si>
    <t>문수로 90</t>
  </si>
  <si>
    <t>상무연하로 13</t>
  </si>
  <si>
    <t>풍영로101번안길 11-6</t>
  </si>
  <si>
    <t> 기적의도서관1길 86</t>
  </si>
  <si>
    <t>풍암1로21번길 7</t>
  </si>
  <si>
    <t>광양시</t>
  </si>
  <si>
    <t> 광양읍 서평로 45</t>
  </si>
  <si>
    <t>미장1길 40</t>
  </si>
  <si>
    <t> 오식도동 670-1</t>
  </si>
  <si>
    <t>장평안길 37</t>
  </si>
  <si>
    <t>중앙로 253</t>
  </si>
  <si>
    <t>가도로 203</t>
  </si>
  <si>
    <t>덕진구 권삼득로 251-3</t>
  </si>
  <si>
    <t>반룡로 35</t>
  </si>
  <si>
    <t>완산구 신촌4길 9</t>
  </si>
  <si>
    <t>발섬길 33</t>
  </si>
  <si>
    <t> 시청동5길 20</t>
  </si>
  <si>
    <t> 덕진구 붓내3길</t>
  </si>
  <si>
    <t> 신평안길 16-1</t>
  </si>
  <si>
    <t>자미로66번길 7</t>
  </si>
  <si>
    <t> 의재로 147</t>
  </si>
  <si>
    <t>용아로 404</t>
  </si>
  <si>
    <t>어등대로 412</t>
  </si>
  <si>
    <t>광산로20번길 13</t>
  </si>
  <si>
    <t>월계로 223-11</t>
  </si>
  <si>
    <t> 설죽로217번길 12 </t>
  </si>
  <si>
    <t> 완산구 홍산4길 16</t>
  </si>
  <si>
    <t>소호1길 38 3층 </t>
  </si>
  <si>
    <t>효우로 87 씨티메디컬 1층</t>
  </si>
  <si>
    <t>눈소1길 5, 1층</t>
  </si>
  <si>
    <t>봉화로 252</t>
  </si>
  <si>
    <t>수송남로 40</t>
  </si>
  <si>
    <t>김제시</t>
  </si>
  <si>
    <t>검산택지1길 21-3</t>
  </si>
  <si>
    <t>신흥로 86 1층 (옥암동)</t>
  </si>
  <si>
    <t>선운로2번길 1</t>
  </si>
  <si>
    <t>비봉1길 15</t>
  </si>
  <si>
    <t>삼향읍 남악5로52번길 15</t>
  </si>
  <si>
    <t>연향상가2길 8 1층</t>
  </si>
  <si>
    <t>풍영철길로 15 </t>
  </si>
  <si>
    <t>염화로65번길 4-14</t>
  </si>
  <si>
    <t>치평동 1223-3</t>
  </si>
  <si>
    <t>충장로안길 5-4, 1층 102호</t>
  </si>
  <si>
    <t> 임방울대로826번길 60-1</t>
  </si>
  <si>
    <t>임방울대로800번길 37</t>
  </si>
  <si>
    <t>상야4길 21</t>
  </si>
  <si>
    <t>시청서편로4번길 14</t>
  </si>
  <si>
    <t>첨단중앙로67번길 8-12 1층</t>
  </si>
  <si>
    <t> 풍암1로 9 1층</t>
  </si>
  <si>
    <t>봉선중앙로123번길 24, 1층 (봉선동)</t>
  </si>
  <si>
    <t>빛가람동 330-7</t>
  </si>
  <si>
    <t>영암군</t>
  </si>
  <si>
    <t>삼호읍 대불주거1로 6길 21</t>
  </si>
  <si>
    <t>해룡면 매안로 99 1층</t>
  </si>
  <si>
    <t>비엔날레로 115 1층 </t>
  </si>
  <si>
    <t> 칠성로 170</t>
  </si>
  <si>
    <t>삼송3길 6 1층</t>
  </si>
  <si>
    <t>선화로3길 31-3</t>
  </si>
  <si>
    <t> 칠성로 166</t>
  </si>
  <si>
    <t>어등대로 410-1</t>
  </si>
  <si>
    <t>임방울대로826번길 42 </t>
  </si>
  <si>
    <t>화순시</t>
  </si>
  <si>
    <t>화순읍 쌍충로 108</t>
  </si>
  <si>
    <t>여문1로 37</t>
  </si>
  <si>
    <t xml:space="preserve">금화로73번길 </t>
  </si>
  <si>
    <t>포항양갈비</t>
  </si>
  <si>
    <t>죽도동 325</t>
  </si>
  <si>
    <t>양공방양꼬치</t>
  </si>
  <si>
    <t>상모로8길 20 1층</t>
  </si>
  <si>
    <t>해금양꼬치</t>
  </si>
  <si>
    <t>구지면 과학마을로4길 7-8</t>
  </si>
  <si>
    <t>Daegu</t>
  </si>
  <si>
    <t>왕만양꼬치</t>
  </si>
  <si>
    <t>이천로 38</t>
  </si>
  <si>
    <t>팔선생</t>
    <phoneticPr fontId="3" type="noConversion"/>
  </si>
  <si>
    <t>김태완</t>
    <phoneticPr fontId="3" type="noConversion"/>
  </si>
  <si>
    <t>장수루양꼬치</t>
    <phoneticPr fontId="3" type="noConversion"/>
  </si>
  <si>
    <t>손선호</t>
    <phoneticPr fontId="3" type="noConversion"/>
  </si>
  <si>
    <t>`</t>
  </si>
  <si>
    <t>남원양꼬치</t>
    <phoneticPr fontId="3" type="noConversion"/>
  </si>
  <si>
    <t>도남로15</t>
    <phoneticPr fontId="3" type="noConversion"/>
  </si>
  <si>
    <t>육도담</t>
    <phoneticPr fontId="3" type="noConversion"/>
  </si>
  <si>
    <t>도남로59</t>
    <phoneticPr fontId="3" type="noConversion"/>
  </si>
  <si>
    <t>설화</t>
    <phoneticPr fontId="3" type="noConversion"/>
  </si>
  <si>
    <t>구남로20</t>
    <phoneticPr fontId="3" type="noConversion"/>
  </si>
  <si>
    <t>신중산간</t>
    <phoneticPr fontId="3" type="noConversion"/>
  </si>
  <si>
    <t>노연로48</t>
    <phoneticPr fontId="3" type="noConversion"/>
  </si>
  <si>
    <t>고돔</t>
    <phoneticPr fontId="3" type="noConversion"/>
  </si>
  <si>
    <t>테우해안로148, 1층</t>
    <phoneticPr fontId="3" type="noConversion"/>
  </si>
  <si>
    <t>윈드웨이브</t>
    <phoneticPr fontId="3" type="noConversion"/>
  </si>
  <si>
    <t>테우해안로148, 2층</t>
    <phoneticPr fontId="3" type="noConversion"/>
  </si>
  <si>
    <t>봉구비어(노형)</t>
    <phoneticPr fontId="3" type="noConversion"/>
  </si>
  <si>
    <t>다랑곶1길16</t>
    <phoneticPr fontId="3" type="noConversion"/>
  </si>
  <si>
    <t>킹콩해피하우스</t>
    <phoneticPr fontId="3" type="noConversion"/>
  </si>
  <si>
    <t>연동1길42</t>
    <phoneticPr fontId="3" type="noConversion"/>
  </si>
  <si>
    <t>제피로스</t>
    <phoneticPr fontId="3" type="noConversion"/>
  </si>
  <si>
    <t>서귀포시</t>
    <phoneticPr fontId="3" type="noConversion"/>
  </si>
  <si>
    <t>동홍로29</t>
    <phoneticPr fontId="3" type="noConversion"/>
  </si>
  <si>
    <t>제주장충왕족발</t>
    <phoneticPr fontId="3" type="noConversion"/>
  </si>
  <si>
    <t>선덕로12</t>
    <phoneticPr fontId="3" type="noConversion"/>
  </si>
  <si>
    <t>비어댐</t>
    <phoneticPr fontId="3" type="noConversion"/>
  </si>
  <si>
    <t>정재영</t>
    <phoneticPr fontId="3" type="noConversion"/>
  </si>
  <si>
    <t>중앙로41번길17</t>
    <phoneticPr fontId="3" type="noConversion"/>
  </si>
  <si>
    <t>2025Y</t>
  </si>
  <si>
    <t>2026Y</t>
  </si>
  <si>
    <t>Team</t>
  </si>
  <si>
    <t>DDE</t>
  </si>
  <si>
    <t>Outlet Name</t>
  </si>
  <si>
    <t>김교식</t>
  </si>
  <si>
    <t>덕진구 붓내3길 9-7</t>
  </si>
  <si>
    <t>심야식당(금호동)</t>
  </si>
  <si>
    <t>금화로 85번길 30-6</t>
  </si>
  <si>
    <t>심야식당(봉선동)</t>
  </si>
  <si>
    <t>봉선1로 47번길 2</t>
  </si>
  <si>
    <t>리얼식당(나주)</t>
  </si>
  <si>
    <t>배멧1길 22</t>
  </si>
  <si>
    <t>이층맥주</t>
  </si>
  <si>
    <t>봉선2로</t>
  </si>
  <si>
    <t>용용선생 군산조천점</t>
  </si>
  <si>
    <t>궁포안2길 14</t>
  </si>
  <si>
    <t>마피아</t>
  </si>
  <si>
    <t>상무오월로 15번길 28</t>
  </si>
  <si>
    <t>대한양꼬치훠커(도산동)</t>
  </si>
  <si>
    <t>도산로9번길 12 </t>
  </si>
  <si>
    <t>베니스</t>
  </si>
  <si>
    <t>여문문화길88</t>
  </si>
  <si>
    <t>와우(양산점)</t>
  </si>
  <si>
    <t>양산로45-1</t>
  </si>
  <si>
    <t>그루브</t>
  </si>
  <si>
    <t>여문문화1길 14 </t>
  </si>
  <si>
    <t>하노이맥주밤거리 두정점</t>
  </si>
  <si>
    <t>서북구 원두정6길 13 탑스빌</t>
  </si>
  <si>
    <t>정다운깨비 나주</t>
  </si>
  <si>
    <t>상야4길 22 대양스퀘어 120호</t>
  </si>
  <si>
    <t>봉맥당(봉선)</t>
  </si>
  <si>
    <t>봉선2로 21 2층</t>
  </si>
  <si>
    <t>비치갤러리(전남 목포시)</t>
  </si>
  <si>
    <t>해안로 2-2</t>
  </si>
  <si>
    <t>탕화쿵푸마라탕 웅천점</t>
  </si>
  <si>
    <t>예울마루로 37-26 </t>
  </si>
  <si>
    <t>밤마실</t>
  </si>
  <si>
    <t>광덕로 129-1</t>
  </si>
  <si>
    <t>더펍(진도쏠비치호텔)</t>
  </si>
  <si>
    <t>진도군</t>
  </si>
  <si>
    <t> 의신면 송군길 30-40</t>
  </si>
  <si>
    <t>유일장어</t>
  </si>
  <si>
    <t>동곡로 343 1층</t>
  </si>
  <si>
    <t>한잔어때</t>
  </si>
  <si>
    <t>천변우로 363-23 </t>
  </si>
  <si>
    <t>충장맥주</t>
  </si>
  <si>
    <t>천변우로 363-9 </t>
  </si>
  <si>
    <t>만리향양꼬치(익산)</t>
  </si>
  <si>
    <t>서동로 77 1층</t>
  </si>
  <si>
    <t>마육당(완주)</t>
  </si>
  <si>
    <t>삼례읍 삼봉3로 16</t>
  </si>
  <si>
    <t>양떼목장(양산동)</t>
  </si>
  <si>
    <t>양산택지로 27</t>
  </si>
  <si>
    <t>황하호연(풍암)</t>
  </si>
  <si>
    <t>풍금로4번길 9-2 </t>
  </si>
  <si>
    <t>엘리팝순천왕지점</t>
  </si>
  <si>
    <t>왕지4길 9-11</t>
  </si>
  <si>
    <t>셀프주류소</t>
  </si>
  <si>
    <t>삼향읍 남악5로34번길 7-5</t>
  </si>
  <si>
    <t>노가리앤비어(첨단)</t>
  </si>
  <si>
    <t>첨단중앙로152번길 61</t>
  </si>
  <si>
    <t>충장맥주7080</t>
  </si>
  <si>
    <t>중앙로160번길 31-31 </t>
  </si>
  <si>
    <t>정주막 상무점</t>
  </si>
  <si>
    <t>상무중앙로78번길 9</t>
  </si>
  <si>
    <t>오주모(화순)</t>
  </si>
  <si>
    <t> 화순읍 광덕로 220</t>
  </si>
  <si>
    <t>김복남맥주(여수죽림점)</t>
  </si>
  <si>
    <t>소라면 죽림중앙로 30-47</t>
  </si>
  <si>
    <t>걍오소</t>
  </si>
  <si>
    <t>천변우하로 383 1층</t>
  </si>
  <si>
    <t>디오픈(영등)</t>
  </si>
  <si>
    <t>고봉로 176-1</t>
  </si>
  <si>
    <t>숯불구이집</t>
  </si>
  <si>
    <t>부송로110</t>
  </si>
  <si>
    <t>짜이짜이</t>
  </si>
  <si>
    <t>충장로안길 5-3 </t>
  </si>
  <si>
    <t>급한마음상무본점</t>
  </si>
  <si>
    <t>상무평화로 106</t>
  </si>
  <si>
    <t>라오니</t>
  </si>
  <si>
    <t>덕진구 석소로 9-6</t>
  </si>
  <si>
    <t>헬로훠궈(상무)</t>
  </si>
  <si>
    <t>운천로 253 2층 </t>
  </si>
  <si>
    <t>노대비어</t>
  </si>
  <si>
    <t>노대동 854</t>
  </si>
  <si>
    <t>구구왕마라탕</t>
  </si>
  <si>
    <t>충남 천안시 동남구 먹거리8길 27</t>
  </si>
  <si>
    <t>둥이짬뽕(인동)</t>
  </si>
  <si>
    <t>인동 256-1</t>
  </si>
  <si>
    <t>옥이네옻닭(성정)</t>
  </si>
  <si>
    <t>서북구 서부1길 66</t>
  </si>
  <si>
    <t>밤절로 132-113</t>
  </si>
  <si>
    <t>통파이브(오류)</t>
  </si>
  <si>
    <t>계룡로 874번길 19-8</t>
  </si>
  <si>
    <t>탕화쿵푸(반석)</t>
  </si>
  <si>
    <t>반석로 13</t>
  </si>
  <si>
    <t>종로맥가(도마)</t>
  </si>
  <si>
    <t>도솔로 126-1</t>
  </si>
  <si>
    <t>송화강 양정점</t>
  </si>
  <si>
    <t>거제대로60번길 25,2층</t>
  </si>
  <si>
    <t>태향원</t>
  </si>
  <si>
    <t>신호산단2로 43-16</t>
  </si>
  <si>
    <t>따거양꼬치</t>
  </si>
  <si>
    <t>양운로80번길 12,1층</t>
  </si>
  <si>
    <t>신아리랑양꼬치</t>
  </si>
  <si>
    <t>거제중앙로 31길 6-1</t>
  </si>
  <si>
    <t>창성양꼬치</t>
  </si>
  <si>
    <t>진영읍 진산대로 26번길 24-14</t>
  </si>
  <si>
    <t>왕가네양꼬치(진주)</t>
  </si>
  <si>
    <t>동진로 20번길 27 , 2층</t>
  </si>
  <si>
    <t>여기다양꼬치(본점)</t>
  </si>
  <si>
    <t>상대동 300-64</t>
  </si>
  <si>
    <t>양과의하루 숯불양꼬치 1호점</t>
  </si>
  <si>
    <t>광복로 17 2층</t>
  </si>
  <si>
    <t>설중(남포)</t>
  </si>
  <si>
    <t>중구 보수대로24번길 7 1층</t>
  </si>
  <si>
    <t>시먼띵(동구)</t>
  </si>
  <si>
    <t>대영로243번길 43 초량월드타운(지하1층)</t>
  </si>
  <si>
    <t>원향제(동구)</t>
  </si>
  <si>
    <t>대영로243번길 60</t>
  </si>
  <si>
    <t>조니비어(괴정점)</t>
  </si>
  <si>
    <t>낙동대로233번길 27 1층</t>
  </si>
  <si>
    <t>구구구양꼬치(수영2호점)</t>
  </si>
  <si>
    <t>수영로 682 2층</t>
  </si>
  <si>
    <t>오뎅양꼬치(신평)</t>
  </si>
  <si>
    <t>하신번영로163번길 32</t>
  </si>
  <si>
    <t>이런이궈마라탕(대연동)</t>
  </si>
  <si>
    <t>용소로13번길 27 2층</t>
  </si>
  <si>
    <t>본가양꼬치(수영)</t>
  </si>
  <si>
    <t>과정로 53</t>
  </si>
  <si>
    <t>7080주막(신평)</t>
  </si>
  <si>
    <t>신평동 612-7</t>
  </si>
  <si>
    <t>이주석</t>
    <phoneticPr fontId="3" type="noConversion"/>
  </si>
  <si>
    <t>이민규</t>
    <phoneticPr fontId="3" type="noConversion"/>
  </si>
  <si>
    <t>이현진</t>
    <phoneticPr fontId="3" type="noConversion"/>
  </si>
  <si>
    <t>녹산(서울 종로구)</t>
    <phoneticPr fontId="3" type="noConversion"/>
  </si>
  <si>
    <t>서울시</t>
    <phoneticPr fontId="3" type="noConversion"/>
  </si>
  <si>
    <t>성균관로4길42, 1층</t>
    <phoneticPr fontId="3" type="noConversion"/>
  </si>
  <si>
    <t>하이디라오(명동)</t>
    <phoneticPr fontId="3" type="noConversion"/>
  </si>
  <si>
    <t>명동3길36</t>
    <phoneticPr fontId="3" type="noConversion"/>
  </si>
  <si>
    <t>하이디라오(코엑스)</t>
    <phoneticPr fontId="3" type="noConversion"/>
  </si>
  <si>
    <t>테헤란로87길58</t>
    <phoneticPr fontId="3" type="noConversion"/>
  </si>
  <si>
    <t>하이디라오(가산)</t>
    <phoneticPr fontId="3" type="noConversion"/>
  </si>
  <si>
    <t>디지털로10길9</t>
    <phoneticPr fontId="3" type="noConversion"/>
  </si>
  <si>
    <t>하이디라오(대학로)</t>
    <phoneticPr fontId="3" type="noConversion"/>
  </si>
  <si>
    <t>대학로146 3층</t>
    <phoneticPr fontId="3" type="noConversion"/>
  </si>
  <si>
    <t>강남구</t>
    <phoneticPr fontId="3" type="noConversion"/>
  </si>
  <si>
    <t>종로구</t>
    <phoneticPr fontId="3" type="noConversion"/>
  </si>
  <si>
    <t>서울 종로구 자하문로1길 34, 1층,2층</t>
    <phoneticPr fontId="3" type="noConversion"/>
  </si>
  <si>
    <t>중구</t>
    <phoneticPr fontId="3" type="noConversion"/>
  </si>
  <si>
    <t>엄상훈</t>
    <phoneticPr fontId="3" type="noConversion"/>
  </si>
  <si>
    <t>박홍준</t>
    <phoneticPr fontId="3" type="noConversion"/>
  </si>
  <si>
    <t>이은희</t>
    <phoneticPr fontId="3" type="noConversion"/>
  </si>
  <si>
    <t>강상태</t>
    <phoneticPr fontId="3" type="noConversion"/>
  </si>
  <si>
    <t>김필성</t>
    <phoneticPr fontId="3" type="noConversion"/>
  </si>
  <si>
    <t>경기도</t>
    <phoneticPr fontId="3" type="noConversion"/>
  </si>
  <si>
    <t>부천시</t>
    <phoneticPr fontId="3" type="noConversion"/>
  </si>
  <si>
    <t xml:space="preserve">경기도 </t>
    <phoneticPr fontId="3" type="noConversion"/>
  </si>
  <si>
    <t>평택시</t>
    <phoneticPr fontId="3" type="noConversion"/>
  </si>
  <si>
    <t>홍건석</t>
    <phoneticPr fontId="3" type="noConversion"/>
  </si>
  <si>
    <t>인천시</t>
    <phoneticPr fontId="3" type="noConversion"/>
  </si>
  <si>
    <t>강북구</t>
    <phoneticPr fontId="3" type="noConversion"/>
  </si>
  <si>
    <t>성남시</t>
    <phoneticPr fontId="3" type="noConversion"/>
  </si>
  <si>
    <t>김균태</t>
    <phoneticPr fontId="3" type="noConversion"/>
  </si>
  <si>
    <t>충청북도</t>
    <phoneticPr fontId="3" type="noConversion"/>
  </si>
  <si>
    <t>TBD</t>
    <phoneticPr fontId="3" type="noConversion"/>
  </si>
  <si>
    <t>박건영</t>
    <phoneticPr fontId="3" type="noConversion"/>
  </si>
  <si>
    <t>마포구</t>
    <phoneticPr fontId="3" type="noConversion"/>
  </si>
  <si>
    <t>강원도</t>
    <phoneticPr fontId="3" type="noConversion"/>
  </si>
  <si>
    <t>송파구</t>
    <phoneticPr fontId="3" type="noConversion"/>
  </si>
  <si>
    <t>미추홀구</t>
    <phoneticPr fontId="3" type="noConversion"/>
  </si>
  <si>
    <t>대전시</t>
    <phoneticPr fontId="3" type="noConversion"/>
  </si>
  <si>
    <t>남양주시</t>
    <phoneticPr fontId="3" type="noConversion"/>
  </si>
  <si>
    <t>고양시</t>
    <phoneticPr fontId="3" type="noConversion"/>
  </si>
  <si>
    <t>화성시</t>
    <phoneticPr fontId="3" type="noConversion"/>
  </si>
  <si>
    <t>안산시</t>
    <phoneticPr fontId="3" type="noConversion"/>
  </si>
  <si>
    <t>일산서구 주엽로 80</t>
    <phoneticPr fontId="3" type="noConversion"/>
  </si>
  <si>
    <t>전라남도</t>
    <phoneticPr fontId="3" type="noConversion"/>
  </si>
  <si>
    <t>영암군</t>
    <phoneticPr fontId="3" type="noConversion"/>
  </si>
  <si>
    <t>대불주거1로6길 21</t>
    <phoneticPr fontId="3" type="noConversion"/>
  </si>
  <si>
    <t>신강양꼬치(강원도 원주시)</t>
    <phoneticPr fontId="3" type="noConversion"/>
  </si>
  <si>
    <t>금불3길 10</t>
  </si>
  <si>
    <t>신강양꼬치 2호점(강원도 원주시)</t>
    <phoneticPr fontId="3" type="noConversion"/>
  </si>
  <si>
    <t>금불2길 7</t>
  </si>
  <si>
    <t>대명부양꼬치 무실점(강원도 원주시)</t>
    <phoneticPr fontId="3" type="noConversion"/>
  </si>
  <si>
    <t>봉바위길 5-1</t>
  </si>
  <si>
    <t>대명부양꼬치 기업점(강원도 원주시)</t>
    <phoneticPr fontId="3" type="noConversion"/>
  </si>
  <si>
    <t>신지정로 167-2</t>
  </si>
  <si>
    <t>태양부양꼬치 후평점(강원도 춘천시)</t>
    <phoneticPr fontId="3" type="noConversion"/>
  </si>
  <si>
    <t>후석로318</t>
  </si>
  <si>
    <t>Seoul</t>
    <phoneticPr fontId="3" type="noConversion"/>
  </si>
  <si>
    <t>팔월잔칫날(서울시 광진구)</t>
    <phoneticPr fontId="3" type="noConversion"/>
  </si>
  <si>
    <t>광진구</t>
    <phoneticPr fontId="3" type="noConversion"/>
  </si>
  <si>
    <t>아차산로76길 5</t>
    <phoneticPr fontId="3" type="noConversion"/>
  </si>
  <si>
    <t>경성양꼬치(서울시 광진구)</t>
    <phoneticPr fontId="3" type="noConversion"/>
  </si>
  <si>
    <t>동일로18길 53</t>
    <phoneticPr fontId="3" type="noConversion"/>
  </si>
  <si>
    <t>송화양꼬치(서울시 광진구)</t>
    <phoneticPr fontId="3" type="noConversion"/>
  </si>
  <si>
    <t>동일로18길 70</t>
    <phoneticPr fontId="3" type="noConversion"/>
  </si>
  <si>
    <t>흑돈가 명동점 / 제주흑돈한우명가(서울 중구)</t>
  </si>
  <si>
    <t xml:space="preserve">서울시 </t>
    <phoneticPr fontId="3" type="noConversion"/>
  </si>
  <si>
    <t>서울 중구 명동7길 21,지하 1층</t>
    <phoneticPr fontId="3" type="noConversion"/>
  </si>
  <si>
    <t>화포엠(서울 성동구)</t>
    <phoneticPr fontId="3" type="noConversion"/>
  </si>
  <si>
    <t>성동구</t>
    <phoneticPr fontId="3" type="noConversion"/>
  </si>
  <si>
    <t>서울 성동구 왕십리로5길 9-16, 2층</t>
    <phoneticPr fontId="3" type="noConversion"/>
  </si>
  <si>
    <t>(자)중국주류</t>
    <phoneticPr fontId="3" type="noConversion"/>
  </si>
  <si>
    <t>동북선미(서울 동작구)</t>
    <phoneticPr fontId="3" type="noConversion"/>
  </si>
  <si>
    <t>동작구</t>
    <phoneticPr fontId="3" type="noConversion"/>
  </si>
  <si>
    <t>대림도 30 2층</t>
    <phoneticPr fontId="3" type="noConversion"/>
  </si>
  <si>
    <t>로즈마린</t>
    <phoneticPr fontId="3" type="noConversion"/>
  </si>
  <si>
    <t>범어천로 170-1 1층 2층</t>
  </si>
  <si>
    <t>옥선양꼬치</t>
  </si>
  <si>
    <t>달구벌대로 129길 38</t>
  </si>
  <si>
    <t>서당로9길 11 1층</t>
  </si>
  <si>
    <t>마더파더 인천직영점</t>
  </si>
  <si>
    <t>박홍준</t>
  </si>
  <si>
    <t>우현로35번길 8</t>
  </si>
  <si>
    <t>공을기(인천시 부평구)</t>
  </si>
  <si>
    <t>부평대로63번길 10-4</t>
  </si>
  <si>
    <t>동북양꼬치(횡성군횡성읍)</t>
  </si>
  <si>
    <t>횡성군</t>
  </si>
  <si>
    <t>읍하남로13번길 42</t>
  </si>
  <si>
    <t>동북양꼬치(원주시태장동)</t>
  </si>
  <si>
    <t>북원상가길 46</t>
  </si>
  <si>
    <t>용용선생 혁신도시점(원주시반곡동)</t>
  </si>
  <si>
    <t>봄마중길 34-1</t>
  </si>
  <si>
    <t>양미정양꼬치(서울 송파구)</t>
  </si>
  <si>
    <t>강상태</t>
  </si>
  <si>
    <t>올림픽로32길 29</t>
  </si>
  <si>
    <t>구친구양꼬치</t>
  </si>
  <si>
    <t>금곡대로 285번길 62,103호</t>
  </si>
  <si>
    <t>바바감성포차</t>
  </si>
  <si>
    <t>중앙대로928번길 20</t>
  </si>
  <si>
    <t>우선생양꼬치 동래점</t>
  </si>
  <si>
    <t>중앙대로1367번길 70-4,101호</t>
  </si>
  <si>
    <t>명객양꼬치 사상점</t>
  </si>
  <si>
    <t>사상로212번길 11</t>
  </si>
  <si>
    <t>소설</t>
  </si>
  <si>
    <t>광안해변로255번길 17 102호</t>
  </si>
  <si>
    <t>닥터비어</t>
  </si>
  <si>
    <t>동매로 11</t>
  </si>
  <si>
    <t>양산박</t>
  </si>
  <si>
    <t>마산합포구 해안대로 25</t>
  </si>
  <si>
    <t>옥포동 1974</t>
  </si>
  <si>
    <t>마산회원구 합성남2길 49</t>
  </si>
  <si>
    <t>징기스칸양꼬치&amp;양갈비</t>
  </si>
  <si>
    <t>우암로 45 ,1 층</t>
  </si>
  <si>
    <t>백두산샤브양꼬치(거제중곡)</t>
  </si>
  <si>
    <t>중곡로1길 34</t>
  </si>
  <si>
    <t/>
  </si>
  <si>
    <t>최강맥주(탄방)</t>
  </si>
  <si>
    <t>대전 서구 계룡로509번길 37 지하1층</t>
  </si>
  <si>
    <t>제이제이(오송)</t>
  </si>
  <si>
    <t>만수리 773</t>
  </si>
  <si>
    <t>우주생맥주 세계맥주(송촌)</t>
  </si>
  <si>
    <t>송촌동 4767-5</t>
  </si>
  <si>
    <t>신무한훠궈</t>
  </si>
  <si>
    <t>광주광역시</t>
    <phoneticPr fontId="3" type="noConversion"/>
  </si>
  <si>
    <t>북구</t>
    <phoneticPr fontId="3" type="noConversion"/>
  </si>
  <si>
    <t>설죽로 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</si>
</sst>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Arial"/>
      <family val="2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9"/>
      <color indexed="81"/>
      <name val="BatangChe"/>
      <family val="3"/>
      <charset val="129"/>
    </font>
    <font>
      <b/>
      <sz val="9"/>
      <color indexed="81"/>
      <name val="Tahoma"/>
      <family val="2"/>
    </font>
    <font>
      <sz val="12"/>
      <color rgb="FF000000"/>
      <name val="Arial"/>
      <family val="2"/>
    </font>
    <font>
      <b/>
      <sz val="14"/>
      <color indexed="81"/>
      <name val="BatangChe"/>
      <family val="3"/>
      <charset val="129"/>
    </font>
    <font>
      <b/>
      <sz val="14"/>
      <color indexed="81"/>
      <name val="Tahoma"/>
      <family val="2"/>
    </font>
    <font>
      <sz val="10"/>
      <name val="Calibri"/>
      <family val="2"/>
    </font>
    <font>
      <sz val="8"/>
      <name val="돋움"/>
      <family val="3"/>
      <charset val="129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sz val="9"/>
      <color indexed="81"/>
      <name val="맑은 고딕"/>
      <family val="3"/>
      <charset val="129"/>
    </font>
    <font>
      <b/>
      <sz val="9"/>
      <color indexed="8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sz val="11"/>
      <name val="맑은 고딕"/>
      <family val="2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D5D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0" fontId="12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49" fontId="10" fillId="0" borderId="7" xfId="0" applyNumberFormat="1" applyFont="1" applyBorder="1" applyAlignment="1">
      <alignment horizontal="center" vertical="center"/>
    </xf>
    <xf numFmtId="0" fontId="0" fillId="4" borderId="0" xfId="0" applyFill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4" borderId="14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6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2" fillId="0" borderId="18" xfId="0" applyFont="1" applyBorder="1" applyAlignment="1" applyProtection="1">
      <alignment horizontal="center" vertical="center"/>
      <protection locked="0"/>
    </xf>
    <xf numFmtId="0" fontId="0" fillId="0" borderId="19" xfId="0" applyBorder="1" applyProtection="1">
      <alignment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41" fontId="0" fillId="0" borderId="16" xfId="1" applyFont="1" applyFill="1" applyBorder="1" applyProtection="1">
      <alignment vertical="center"/>
      <protection locked="0"/>
    </xf>
    <xf numFmtId="41" fontId="0" fillId="0" borderId="1" xfId="1" applyFont="1" applyFill="1" applyBorder="1" applyProtection="1">
      <alignment vertical="center"/>
      <protection locked="0"/>
    </xf>
    <xf numFmtId="41" fontId="0" fillId="0" borderId="17" xfId="1" applyFont="1" applyBorder="1" applyProtection="1">
      <alignment vertical="center"/>
      <protection locked="0"/>
    </xf>
    <xf numFmtId="41" fontId="0" fillId="0" borderId="0" xfId="1" applyFont="1">
      <alignment vertical="center"/>
    </xf>
    <xf numFmtId="41" fontId="0" fillId="0" borderId="16" xfId="1" applyFont="1" applyBorder="1">
      <alignment vertical="center"/>
    </xf>
    <xf numFmtId="41" fontId="0" fillId="0" borderId="1" xfId="1" applyFont="1" applyBorder="1">
      <alignment vertical="center"/>
    </xf>
    <xf numFmtId="41" fontId="0" fillId="0" borderId="17" xfId="1" applyFont="1" applyBorder="1">
      <alignment vertical="center"/>
    </xf>
    <xf numFmtId="41" fontId="0" fillId="0" borderId="17" xfId="1" applyFont="1" applyFill="1" applyBorder="1" applyProtection="1">
      <alignment vertical="center"/>
      <protection locked="0"/>
    </xf>
    <xf numFmtId="41" fontId="0" fillId="0" borderId="16" xfId="1" applyFont="1" applyBorder="1" applyProtection="1">
      <alignment vertical="center"/>
      <protection locked="0"/>
    </xf>
    <xf numFmtId="41" fontId="0" fillId="0" borderId="1" xfId="1" applyFont="1" applyBorder="1" applyProtection="1">
      <alignment vertical="center"/>
      <protection locked="0"/>
    </xf>
    <xf numFmtId="41" fontId="0" fillId="0" borderId="20" xfId="1" applyFont="1" applyBorder="1" applyProtection="1">
      <alignment vertical="center"/>
      <protection locked="0"/>
    </xf>
    <xf numFmtId="41" fontId="0" fillId="0" borderId="21" xfId="1" applyFont="1" applyBorder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41" fontId="0" fillId="0" borderId="0" xfId="1" applyFont="1" applyFill="1">
      <alignment vertical="center"/>
    </xf>
    <xf numFmtId="41" fontId="0" fillId="0" borderId="16" xfId="1" applyFont="1" applyFill="1" applyBorder="1">
      <alignment vertical="center"/>
    </xf>
    <xf numFmtId="41" fontId="0" fillId="0" borderId="1" xfId="1" applyFont="1" applyFill="1" applyBorder="1">
      <alignment vertical="center"/>
    </xf>
    <xf numFmtId="41" fontId="0" fillId="0" borderId="17" xfId="1" applyFont="1" applyFill="1" applyBorder="1">
      <alignment vertical="center"/>
    </xf>
    <xf numFmtId="0" fontId="19" fillId="0" borderId="0" xfId="0" applyFont="1">
      <alignment vertical="center"/>
    </xf>
    <xf numFmtId="0" fontId="19" fillId="5" borderId="0" xfId="0" applyFont="1" applyFill="1">
      <alignment vertical="center"/>
    </xf>
    <xf numFmtId="0" fontId="19" fillId="0" borderId="0" xfId="0" applyFont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2" borderId="0" xfId="0" applyFill="1">
      <alignment vertical="center"/>
    </xf>
    <xf numFmtId="41" fontId="0" fillId="2" borderId="1" xfId="1" applyFont="1" applyFill="1" applyBorder="1">
      <alignment vertical="center"/>
    </xf>
    <xf numFmtId="41" fontId="0" fillId="2" borderId="17" xfId="1" applyFont="1" applyFill="1" applyBorder="1">
      <alignment vertical="center"/>
    </xf>
    <xf numFmtId="0" fontId="0" fillId="4" borderId="0" xfId="0" applyFill="1" applyAlignment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2" fillId="8" borderId="1" xfId="0" applyFont="1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0" borderId="1" xfId="0" applyFont="1" applyBorder="1">
      <alignment vertical="center"/>
    </xf>
    <xf numFmtId="41" fontId="0" fillId="0" borderId="16" xfId="5" applyFont="1" applyFill="1" applyBorder="1" applyProtection="1">
      <alignment vertical="center"/>
      <protection locked="0"/>
    </xf>
    <xf numFmtId="41" fontId="0" fillId="0" borderId="1" xfId="5" applyFont="1" applyFill="1" applyBorder="1" applyProtection="1">
      <alignment vertical="center"/>
      <protection locked="0"/>
    </xf>
    <xf numFmtId="41" fontId="0" fillId="0" borderId="17" xfId="5" applyFont="1" applyBorder="1" applyProtection="1">
      <alignment vertical="center"/>
      <protection locked="0"/>
    </xf>
    <xf numFmtId="41" fontId="0" fillId="0" borderId="17" xfId="5" applyFont="1" applyFill="1" applyBorder="1" applyProtection="1">
      <alignment vertical="center"/>
      <protection locked="0"/>
    </xf>
    <xf numFmtId="41" fontId="0" fillId="0" borderId="1" xfId="5" applyFont="1" applyBorder="1" applyProtection="1">
      <alignment vertical="center"/>
      <protection locked="0"/>
    </xf>
    <xf numFmtId="0" fontId="19" fillId="5" borderId="16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19" fillId="0" borderId="19" xfId="0" applyFont="1" applyBorder="1">
      <alignment vertical="center"/>
    </xf>
    <xf numFmtId="0" fontId="19" fillId="0" borderId="16" xfId="0" applyFont="1" applyBorder="1">
      <alignment vertical="center"/>
    </xf>
    <xf numFmtId="0" fontId="19" fillId="0" borderId="17" xfId="0" applyFont="1" applyBorder="1">
      <alignment vertical="center"/>
    </xf>
    <xf numFmtId="0" fontId="19" fillId="6" borderId="1" xfId="0" applyFont="1" applyFill="1" applyBorder="1">
      <alignment vertical="center"/>
    </xf>
    <xf numFmtId="0" fontId="19" fillId="5" borderId="1" xfId="0" applyFont="1" applyFill="1" applyBorder="1">
      <alignment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Protection="1">
      <alignment vertical="center"/>
      <protection locked="0"/>
    </xf>
    <xf numFmtId="41" fontId="0" fillId="2" borderId="0" xfId="5" applyFont="1" applyFill="1">
      <alignment vertical="center"/>
    </xf>
    <xf numFmtId="41" fontId="0" fillId="2" borderId="16" xfId="5" applyFont="1" applyFill="1" applyBorder="1">
      <alignment vertical="center"/>
    </xf>
    <xf numFmtId="41" fontId="0" fillId="2" borderId="1" xfId="5" applyFont="1" applyFill="1" applyBorder="1">
      <alignment vertical="center"/>
    </xf>
    <xf numFmtId="41" fontId="0" fillId="2" borderId="17" xfId="5" applyFont="1" applyFill="1" applyBorder="1">
      <alignment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1" xfId="0" applyFill="1" applyBorder="1" applyProtection="1">
      <alignment vertical="center"/>
      <protection locked="0"/>
    </xf>
    <xf numFmtId="0" fontId="0" fillId="7" borderId="19" xfId="0" applyFill="1" applyBorder="1" applyProtection="1">
      <alignment vertical="center"/>
      <protection locked="0"/>
    </xf>
    <xf numFmtId="41" fontId="0" fillId="7" borderId="1" xfId="5" applyFont="1" applyFill="1" applyBorder="1" applyProtection="1">
      <alignment vertical="center"/>
      <protection locked="0"/>
    </xf>
    <xf numFmtId="41" fontId="0" fillId="7" borderId="17" xfId="5" applyFont="1" applyFill="1" applyBorder="1" applyProtection="1">
      <alignment vertical="center"/>
      <protection locked="0"/>
    </xf>
    <xf numFmtId="41" fontId="0" fillId="7" borderId="0" xfId="5" applyFont="1" applyFill="1">
      <alignment vertical="center"/>
    </xf>
    <xf numFmtId="41" fontId="0" fillId="7" borderId="16" xfId="5" applyFont="1" applyFill="1" applyBorder="1">
      <alignment vertical="center"/>
    </xf>
    <xf numFmtId="41" fontId="0" fillId="7" borderId="1" xfId="5" applyFont="1" applyFill="1" applyBorder="1">
      <alignment vertical="center"/>
    </xf>
    <xf numFmtId="41" fontId="0" fillId="7" borderId="17" xfId="5" applyFont="1" applyFill="1" applyBorder="1">
      <alignment vertical="center"/>
    </xf>
    <xf numFmtId="0" fontId="0" fillId="2" borderId="1" xfId="0" applyFill="1" applyBorder="1">
      <alignment vertical="center"/>
    </xf>
    <xf numFmtId="41" fontId="0" fillId="2" borderId="16" xfId="5" applyFont="1" applyFill="1" applyBorder="1" applyProtection="1">
      <alignment vertical="center"/>
      <protection locked="0"/>
    </xf>
    <xf numFmtId="0" fontId="19" fillId="2" borderId="1" xfId="0" applyFont="1" applyFill="1" applyBorder="1">
      <alignment vertical="center"/>
    </xf>
    <xf numFmtId="0" fontId="17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</cellXfs>
  <cellStyles count="9">
    <cellStyle name="쉼표 [0]" xfId="1" builtinId="6"/>
    <cellStyle name="쉼표 [0] 2" xfId="2"/>
    <cellStyle name="쉼표 [0] 2 2" xfId="4"/>
    <cellStyle name="쉼표 [0] 2 2 2" xfId="8"/>
    <cellStyle name="쉼표 [0] 2 3" xfId="6"/>
    <cellStyle name="쉼표 [0] 3" xfId="3"/>
    <cellStyle name="쉼표 [0] 3 2" xfId="7"/>
    <cellStyle name="쉼표 [0] 4" xfId="5"/>
    <cellStyle name="표준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iway.sharepoint.com/sites/OnTrade995/Shared%20Documents/General/Snow/SNOW_New%20Outlet_ON%20S_SE_2026.03.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iway.sharepoint.com/sites/OnTrade995/Shared%20Documents/General/Snow/SNOW_New%20Outlet_(&#51648;&#51216;&#47749;)_2026.03.20_Seoul%20&#52712;&#54633;&#48376;_S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EG03/AppData/Local/Microsoft/Windows/INetCache/Content.Outlook/2DIHDOVD/SNOW_New%20Outlet_Jeju_2026.03.27_&#45824;&#44396;&#51228;&#5145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IMT02/AppData/Local/Microsoft/Windows/INetCache/Content.Outlook/UF2V9SDI/SNOW_New%20Outlet_Jeju_2026.03.27_&#49552;&#49440;&#5484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iway-my.sharepoint.com/personal/kimt02_heiway_net/Documents/Microsoft%20Teams%20&#52292;&#54021;%20&#54028;&#51068;/SNOW_New%20Outlet_(&#51648;&#51216;&#47749;)_2026.03.20_&#44608;&#53468;&#5075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IMT02/AppData/Local/Microsoft/Windows/INetCache/Content.Outlook/UF2V9SDI/SNOW_New%20Outlet_Jeju_2026.03.19_&#51221;&#51116;&#50689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EG03/Desktop/Sales/&#51452;&#44036;&#48120;&#54021;/2026/03.19/SNOW_New%20Outlet_Jeju_2026.03.19_&#45824;&#44396;&#51228;&#51452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EG03/Downloads/SNOW_New%20Outlet_2026.03.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iway.sharepoint.com/sites/DaejeonTeam/Shared%20Documents/General/Outlet%20team/2026%20&#48148;&#53952;&#50689;&#50629;&#47532;&#49828;&#53944;(33cl,%20Snow)/SNOW_New%20Outlet_(&#45824;&#51204;)_2026.03.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EG03/Downloads/SNOW_New%20Outlet_2026.03.27-&#44305;&#514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Sheet2"/>
    </sheetNames>
    <sheetDataSet>
      <sheetData sheetId="0"/>
      <sheetData sheetId="1"/>
      <sheetData sheetId="2">
        <row r="1">
          <cell r="C1" t="str">
            <v>SAP Code</v>
          </cell>
          <cell r="D1" t="str">
            <v>Team</v>
          </cell>
          <cell r="E1" t="str">
            <v>SR</v>
          </cell>
          <cell r="F1" t="str">
            <v>Customer</v>
          </cell>
        </row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Sheet2"/>
    </sheetNames>
    <sheetDataSet>
      <sheetData sheetId="0" refreshError="1"/>
      <sheetData sheetId="1" refreshError="1"/>
      <sheetData sheetId="2">
        <row r="1">
          <cell r="C1" t="str">
            <v>SAP Code</v>
          </cell>
          <cell r="D1" t="str">
            <v>Team</v>
          </cell>
          <cell r="E1" t="str">
            <v>SR</v>
          </cell>
          <cell r="F1" t="str">
            <v>Customer</v>
          </cell>
        </row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Busan"/>
      <sheetName val="Daegu"/>
      <sheetName val="Jeju"/>
      <sheetName val="Daejeon"/>
      <sheetName val="Gwangju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SAP Code</v>
          </cell>
          <cell r="D1" t="str">
            <v>Team</v>
          </cell>
          <cell r="E1" t="str">
            <v>SR</v>
          </cell>
          <cell r="F1" t="str">
            <v>Customer</v>
          </cell>
        </row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Busan"/>
      <sheetName val="Daegu"/>
      <sheetName val="Jeju"/>
      <sheetName val="Daejeon"/>
      <sheetName val="Gwangju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SAP Code</v>
          </cell>
          <cell r="D1" t="str">
            <v>Team</v>
          </cell>
          <cell r="E1" t="str">
            <v>SR</v>
          </cell>
          <cell r="F1" t="str">
            <v>Customer</v>
          </cell>
        </row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Busan"/>
      <sheetName val="Daegu"/>
      <sheetName val="Jeju"/>
      <sheetName val="Daejeon"/>
      <sheetName val="Gwangju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Busan"/>
      <sheetName val="Daegu"/>
      <sheetName val="Jeju"/>
      <sheetName val="Daejeon"/>
      <sheetName val="Gwangju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SAP Code</v>
          </cell>
          <cell r="D1" t="str">
            <v>Team</v>
          </cell>
          <cell r="E1" t="str">
            <v>SR</v>
          </cell>
          <cell r="F1" t="str">
            <v>Customer</v>
          </cell>
        </row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Busan"/>
      <sheetName val="Daegu"/>
      <sheetName val="Jeju"/>
      <sheetName val="Daejeon"/>
      <sheetName val="Gwangju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SAP Code</v>
          </cell>
          <cell r="D1" t="str">
            <v>Team</v>
          </cell>
          <cell r="E1" t="str">
            <v>SR</v>
          </cell>
          <cell r="F1" t="str">
            <v>Customer</v>
          </cell>
        </row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Busan"/>
      <sheetName val="Daegu"/>
      <sheetName val="Jeju"/>
      <sheetName val="Daejeon"/>
      <sheetName val="Gwangju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SAP Code</v>
          </cell>
          <cell r="D1" t="str">
            <v>Team</v>
          </cell>
          <cell r="E1" t="str">
            <v>SR</v>
          </cell>
          <cell r="F1" t="str">
            <v>Customer</v>
          </cell>
        </row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Busan"/>
      <sheetName val="Daegu"/>
      <sheetName val="Jeju"/>
      <sheetName val="Daejeon"/>
      <sheetName val="Gwangju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SAP Code</v>
          </cell>
          <cell r="D1" t="str">
            <v>Team</v>
          </cell>
          <cell r="E1" t="str">
            <v>SR</v>
          </cell>
          <cell r="F1" t="str">
            <v>Customer</v>
          </cell>
        </row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Seoul"/>
      <sheetName val="Busan"/>
      <sheetName val="Daegu"/>
      <sheetName val="Jeju"/>
      <sheetName val="Daejeon"/>
      <sheetName val="Gwangju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SAP Code</v>
          </cell>
          <cell r="D1" t="str">
            <v>Team</v>
          </cell>
          <cell r="E1" t="str">
            <v>SR</v>
          </cell>
          <cell r="F1" t="str">
            <v>Customer</v>
          </cell>
        </row>
        <row r="3">
          <cell r="C3">
            <v>33443</v>
          </cell>
          <cell r="D3" t="str">
            <v>Seoul</v>
          </cell>
          <cell r="E3" t="str">
            <v>박건영</v>
          </cell>
          <cell r="F3" t="str">
            <v>경포주류판매</v>
          </cell>
        </row>
        <row r="4">
          <cell r="C4">
            <v>33446</v>
          </cell>
          <cell r="D4" t="str">
            <v>Seoul</v>
          </cell>
          <cell r="E4" t="str">
            <v>박건영</v>
          </cell>
          <cell r="F4" t="str">
            <v>관동주류판매(주)</v>
          </cell>
        </row>
        <row r="5">
          <cell r="C5">
            <v>33447</v>
          </cell>
          <cell r="D5" t="str">
            <v>Seoul</v>
          </cell>
          <cell r="E5" t="str">
            <v>박건영</v>
          </cell>
          <cell r="F5" t="str">
            <v>대유양주판매(주)</v>
          </cell>
        </row>
        <row r="6">
          <cell r="C6">
            <v>33470</v>
          </cell>
          <cell r="D6" t="str">
            <v>Seoul</v>
          </cell>
          <cell r="E6" t="str">
            <v>박건영</v>
          </cell>
          <cell r="F6" t="str">
            <v>속초합동상사(주)</v>
          </cell>
        </row>
        <row r="7">
          <cell r="C7">
            <v>34752</v>
          </cell>
          <cell r="D7" t="str">
            <v>Seoul</v>
          </cell>
          <cell r="E7" t="str">
            <v>박건영</v>
          </cell>
          <cell r="F7" t="str">
            <v>강릉주류판매㈜</v>
          </cell>
        </row>
        <row r="8">
          <cell r="C8">
            <v>37316</v>
          </cell>
          <cell r="D8" t="str">
            <v>Seoul</v>
          </cell>
          <cell r="E8" t="str">
            <v>박건영</v>
          </cell>
          <cell r="F8" t="str">
            <v>영동상사(자)</v>
          </cell>
        </row>
        <row r="9">
          <cell r="C9">
            <v>33460</v>
          </cell>
          <cell r="D9" t="str">
            <v>Seoul</v>
          </cell>
          <cell r="E9" t="str">
            <v>박건영</v>
          </cell>
          <cell r="F9" t="str">
            <v>간성합동상사(주)</v>
          </cell>
        </row>
        <row r="10">
          <cell r="C10">
            <v>33468</v>
          </cell>
          <cell r="D10" t="str">
            <v>Seoul</v>
          </cell>
          <cell r="E10" t="str">
            <v>박건영</v>
          </cell>
          <cell r="F10" t="str">
            <v>동해주류상사(명)</v>
          </cell>
        </row>
        <row r="11">
          <cell r="C11">
            <v>36599</v>
          </cell>
          <cell r="D11" t="str">
            <v>Seoul</v>
          </cell>
          <cell r="E11" t="str">
            <v>박건영</v>
          </cell>
          <cell r="F11" t="str">
            <v>신화주류(합자)</v>
          </cell>
        </row>
        <row r="12">
          <cell r="C12">
            <v>33444</v>
          </cell>
          <cell r="D12" t="str">
            <v>Seoul</v>
          </cell>
          <cell r="E12" t="str">
            <v>박건영</v>
          </cell>
          <cell r="F12" t="str">
            <v>동부주류(유한)</v>
          </cell>
        </row>
        <row r="13">
          <cell r="C13">
            <v>36367</v>
          </cell>
          <cell r="D13" t="str">
            <v>Seoul</v>
          </cell>
          <cell r="E13" t="str">
            <v>박건영</v>
          </cell>
          <cell r="F13" t="str">
            <v>동풍종합주류(자)</v>
          </cell>
        </row>
        <row r="14">
          <cell r="C14">
            <v>80497</v>
          </cell>
          <cell r="D14" t="str">
            <v>Seoul</v>
          </cell>
          <cell r="E14" t="str">
            <v>박건영</v>
          </cell>
          <cell r="F14" t="str">
            <v>삼원주류판매(명)</v>
          </cell>
        </row>
        <row r="15">
          <cell r="C15">
            <v>37583</v>
          </cell>
          <cell r="D15" t="str">
            <v>Seoul</v>
          </cell>
          <cell r="E15" t="str">
            <v>박건영</v>
          </cell>
          <cell r="F15" t="str">
            <v>설악주류유통상사(합)</v>
          </cell>
        </row>
        <row r="16">
          <cell r="C16">
            <v>33445</v>
          </cell>
          <cell r="D16" t="str">
            <v>Seoul</v>
          </cell>
          <cell r="E16" t="str">
            <v>박건영</v>
          </cell>
          <cell r="F16" t="str">
            <v>명주합동주류(유)</v>
          </cell>
        </row>
        <row r="17">
          <cell r="C17">
            <v>80932</v>
          </cell>
          <cell r="D17" t="str">
            <v>Seoul</v>
          </cell>
          <cell r="E17" t="str">
            <v>박건영</v>
          </cell>
          <cell r="F17" t="str">
            <v>삼척주류판매(주)</v>
          </cell>
        </row>
        <row r="18">
          <cell r="C18">
            <v>36669</v>
          </cell>
          <cell r="D18" t="str">
            <v>Seoul</v>
          </cell>
          <cell r="E18" t="str">
            <v>박건영</v>
          </cell>
          <cell r="F18" t="str">
            <v>양양합동상사(명)</v>
          </cell>
        </row>
        <row r="19">
          <cell r="C19">
            <v>36270</v>
          </cell>
          <cell r="D19" t="str">
            <v>Seoul</v>
          </cell>
          <cell r="E19" t="str">
            <v>박건영</v>
          </cell>
          <cell r="F19" t="str">
            <v>대광상사(자)</v>
          </cell>
        </row>
        <row r="20">
          <cell r="C20">
            <v>35177</v>
          </cell>
          <cell r="D20" t="str">
            <v>Seoul</v>
          </cell>
          <cell r="E20" t="str">
            <v>박건영</v>
          </cell>
          <cell r="F20" t="str">
            <v>강원주류 합자회사</v>
          </cell>
        </row>
        <row r="21">
          <cell r="C21">
            <v>38204</v>
          </cell>
          <cell r="D21" t="str">
            <v>Seoul</v>
          </cell>
          <cell r="E21" t="str">
            <v>박건영</v>
          </cell>
          <cell r="F21" t="str">
            <v>강원주류 합자회사</v>
          </cell>
        </row>
        <row r="22">
          <cell r="C22">
            <v>34724</v>
          </cell>
          <cell r="D22" t="str">
            <v>Seoul</v>
          </cell>
          <cell r="E22" t="str">
            <v>박성민</v>
          </cell>
          <cell r="F22" t="str">
            <v>일오종합파주</v>
          </cell>
        </row>
        <row r="23">
          <cell r="C23">
            <v>33050</v>
          </cell>
          <cell r="D23" t="str">
            <v>Seoul</v>
          </cell>
          <cell r="E23" t="str">
            <v>박성민</v>
          </cell>
          <cell r="F23" t="str">
            <v>중앙종합주류</v>
          </cell>
        </row>
        <row r="24">
          <cell r="C24">
            <v>33210</v>
          </cell>
          <cell r="D24" t="str">
            <v>Seoul</v>
          </cell>
          <cell r="E24" t="str">
            <v>박성민</v>
          </cell>
          <cell r="F24" t="str">
            <v>원천종합도봉</v>
          </cell>
        </row>
        <row r="25">
          <cell r="C25">
            <v>33182</v>
          </cell>
          <cell r="D25" t="str">
            <v>Seoul</v>
          </cell>
          <cell r="E25" t="str">
            <v>박성민</v>
          </cell>
          <cell r="F25" t="str">
            <v>신합상사(유)</v>
          </cell>
        </row>
        <row r="26">
          <cell r="C26">
            <v>33350</v>
          </cell>
          <cell r="D26" t="str">
            <v>Seoul</v>
          </cell>
          <cell r="E26" t="str">
            <v>김민석</v>
          </cell>
          <cell r="F26" t="str">
            <v>일산종합주류(유)</v>
          </cell>
        </row>
        <row r="27">
          <cell r="C27">
            <v>33408</v>
          </cell>
          <cell r="D27" t="str">
            <v>Seoul</v>
          </cell>
          <cell r="E27" t="str">
            <v>김민석</v>
          </cell>
          <cell r="F27" t="str">
            <v>태경 유한회사</v>
          </cell>
        </row>
        <row r="28">
          <cell r="C28">
            <v>33257</v>
          </cell>
          <cell r="D28" t="str">
            <v>Seoul</v>
          </cell>
          <cell r="E28" t="str">
            <v>김민석</v>
          </cell>
          <cell r="F28" t="str">
            <v>에이스주산(합)</v>
          </cell>
        </row>
        <row r="29">
          <cell r="C29">
            <v>33344</v>
          </cell>
          <cell r="D29" t="str">
            <v>Seoul</v>
          </cell>
          <cell r="E29" t="str">
            <v>박성민</v>
          </cell>
          <cell r="F29" t="str">
            <v>태경상사(유)</v>
          </cell>
        </row>
        <row r="30">
          <cell r="C30">
            <v>36787</v>
          </cell>
          <cell r="D30" t="str">
            <v>Seoul</v>
          </cell>
          <cell r="E30" t="str">
            <v>박성민</v>
          </cell>
          <cell r="F30" t="str">
            <v>원천종합주류(유)신세계</v>
          </cell>
        </row>
        <row r="31">
          <cell r="C31">
            <v>81621</v>
          </cell>
          <cell r="D31" t="str">
            <v>Seoul</v>
          </cell>
          <cell r="E31" t="str">
            <v>박성민</v>
          </cell>
          <cell r="F31" t="str">
            <v>신합상사(주)SPC</v>
          </cell>
        </row>
        <row r="32">
          <cell r="C32">
            <v>85976</v>
          </cell>
          <cell r="D32" t="str">
            <v>Seoul</v>
          </cell>
          <cell r="E32" t="str">
            <v>박성민</v>
          </cell>
          <cell r="F32" t="str">
            <v>중앙종합주류(유)_프랜차이즈</v>
          </cell>
        </row>
        <row r="33">
          <cell r="C33">
            <v>86010</v>
          </cell>
          <cell r="D33" t="str">
            <v>Seoul</v>
          </cell>
          <cell r="E33" t="str">
            <v>모정호</v>
          </cell>
          <cell r="F33" t="str">
            <v>(자)중국주류_프랜차이즈</v>
          </cell>
        </row>
        <row r="34">
          <cell r="C34">
            <v>84117</v>
          </cell>
          <cell r="D34" t="str">
            <v>Seoul</v>
          </cell>
          <cell r="E34" t="str">
            <v>채영한</v>
          </cell>
          <cell r="F34" t="str">
            <v>유한회사 신동주류</v>
          </cell>
        </row>
        <row r="35">
          <cell r="C35">
            <v>33355</v>
          </cell>
          <cell r="D35" t="str">
            <v>Seoul</v>
          </cell>
          <cell r="E35" t="str">
            <v>정구영</v>
          </cell>
          <cell r="F35" t="str">
            <v>서부상사(주)</v>
          </cell>
        </row>
        <row r="36">
          <cell r="C36">
            <v>33354</v>
          </cell>
          <cell r="D36" t="str">
            <v>Seoul</v>
          </cell>
          <cell r="E36" t="str">
            <v>정구영</v>
          </cell>
          <cell r="F36" t="str">
            <v>문산상사(유)</v>
          </cell>
        </row>
        <row r="37">
          <cell r="C37">
            <v>33352</v>
          </cell>
          <cell r="D37" t="str">
            <v>Seoul</v>
          </cell>
          <cell r="E37" t="str">
            <v>정구영</v>
          </cell>
          <cell r="F37" t="str">
            <v>현대상사(유)</v>
          </cell>
        </row>
        <row r="38">
          <cell r="C38">
            <v>33353</v>
          </cell>
          <cell r="D38" t="str">
            <v>Seoul</v>
          </cell>
          <cell r="E38" t="str">
            <v>정구영</v>
          </cell>
          <cell r="F38" t="str">
            <v>금촌상사(유)</v>
          </cell>
        </row>
        <row r="39">
          <cell r="C39">
            <v>33217</v>
          </cell>
          <cell r="D39" t="str">
            <v>Seoul</v>
          </cell>
          <cell r="E39" t="str">
            <v>모정호</v>
          </cell>
          <cell r="F39" t="str">
            <v>한맥상사(주)</v>
          </cell>
        </row>
        <row r="40">
          <cell r="C40">
            <v>33064</v>
          </cell>
          <cell r="D40" t="str">
            <v>Seoul</v>
          </cell>
          <cell r="E40" t="str">
            <v>정구영</v>
          </cell>
          <cell r="F40" t="str">
            <v>상승상사(주)</v>
          </cell>
        </row>
        <row r="41">
          <cell r="C41">
            <v>33195</v>
          </cell>
          <cell r="D41" t="str">
            <v>Seoul</v>
          </cell>
          <cell r="E41" t="str">
            <v>정구영</v>
          </cell>
          <cell r="F41" t="str">
            <v>광진주류판매</v>
          </cell>
        </row>
        <row r="42">
          <cell r="C42">
            <v>36044</v>
          </cell>
          <cell r="D42" t="str">
            <v>Seoul</v>
          </cell>
          <cell r="E42" t="str">
            <v>정구영</v>
          </cell>
          <cell r="F42" t="str">
            <v>대산주류(주)</v>
          </cell>
        </row>
        <row r="43">
          <cell r="C43">
            <v>33189</v>
          </cell>
          <cell r="D43" t="str">
            <v>Seoul</v>
          </cell>
          <cell r="E43" t="str">
            <v>정구영</v>
          </cell>
          <cell r="F43" t="str">
            <v>삼한주류상사(주)</v>
          </cell>
        </row>
        <row r="44">
          <cell r="C44">
            <v>33250</v>
          </cell>
          <cell r="D44" t="str">
            <v>Seoul</v>
          </cell>
          <cell r="E44" t="str">
            <v>정구영</v>
          </cell>
          <cell r="F44" t="str">
            <v>우주실업(주)</v>
          </cell>
        </row>
        <row r="45">
          <cell r="C45">
            <v>33249</v>
          </cell>
          <cell r="D45" t="str">
            <v>Seoul</v>
          </cell>
          <cell r="E45" t="str">
            <v>정구영</v>
          </cell>
          <cell r="F45" t="str">
            <v>구리상사(유)</v>
          </cell>
        </row>
        <row r="46">
          <cell r="C46">
            <v>33102</v>
          </cell>
          <cell r="D46" t="str">
            <v>Seoul</v>
          </cell>
          <cell r="E46" t="str">
            <v>정구영</v>
          </cell>
          <cell r="F46" t="str">
            <v>은하수주류(주)</v>
          </cell>
        </row>
        <row r="47">
          <cell r="C47">
            <v>33129</v>
          </cell>
          <cell r="D47" t="str">
            <v>Seoul</v>
          </cell>
          <cell r="E47" t="str">
            <v>박상일</v>
          </cell>
          <cell r="F47" t="str">
            <v>임성상사 주식회사</v>
          </cell>
        </row>
        <row r="48">
          <cell r="C48">
            <v>39030</v>
          </cell>
          <cell r="D48" t="str">
            <v>Seoul</v>
          </cell>
          <cell r="E48" t="str">
            <v>정구영</v>
          </cell>
          <cell r="F48" t="str">
            <v>하늘종합주류(주)</v>
          </cell>
        </row>
        <row r="49">
          <cell r="C49">
            <v>33205</v>
          </cell>
          <cell r="D49" t="str">
            <v>Seoul</v>
          </cell>
          <cell r="E49" t="str">
            <v>정구영</v>
          </cell>
          <cell r="F49" t="str">
            <v>타래주류(유)</v>
          </cell>
        </row>
        <row r="50">
          <cell r="C50">
            <v>33326</v>
          </cell>
          <cell r="D50" t="str">
            <v>Seoul</v>
          </cell>
          <cell r="E50" t="str">
            <v>정구영</v>
          </cell>
          <cell r="F50" t="str">
            <v>진양주류(유)</v>
          </cell>
        </row>
        <row r="51">
          <cell r="C51">
            <v>33200</v>
          </cell>
          <cell r="D51" t="str">
            <v>Seoul</v>
          </cell>
          <cell r="E51" t="str">
            <v>정구영</v>
          </cell>
          <cell r="F51" t="str">
            <v>럭키주류(주)</v>
          </cell>
        </row>
        <row r="52">
          <cell r="C52">
            <v>33202</v>
          </cell>
          <cell r="D52" t="str">
            <v>Seoul</v>
          </cell>
          <cell r="E52" t="str">
            <v>정구영</v>
          </cell>
          <cell r="F52" t="str">
            <v>신정주류면목</v>
          </cell>
        </row>
        <row r="53">
          <cell r="C53">
            <v>33151</v>
          </cell>
          <cell r="D53" t="str">
            <v>Seoul</v>
          </cell>
          <cell r="E53" t="str">
            <v>정구영</v>
          </cell>
          <cell r="F53" t="str">
            <v>동남양행(유)</v>
          </cell>
        </row>
        <row r="54">
          <cell r="C54">
            <v>81995</v>
          </cell>
          <cell r="D54" t="str">
            <v>Seoul</v>
          </cell>
          <cell r="E54" t="str">
            <v>모정호</v>
          </cell>
          <cell r="F54" t="str">
            <v>(자)중국주류</v>
          </cell>
        </row>
        <row r="55">
          <cell r="C55">
            <v>81997</v>
          </cell>
          <cell r="D55" t="str">
            <v>Seoul</v>
          </cell>
          <cell r="E55" t="str">
            <v>정구영</v>
          </cell>
          <cell r="F55" t="str">
            <v>(주)서정주류</v>
          </cell>
        </row>
        <row r="56">
          <cell r="C56">
            <v>33198</v>
          </cell>
          <cell r="D56" t="str">
            <v>Seoul</v>
          </cell>
          <cell r="E56" t="str">
            <v>정구영</v>
          </cell>
          <cell r="F56" t="str">
            <v>덕윤주류판매</v>
          </cell>
        </row>
        <row r="57">
          <cell r="C57">
            <v>81895</v>
          </cell>
          <cell r="D57" t="str">
            <v>Seoul</v>
          </cell>
          <cell r="E57" t="str">
            <v>정구영</v>
          </cell>
          <cell r="F57" t="str">
            <v>(주)사가명주</v>
          </cell>
        </row>
        <row r="58">
          <cell r="C58">
            <v>33106</v>
          </cell>
          <cell r="D58" t="str">
            <v>Seoul</v>
          </cell>
          <cell r="E58" t="str">
            <v>정구영</v>
          </cell>
          <cell r="F58" t="str">
            <v>천지상사</v>
          </cell>
        </row>
        <row r="59">
          <cell r="C59">
            <v>33181</v>
          </cell>
          <cell r="D59" t="str">
            <v>Seoul</v>
          </cell>
          <cell r="E59" t="str">
            <v>박상일</v>
          </cell>
          <cell r="F59" t="str">
            <v>대림종합상사(유)</v>
          </cell>
        </row>
        <row r="60">
          <cell r="C60">
            <v>33393</v>
          </cell>
          <cell r="D60" t="str">
            <v>Seoul</v>
          </cell>
          <cell r="E60" t="str">
            <v>정구영</v>
          </cell>
          <cell r="F60" t="str">
            <v>서부상사(주)</v>
          </cell>
        </row>
        <row r="61">
          <cell r="C61">
            <v>33108</v>
          </cell>
          <cell r="D61" t="str">
            <v>Seoul</v>
          </cell>
          <cell r="E61" t="str">
            <v>정구영</v>
          </cell>
          <cell r="F61" t="str">
            <v>석재상사(유)</v>
          </cell>
        </row>
        <row r="62">
          <cell r="C62">
            <v>33109</v>
          </cell>
          <cell r="D62" t="str">
            <v>Seoul</v>
          </cell>
          <cell r="E62" t="str">
            <v>정구영</v>
          </cell>
          <cell r="F62" t="str">
            <v>삼정종합주류 주식회사</v>
          </cell>
        </row>
        <row r="63">
          <cell r="C63">
            <v>33213</v>
          </cell>
          <cell r="D63" t="str">
            <v>Seoul</v>
          </cell>
          <cell r="E63" t="str">
            <v>정구영</v>
          </cell>
          <cell r="F63" t="str">
            <v>(유)동남종합주류</v>
          </cell>
        </row>
        <row r="64">
          <cell r="C64">
            <v>33100</v>
          </cell>
          <cell r="D64" t="str">
            <v>Seoul</v>
          </cell>
          <cell r="E64" t="str">
            <v>정구영</v>
          </cell>
          <cell r="F64" t="str">
            <v>진양주류(주)</v>
          </cell>
        </row>
        <row r="65">
          <cell r="C65">
            <v>33188</v>
          </cell>
          <cell r="D65" t="str">
            <v>Seoul</v>
          </cell>
          <cell r="E65" t="str">
            <v>정구영</v>
          </cell>
          <cell r="F65" t="str">
            <v>조만통합상사(유)</v>
          </cell>
        </row>
        <row r="66">
          <cell r="C66">
            <v>33343</v>
          </cell>
          <cell r="D66" t="str">
            <v>Seoul</v>
          </cell>
          <cell r="E66" t="str">
            <v>김민석</v>
          </cell>
          <cell r="F66" t="str">
            <v>경의주류판매</v>
          </cell>
        </row>
        <row r="67">
          <cell r="C67">
            <v>86259</v>
          </cell>
          <cell r="D67" t="str">
            <v>Seoul</v>
          </cell>
          <cell r="E67" t="str">
            <v>김민석</v>
          </cell>
          <cell r="F67" t="str">
            <v>(주)케이앤씨체인</v>
          </cell>
        </row>
        <row r="68">
          <cell r="C68">
            <v>33453</v>
          </cell>
          <cell r="D68" t="str">
            <v>Seoul</v>
          </cell>
          <cell r="E68" t="str">
            <v>홍건석</v>
          </cell>
          <cell r="F68" t="str">
            <v>세계주류(주)춘천</v>
          </cell>
        </row>
        <row r="69">
          <cell r="C69">
            <v>33083</v>
          </cell>
          <cell r="D69" t="str">
            <v>Seoul</v>
          </cell>
          <cell r="E69" t="str">
            <v>채영한</v>
          </cell>
          <cell r="F69" t="str">
            <v>우성식품(주)</v>
          </cell>
        </row>
        <row r="70">
          <cell r="C70">
            <v>33228</v>
          </cell>
          <cell r="D70" t="str">
            <v>Seoul</v>
          </cell>
          <cell r="E70" t="str">
            <v>정구영</v>
          </cell>
          <cell r="F70" t="str">
            <v>남양주류(유)</v>
          </cell>
        </row>
        <row r="71">
          <cell r="C71">
            <v>33364</v>
          </cell>
          <cell r="D71" t="str">
            <v>Seoul</v>
          </cell>
          <cell r="E71" t="str">
            <v>김민석</v>
          </cell>
          <cell r="F71" t="str">
            <v>대우상사(주)</v>
          </cell>
        </row>
        <row r="72">
          <cell r="C72">
            <v>81945</v>
          </cell>
          <cell r="D72" t="str">
            <v>Seoul</v>
          </cell>
          <cell r="E72" t="str">
            <v>채영한</v>
          </cell>
          <cell r="F72" t="str">
            <v>(주)엠케이펍</v>
          </cell>
        </row>
        <row r="73">
          <cell r="C73">
            <v>34853</v>
          </cell>
          <cell r="D73" t="str">
            <v>Seoul</v>
          </cell>
          <cell r="E73" t="str">
            <v>김민석</v>
          </cell>
          <cell r="F73" t="str">
            <v>대한상사양주</v>
          </cell>
        </row>
        <row r="74">
          <cell r="C74">
            <v>33085</v>
          </cell>
          <cell r="D74" t="str">
            <v>Seoul</v>
          </cell>
          <cell r="E74" t="str">
            <v>정구영</v>
          </cell>
          <cell r="F74" t="str">
            <v>풍원식품(주)</v>
          </cell>
        </row>
        <row r="75">
          <cell r="C75">
            <v>33451</v>
          </cell>
          <cell r="D75" t="str">
            <v>Seoul</v>
          </cell>
          <cell r="E75" t="str">
            <v>홍건석</v>
          </cell>
          <cell r="F75" t="str">
            <v>영서종합주류(자)</v>
          </cell>
        </row>
        <row r="76">
          <cell r="C76">
            <v>33455</v>
          </cell>
          <cell r="D76" t="str">
            <v>Seoul</v>
          </cell>
          <cell r="E76" t="str">
            <v>홍건석</v>
          </cell>
          <cell r="F76" t="str">
            <v>원일 주식회사</v>
          </cell>
        </row>
        <row r="77">
          <cell r="C77">
            <v>33472</v>
          </cell>
          <cell r="D77" t="str">
            <v>Seoul</v>
          </cell>
          <cell r="E77" t="str">
            <v>홍건석</v>
          </cell>
          <cell r="F77" t="str">
            <v>덕우사(자)</v>
          </cell>
        </row>
        <row r="78">
          <cell r="C78">
            <v>33459</v>
          </cell>
          <cell r="D78" t="str">
            <v>Seoul</v>
          </cell>
          <cell r="E78" t="str">
            <v>홍건석</v>
          </cell>
          <cell r="F78" t="str">
            <v>대한종합주류판매상사 합자회사</v>
          </cell>
        </row>
        <row r="79">
          <cell r="C79">
            <v>33461</v>
          </cell>
          <cell r="D79" t="str">
            <v>Seoul</v>
          </cell>
          <cell r="E79" t="str">
            <v>홍건석</v>
          </cell>
          <cell r="F79" t="str">
            <v>제1종합주류판매(주)</v>
          </cell>
        </row>
        <row r="80">
          <cell r="C80">
            <v>33330</v>
          </cell>
          <cell r="D80" t="str">
            <v>Seoul</v>
          </cell>
          <cell r="E80" t="str">
            <v>홍건석</v>
          </cell>
          <cell r="F80" t="str">
            <v>건양상사광원</v>
          </cell>
        </row>
        <row r="81">
          <cell r="C81">
            <v>33462</v>
          </cell>
          <cell r="D81" t="str">
            <v>Seoul</v>
          </cell>
          <cell r="E81" t="str">
            <v>홍건석</v>
          </cell>
          <cell r="F81" t="str">
            <v>춘성주류합동(자)</v>
          </cell>
        </row>
        <row r="82">
          <cell r="C82">
            <v>34418</v>
          </cell>
          <cell r="D82" t="str">
            <v>Seoul</v>
          </cell>
          <cell r="E82" t="str">
            <v>홍건석</v>
          </cell>
          <cell r="F82" t="str">
            <v>한양주류춘천</v>
          </cell>
        </row>
        <row r="83">
          <cell r="C83">
            <v>33463</v>
          </cell>
          <cell r="D83" t="str">
            <v>Seoul</v>
          </cell>
          <cell r="E83" t="str">
            <v>홍건석</v>
          </cell>
          <cell r="F83" t="str">
            <v>현대주류(유한)</v>
          </cell>
        </row>
        <row r="84">
          <cell r="C84">
            <v>33457</v>
          </cell>
          <cell r="D84" t="str">
            <v>Seoul</v>
          </cell>
          <cell r="E84" t="str">
            <v>홍건석</v>
          </cell>
          <cell r="F84" t="str">
            <v>해동주류합동(유)</v>
          </cell>
        </row>
        <row r="85">
          <cell r="C85">
            <v>39074</v>
          </cell>
          <cell r="D85" t="str">
            <v>Seoul</v>
          </cell>
          <cell r="E85" t="str">
            <v>홍건석</v>
          </cell>
          <cell r="F85" t="str">
            <v>모아주류판매(주)</v>
          </cell>
        </row>
        <row r="86">
          <cell r="C86">
            <v>34414</v>
          </cell>
          <cell r="D86" t="str">
            <v>Seoul</v>
          </cell>
          <cell r="E86" t="str">
            <v>정구영</v>
          </cell>
          <cell r="F86" t="str">
            <v>세화상사경기</v>
          </cell>
        </row>
        <row r="87">
          <cell r="C87">
            <v>33454</v>
          </cell>
          <cell r="D87" t="str">
            <v>Seoul</v>
          </cell>
          <cell r="E87" t="str">
            <v>홍건석</v>
          </cell>
          <cell r="F87" t="str">
            <v>치악주류판매(명)</v>
          </cell>
        </row>
        <row r="88">
          <cell r="C88">
            <v>33471</v>
          </cell>
          <cell r="D88" t="str">
            <v>Seoul</v>
          </cell>
          <cell r="E88" t="str">
            <v>홍건석</v>
          </cell>
          <cell r="F88" t="str">
            <v>춘천주류합동</v>
          </cell>
        </row>
        <row r="89">
          <cell r="C89">
            <v>34613</v>
          </cell>
          <cell r="D89" t="str">
            <v>Seoul</v>
          </cell>
          <cell r="E89" t="str">
            <v>홍건석</v>
          </cell>
          <cell r="F89" t="str">
            <v>대진상사(자)</v>
          </cell>
        </row>
        <row r="90">
          <cell r="C90">
            <v>34420</v>
          </cell>
          <cell r="D90" t="str">
            <v>Seoul</v>
          </cell>
          <cell r="E90" t="str">
            <v>홍건석</v>
          </cell>
          <cell r="F90" t="str">
            <v>대동주류(자)</v>
          </cell>
        </row>
        <row r="91">
          <cell r="C91">
            <v>81695</v>
          </cell>
          <cell r="D91" t="str">
            <v>Seoul</v>
          </cell>
          <cell r="E91" t="str">
            <v>홍건석</v>
          </cell>
          <cell r="F91" t="str">
            <v>합자회사 봉평주류합동</v>
          </cell>
        </row>
        <row r="92">
          <cell r="C92">
            <v>36671</v>
          </cell>
          <cell r="D92" t="str">
            <v>Seoul</v>
          </cell>
          <cell r="E92" t="str">
            <v>홍건석</v>
          </cell>
          <cell r="F92" t="str">
            <v>유한회사 봄내주류</v>
          </cell>
        </row>
        <row r="93">
          <cell r="C93">
            <v>80323</v>
          </cell>
          <cell r="D93" t="str">
            <v>Seoul</v>
          </cell>
          <cell r="E93" t="str">
            <v>홍건석</v>
          </cell>
          <cell r="F93" t="str">
            <v>우리종합주류 합명회사</v>
          </cell>
        </row>
        <row r="94">
          <cell r="C94">
            <v>33458</v>
          </cell>
          <cell r="D94" t="str">
            <v>Seoul</v>
          </cell>
          <cell r="E94" t="str">
            <v>홍건석</v>
          </cell>
          <cell r="F94" t="str">
            <v>강원남부주류(주)</v>
          </cell>
        </row>
        <row r="95">
          <cell r="C95">
            <v>33329</v>
          </cell>
          <cell r="D95" t="str">
            <v>Seoul</v>
          </cell>
          <cell r="E95" t="str">
            <v>홍건석</v>
          </cell>
          <cell r="F95" t="str">
            <v>덕건상사(주)</v>
          </cell>
        </row>
        <row r="96">
          <cell r="C96">
            <v>34419</v>
          </cell>
          <cell r="D96" t="str">
            <v>Seoul</v>
          </cell>
          <cell r="E96" t="str">
            <v>홍건석</v>
          </cell>
          <cell r="F96" t="str">
            <v>호반주류춘천</v>
          </cell>
        </row>
        <row r="97">
          <cell r="C97">
            <v>33464</v>
          </cell>
          <cell r="D97" t="str">
            <v>Seoul</v>
          </cell>
          <cell r="E97" t="str">
            <v>홍건석</v>
          </cell>
          <cell r="F97" t="str">
            <v>정우(유)</v>
          </cell>
        </row>
        <row r="98">
          <cell r="C98">
            <v>35282</v>
          </cell>
          <cell r="D98" t="str">
            <v>Seoul</v>
          </cell>
          <cell r="E98" t="str">
            <v>홍건석</v>
          </cell>
          <cell r="F98" t="str">
            <v>선일종합주류</v>
          </cell>
        </row>
        <row r="99">
          <cell r="C99">
            <v>34614</v>
          </cell>
          <cell r="D99" t="str">
            <v>Seoul</v>
          </cell>
          <cell r="E99" t="str">
            <v>홍건석</v>
          </cell>
          <cell r="F99" t="str">
            <v>홍담종합주류(합)</v>
          </cell>
        </row>
        <row r="100">
          <cell r="C100">
            <v>36712</v>
          </cell>
          <cell r="D100" t="str">
            <v>Seoul</v>
          </cell>
          <cell r="E100" t="str">
            <v>홍건석</v>
          </cell>
          <cell r="F100" t="str">
            <v>대찬주류 주식회사</v>
          </cell>
        </row>
        <row r="101">
          <cell r="C101">
            <v>35920</v>
          </cell>
          <cell r="D101" t="str">
            <v>Seoul</v>
          </cell>
          <cell r="E101" t="str">
            <v>홍건석</v>
          </cell>
          <cell r="F101" t="str">
            <v>진연사(유)</v>
          </cell>
        </row>
        <row r="102">
          <cell r="C102">
            <v>33456</v>
          </cell>
          <cell r="D102" t="str">
            <v>Seoul</v>
          </cell>
          <cell r="E102" t="str">
            <v>홍건석</v>
          </cell>
          <cell r="F102" t="str">
            <v>구룡주류판매(주)</v>
          </cell>
        </row>
        <row r="103">
          <cell r="C103">
            <v>33407</v>
          </cell>
          <cell r="D103" t="str">
            <v>Seoul</v>
          </cell>
          <cell r="E103" t="str">
            <v>홍건석</v>
          </cell>
          <cell r="F103" t="str">
            <v>대륙종합주류</v>
          </cell>
        </row>
        <row r="104">
          <cell r="C104">
            <v>85831</v>
          </cell>
          <cell r="D104" t="str">
            <v>Seoul</v>
          </cell>
          <cell r="E104" t="str">
            <v>홍건석</v>
          </cell>
          <cell r="F104" t="str">
            <v>(주)남원</v>
          </cell>
        </row>
        <row r="105">
          <cell r="C105">
            <v>33466</v>
          </cell>
          <cell r="D105" t="str">
            <v>Seoul</v>
          </cell>
          <cell r="E105" t="str">
            <v>홍건석</v>
          </cell>
          <cell r="F105" t="str">
            <v>대양주류판매상사(명)</v>
          </cell>
        </row>
        <row r="106">
          <cell r="C106">
            <v>33469</v>
          </cell>
          <cell r="D106" t="str">
            <v>Seoul</v>
          </cell>
          <cell r="E106" t="str">
            <v>홍건석</v>
          </cell>
          <cell r="F106" t="str">
            <v>영월종합주류(합명)</v>
          </cell>
        </row>
        <row r="107">
          <cell r="C107">
            <v>39093</v>
          </cell>
          <cell r="D107" t="str">
            <v>Seoul</v>
          </cell>
          <cell r="E107" t="str">
            <v>홍건석</v>
          </cell>
          <cell r="F107" t="str">
            <v>설악상사(명)</v>
          </cell>
        </row>
        <row r="108">
          <cell r="C108">
            <v>36219</v>
          </cell>
          <cell r="D108" t="str">
            <v>Seoul</v>
          </cell>
          <cell r="E108" t="str">
            <v>홍건석</v>
          </cell>
          <cell r="F108" t="str">
            <v>화천주류(주)</v>
          </cell>
        </row>
        <row r="109">
          <cell r="C109">
            <v>34612</v>
          </cell>
          <cell r="D109" t="str">
            <v>Seoul</v>
          </cell>
          <cell r="E109" t="str">
            <v>홍건석</v>
          </cell>
          <cell r="F109" t="str">
            <v>진부주류합동상사(명)</v>
          </cell>
        </row>
        <row r="110">
          <cell r="C110">
            <v>33400</v>
          </cell>
          <cell r="D110" t="str">
            <v>Seoul</v>
          </cell>
          <cell r="E110" t="str">
            <v>홍건석</v>
          </cell>
          <cell r="F110" t="str">
            <v>동호상사연천</v>
          </cell>
        </row>
        <row r="111">
          <cell r="C111">
            <v>33473</v>
          </cell>
          <cell r="D111" t="str">
            <v>Seoul</v>
          </cell>
          <cell r="E111" t="str">
            <v>홍건석</v>
          </cell>
          <cell r="F111" t="str">
            <v>동광주류 합명회사</v>
          </cell>
        </row>
        <row r="112">
          <cell r="C112">
            <v>33385</v>
          </cell>
          <cell r="D112" t="str">
            <v>Seoul</v>
          </cell>
          <cell r="E112" t="str">
            <v>김민석</v>
          </cell>
          <cell r="F112" t="str">
            <v>두리상사경기</v>
          </cell>
        </row>
        <row r="113">
          <cell r="C113">
            <v>33087</v>
          </cell>
          <cell r="D113" t="str">
            <v>Seoul</v>
          </cell>
          <cell r="E113" t="str">
            <v>정구영</v>
          </cell>
          <cell r="F113" t="str">
            <v>성동주류판매</v>
          </cell>
        </row>
        <row r="114">
          <cell r="C114">
            <v>33404</v>
          </cell>
          <cell r="D114" t="str">
            <v>Seoul</v>
          </cell>
          <cell r="E114" t="str">
            <v>김민석</v>
          </cell>
          <cell r="F114" t="str">
            <v>동화상사경기</v>
          </cell>
        </row>
        <row r="115">
          <cell r="C115">
            <v>33267</v>
          </cell>
          <cell r="D115" t="str">
            <v>Seoul</v>
          </cell>
          <cell r="E115" t="str">
            <v>박상일</v>
          </cell>
          <cell r="F115" t="str">
            <v>북양상사(유)</v>
          </cell>
        </row>
        <row r="116">
          <cell r="C116">
            <v>33190</v>
          </cell>
          <cell r="D116" t="str">
            <v>Seoul</v>
          </cell>
          <cell r="E116" t="str">
            <v>모정호</v>
          </cell>
          <cell r="F116" t="str">
            <v>종로기업(주)</v>
          </cell>
        </row>
        <row r="117">
          <cell r="C117">
            <v>33192</v>
          </cell>
          <cell r="D117" t="str">
            <v>Seoul</v>
          </cell>
          <cell r="E117" t="str">
            <v>모정호</v>
          </cell>
          <cell r="F117" t="str">
            <v>광장주류판매(주)</v>
          </cell>
        </row>
        <row r="118">
          <cell r="C118">
            <v>33112</v>
          </cell>
          <cell r="D118" t="str">
            <v>Seoul</v>
          </cell>
          <cell r="E118" t="str">
            <v>모정호</v>
          </cell>
          <cell r="F118" t="str">
            <v>경남주류제기</v>
          </cell>
        </row>
        <row r="119">
          <cell r="C119">
            <v>33136</v>
          </cell>
          <cell r="D119" t="str">
            <v>Seoul</v>
          </cell>
          <cell r="E119" t="str">
            <v>모정호</v>
          </cell>
          <cell r="F119" t="str">
            <v>동대문종합주류</v>
          </cell>
        </row>
        <row r="120">
          <cell r="C120">
            <v>33225</v>
          </cell>
          <cell r="D120" t="str">
            <v>Seoul</v>
          </cell>
          <cell r="E120" t="str">
            <v>모정호</v>
          </cell>
          <cell r="F120" t="str">
            <v>길성판매</v>
          </cell>
        </row>
        <row r="121">
          <cell r="C121">
            <v>33110</v>
          </cell>
          <cell r="D121" t="str">
            <v>Seoul</v>
          </cell>
          <cell r="E121" t="str">
            <v>정구영</v>
          </cell>
          <cell r="F121" t="str">
            <v>수창주류(주)</v>
          </cell>
        </row>
        <row r="122">
          <cell r="C122">
            <v>33149</v>
          </cell>
          <cell r="D122" t="str">
            <v>Seoul</v>
          </cell>
          <cell r="E122" t="str">
            <v>정구영</v>
          </cell>
          <cell r="F122" t="str">
            <v>성북합동상사</v>
          </cell>
        </row>
        <row r="123">
          <cell r="C123">
            <v>33191</v>
          </cell>
          <cell r="D123" t="str">
            <v>Seoul</v>
          </cell>
          <cell r="E123" t="str">
            <v>정구영</v>
          </cell>
          <cell r="F123" t="str">
            <v>북부주류판매상사(유)</v>
          </cell>
        </row>
        <row r="124">
          <cell r="C124">
            <v>33148</v>
          </cell>
          <cell r="D124" t="str">
            <v>Seoul</v>
          </cell>
          <cell r="E124" t="str">
            <v>정구영</v>
          </cell>
          <cell r="F124" t="str">
            <v>금강주류성동</v>
          </cell>
        </row>
        <row r="125">
          <cell r="C125">
            <v>33247</v>
          </cell>
          <cell r="D125" t="str">
            <v>Seoul</v>
          </cell>
          <cell r="E125" t="str">
            <v>정구영</v>
          </cell>
          <cell r="F125" t="str">
            <v>서린주류주식</v>
          </cell>
        </row>
        <row r="126">
          <cell r="C126">
            <v>35509</v>
          </cell>
          <cell r="D126" t="str">
            <v>Seoul</v>
          </cell>
          <cell r="E126" t="str">
            <v>정구영</v>
          </cell>
          <cell r="F126" t="str">
            <v>대진주류㈜남양주</v>
          </cell>
        </row>
        <row r="127">
          <cell r="C127">
            <v>33405</v>
          </cell>
          <cell r="D127" t="str">
            <v>Seoul</v>
          </cell>
          <cell r="E127" t="str">
            <v>정구영</v>
          </cell>
          <cell r="F127" t="str">
            <v>서광컴퍼니</v>
          </cell>
        </row>
        <row r="128">
          <cell r="C128">
            <v>35483</v>
          </cell>
          <cell r="D128" t="str">
            <v>Seoul</v>
          </cell>
          <cell r="E128" t="str">
            <v>정구영</v>
          </cell>
          <cell r="F128" t="str">
            <v>백승상사 주식회사</v>
          </cell>
        </row>
        <row r="129">
          <cell r="C129">
            <v>33223</v>
          </cell>
          <cell r="D129" t="str">
            <v>Seoul</v>
          </cell>
          <cell r="E129" t="str">
            <v>정구영</v>
          </cell>
          <cell r="F129" t="str">
            <v>양지종합구리</v>
          </cell>
        </row>
        <row r="130">
          <cell r="C130">
            <v>33196</v>
          </cell>
          <cell r="D130" t="str">
            <v>Seoul</v>
          </cell>
          <cell r="E130" t="str">
            <v>채영한</v>
          </cell>
          <cell r="F130" t="str">
            <v>신내종합주류</v>
          </cell>
        </row>
        <row r="131">
          <cell r="C131">
            <v>80742</v>
          </cell>
          <cell r="D131" t="str">
            <v>Seoul</v>
          </cell>
          <cell r="E131" t="str">
            <v>채영한</v>
          </cell>
          <cell r="F131" t="str">
            <v>선진주류(유)가정</v>
          </cell>
        </row>
        <row r="132">
          <cell r="C132">
            <v>33152</v>
          </cell>
          <cell r="D132" t="str">
            <v>Seoul</v>
          </cell>
          <cell r="E132" t="str">
            <v>정구영</v>
          </cell>
          <cell r="F132" t="str">
            <v>양지종합성북</v>
          </cell>
        </row>
        <row r="133">
          <cell r="C133">
            <v>33375</v>
          </cell>
          <cell r="D133" t="str">
            <v>Seoul</v>
          </cell>
          <cell r="E133" t="str">
            <v>정구영</v>
          </cell>
          <cell r="F133" t="str">
            <v>도드람주류</v>
          </cell>
        </row>
        <row r="134">
          <cell r="C134">
            <v>33061</v>
          </cell>
          <cell r="D134" t="str">
            <v>Seoul</v>
          </cell>
          <cell r="E134" t="str">
            <v>채영한</v>
          </cell>
          <cell r="F134" t="str">
            <v>선진주류(유)</v>
          </cell>
        </row>
        <row r="135">
          <cell r="C135">
            <v>33416</v>
          </cell>
          <cell r="D135" t="str">
            <v>Seoul</v>
          </cell>
          <cell r="E135" t="str">
            <v>정구영</v>
          </cell>
          <cell r="F135" t="str">
            <v>금호주류경기</v>
          </cell>
        </row>
        <row r="136">
          <cell r="C136">
            <v>33261</v>
          </cell>
          <cell r="D136" t="str">
            <v>Seoul</v>
          </cell>
          <cell r="E136" t="str">
            <v>정구영</v>
          </cell>
          <cell r="F136" t="str">
            <v>양정종합주류</v>
          </cell>
        </row>
        <row r="137">
          <cell r="C137">
            <v>33264</v>
          </cell>
          <cell r="D137" t="str">
            <v>Seoul</v>
          </cell>
          <cell r="E137" t="str">
            <v>정구영</v>
          </cell>
          <cell r="F137" t="str">
            <v>오남주류경기</v>
          </cell>
        </row>
        <row r="138">
          <cell r="C138">
            <v>33266</v>
          </cell>
          <cell r="D138" t="str">
            <v>Seoul</v>
          </cell>
          <cell r="E138" t="str">
            <v>정구영</v>
          </cell>
          <cell r="F138" t="str">
            <v>한강주류(유)</v>
          </cell>
        </row>
        <row r="139">
          <cell r="C139">
            <v>33262</v>
          </cell>
          <cell r="D139" t="str">
            <v>Seoul</v>
          </cell>
          <cell r="E139" t="str">
            <v>정구영</v>
          </cell>
          <cell r="F139" t="str">
            <v>영산실업(유한)</v>
          </cell>
        </row>
        <row r="140">
          <cell r="C140">
            <v>33197</v>
          </cell>
          <cell r="D140" t="str">
            <v>Seoul</v>
          </cell>
          <cell r="E140" t="str">
            <v>정구영</v>
          </cell>
          <cell r="F140" t="str">
            <v>동양주류면목</v>
          </cell>
        </row>
        <row r="141">
          <cell r="C141">
            <v>33376</v>
          </cell>
          <cell r="D141" t="str">
            <v>Seoul</v>
          </cell>
          <cell r="E141" t="str">
            <v>정구영</v>
          </cell>
          <cell r="F141" t="str">
            <v>고우리종합</v>
          </cell>
        </row>
        <row r="142">
          <cell r="C142">
            <v>33401</v>
          </cell>
          <cell r="D142" t="str">
            <v>Seoul</v>
          </cell>
          <cell r="E142" t="str">
            <v>정구영</v>
          </cell>
          <cell r="F142" t="str">
            <v>으뜸주류(유)</v>
          </cell>
        </row>
        <row r="143">
          <cell r="C143">
            <v>33120</v>
          </cell>
          <cell r="D143" t="str">
            <v>Seoul</v>
          </cell>
          <cell r="E143" t="str">
            <v>정구영</v>
          </cell>
          <cell r="F143" t="str">
            <v>신원주류(주)</v>
          </cell>
        </row>
        <row r="144">
          <cell r="C144">
            <v>34607</v>
          </cell>
          <cell r="D144" t="str">
            <v>Seoul</v>
          </cell>
          <cell r="E144" t="str">
            <v>정구영</v>
          </cell>
          <cell r="F144" t="str">
            <v>산호주류(주)</v>
          </cell>
        </row>
        <row r="145">
          <cell r="C145">
            <v>37609</v>
          </cell>
          <cell r="D145" t="str">
            <v>Seoul</v>
          </cell>
          <cell r="E145" t="str">
            <v>박건영</v>
          </cell>
          <cell r="F145" t="str">
            <v>삼성주류 주식회사</v>
          </cell>
        </row>
        <row r="146">
          <cell r="C146">
            <v>39221</v>
          </cell>
          <cell r="D146" t="str">
            <v>Seoul</v>
          </cell>
          <cell r="E146" t="str">
            <v>정구영</v>
          </cell>
          <cell r="F146" t="str">
            <v>부원주류</v>
          </cell>
        </row>
        <row r="147">
          <cell r="C147">
            <v>33153</v>
          </cell>
          <cell r="D147" t="str">
            <v>Seoul</v>
          </cell>
          <cell r="E147" t="str">
            <v>채영한</v>
          </cell>
          <cell r="F147" t="str">
            <v>신승상사(주)</v>
          </cell>
        </row>
        <row r="148">
          <cell r="C148">
            <v>33159</v>
          </cell>
          <cell r="D148" t="str">
            <v>Seoul</v>
          </cell>
          <cell r="E148" t="str">
            <v>채영한</v>
          </cell>
          <cell r="F148" t="str">
            <v>송화주류상사</v>
          </cell>
        </row>
        <row r="149">
          <cell r="C149">
            <v>33052</v>
          </cell>
          <cell r="D149" t="str">
            <v>Seoul</v>
          </cell>
          <cell r="E149" t="str">
            <v>채영한</v>
          </cell>
          <cell r="F149" t="str">
            <v>두리주류판매</v>
          </cell>
        </row>
        <row r="150">
          <cell r="C150">
            <v>33207</v>
          </cell>
          <cell r="D150" t="str">
            <v>Seoul</v>
          </cell>
          <cell r="E150" t="str">
            <v>채영한</v>
          </cell>
          <cell r="F150" t="str">
            <v>성두유통서초</v>
          </cell>
        </row>
        <row r="151">
          <cell r="C151">
            <v>33248</v>
          </cell>
          <cell r="D151" t="str">
            <v>Seoul</v>
          </cell>
          <cell r="E151" t="str">
            <v>정구영</v>
          </cell>
          <cell r="F151" t="str">
            <v>한영(유)</v>
          </cell>
        </row>
        <row r="152">
          <cell r="C152">
            <v>33156</v>
          </cell>
          <cell r="D152" t="str">
            <v>Seoul</v>
          </cell>
          <cell r="E152" t="str">
            <v>채영한</v>
          </cell>
          <cell r="F152" t="str">
            <v>두하실업(유)</v>
          </cell>
        </row>
        <row r="153">
          <cell r="C153">
            <v>33055</v>
          </cell>
          <cell r="D153" t="str">
            <v>Seoul</v>
          </cell>
          <cell r="E153" t="str">
            <v>채영한</v>
          </cell>
          <cell r="F153" t="str">
            <v>동풍상사(주)</v>
          </cell>
        </row>
        <row r="154">
          <cell r="C154">
            <v>35804</v>
          </cell>
          <cell r="D154" t="str">
            <v>Seoul</v>
          </cell>
          <cell r="E154" t="str">
            <v>채영한</v>
          </cell>
          <cell r="F154" t="str">
            <v>미래주류주식회사(성남)</v>
          </cell>
        </row>
        <row r="155">
          <cell r="C155">
            <v>33199</v>
          </cell>
          <cell r="D155" t="str">
            <v>Seoul</v>
          </cell>
          <cell r="E155" t="str">
            <v>채영한</v>
          </cell>
          <cell r="F155" t="str">
            <v>민선종합주류</v>
          </cell>
        </row>
        <row r="156">
          <cell r="C156">
            <v>33265</v>
          </cell>
          <cell r="D156" t="str">
            <v>Seoul</v>
          </cell>
          <cell r="E156" t="str">
            <v>정구영</v>
          </cell>
          <cell r="F156" t="str">
            <v>와부상사(유)</v>
          </cell>
        </row>
        <row r="157">
          <cell r="C157">
            <v>34841</v>
          </cell>
          <cell r="D157" t="str">
            <v>Seoul</v>
          </cell>
          <cell r="E157" t="str">
            <v>정구영</v>
          </cell>
          <cell r="F157" t="str">
            <v>태양종합주류 유한회사</v>
          </cell>
        </row>
        <row r="158">
          <cell r="C158">
            <v>34413</v>
          </cell>
          <cell r="D158" t="str">
            <v>Seoul</v>
          </cell>
          <cell r="E158" t="str">
            <v>정구영</v>
          </cell>
          <cell r="F158" t="str">
            <v>강일주류경기</v>
          </cell>
        </row>
        <row r="159">
          <cell r="C159">
            <v>37682</v>
          </cell>
          <cell r="D159" t="str">
            <v>Seoul</v>
          </cell>
          <cell r="E159" t="str">
            <v>정구영</v>
          </cell>
          <cell r="F159" t="str">
            <v>경성종합주류 주식회사</v>
          </cell>
        </row>
        <row r="160">
          <cell r="C160">
            <v>33278</v>
          </cell>
          <cell r="D160" t="str">
            <v>Seoul</v>
          </cell>
          <cell r="E160" t="str">
            <v>김민석</v>
          </cell>
          <cell r="F160" t="str">
            <v>포도주류분당</v>
          </cell>
        </row>
        <row r="161">
          <cell r="C161">
            <v>33171</v>
          </cell>
          <cell r="D161" t="str">
            <v>Seoul</v>
          </cell>
          <cell r="E161" t="str">
            <v>김민석</v>
          </cell>
          <cell r="F161" t="str">
            <v>다산주류서초</v>
          </cell>
        </row>
        <row r="162">
          <cell r="C162">
            <v>33300</v>
          </cell>
          <cell r="D162" t="str">
            <v>Seoul</v>
          </cell>
          <cell r="E162" t="str">
            <v>김민석</v>
          </cell>
          <cell r="F162" t="str">
            <v>세계주류수원</v>
          </cell>
        </row>
        <row r="163">
          <cell r="C163">
            <v>33290</v>
          </cell>
          <cell r="D163" t="str">
            <v>Seoul</v>
          </cell>
          <cell r="E163" t="str">
            <v>김민석</v>
          </cell>
          <cell r="F163" t="str">
            <v>영광주류(주)</v>
          </cell>
        </row>
        <row r="164">
          <cell r="C164">
            <v>81891</v>
          </cell>
          <cell r="D164" t="str">
            <v>Seoul</v>
          </cell>
          <cell r="E164" t="str">
            <v>김민석</v>
          </cell>
          <cell r="F164" t="str">
            <v>(주)성학주류</v>
          </cell>
        </row>
        <row r="165">
          <cell r="C165">
            <v>81874</v>
          </cell>
          <cell r="D165" t="str">
            <v>Seoul</v>
          </cell>
          <cell r="E165" t="str">
            <v>김민석</v>
          </cell>
          <cell r="F165" t="str">
            <v>주식회사 미소주류</v>
          </cell>
        </row>
        <row r="166">
          <cell r="C166">
            <v>81877</v>
          </cell>
          <cell r="D166" t="str">
            <v>Seoul</v>
          </cell>
          <cell r="E166" t="str">
            <v>김민석</v>
          </cell>
          <cell r="F166" t="str">
            <v>주식회사 판다주류</v>
          </cell>
        </row>
        <row r="167">
          <cell r="C167">
            <v>33298</v>
          </cell>
          <cell r="D167" t="str">
            <v>Seoul</v>
          </cell>
          <cell r="E167" t="str">
            <v>김민석</v>
          </cell>
          <cell r="F167" t="str">
            <v>에스원주류(주)</v>
          </cell>
        </row>
        <row r="168">
          <cell r="C168">
            <v>85943</v>
          </cell>
          <cell r="D168" t="str">
            <v>Seoul</v>
          </cell>
          <cell r="E168" t="str">
            <v>김민석</v>
          </cell>
          <cell r="F168" t="str">
            <v>포도주류 유한회사_프랜차이즈</v>
          </cell>
        </row>
        <row r="169">
          <cell r="C169">
            <v>85722</v>
          </cell>
          <cell r="D169" t="str">
            <v>Seoul</v>
          </cell>
          <cell r="E169" t="str">
            <v>김민석</v>
          </cell>
          <cell r="F169" t="str">
            <v>주식회사 미소주류_보배반점</v>
          </cell>
        </row>
        <row r="170">
          <cell r="C170">
            <v>84196</v>
          </cell>
          <cell r="D170" t="str">
            <v>Seoul</v>
          </cell>
          <cell r="E170" t="str">
            <v>김민석</v>
          </cell>
          <cell r="F170" t="str">
            <v>(유)세계주류_아워홈</v>
          </cell>
        </row>
        <row r="171">
          <cell r="C171">
            <v>33292</v>
          </cell>
          <cell r="D171" t="str">
            <v>Seoul</v>
          </cell>
          <cell r="E171" t="str">
            <v>김민석</v>
          </cell>
          <cell r="F171" t="str">
            <v>혜성주류수원</v>
          </cell>
        </row>
        <row r="172">
          <cell r="C172">
            <v>83763</v>
          </cell>
          <cell r="D172" t="str">
            <v>Seoul</v>
          </cell>
          <cell r="E172" t="str">
            <v>김민석</v>
          </cell>
          <cell r="F172" t="str">
            <v>(유)미라클수입주류상사</v>
          </cell>
        </row>
        <row r="173">
          <cell r="C173">
            <v>81873</v>
          </cell>
          <cell r="D173" t="str">
            <v>Seoul</v>
          </cell>
          <cell r="E173" t="str">
            <v>채영한</v>
          </cell>
          <cell r="F173" t="str">
            <v>(합)청도코리아</v>
          </cell>
        </row>
        <row r="174">
          <cell r="C174">
            <v>33295</v>
          </cell>
          <cell r="D174" t="str">
            <v>Seoul</v>
          </cell>
          <cell r="E174" t="str">
            <v>김민석</v>
          </cell>
          <cell r="F174" t="str">
            <v>수성주류(주)</v>
          </cell>
        </row>
        <row r="175">
          <cell r="C175">
            <v>33297</v>
          </cell>
          <cell r="D175" t="str">
            <v>Seoul</v>
          </cell>
          <cell r="E175" t="str">
            <v>김민석</v>
          </cell>
          <cell r="F175" t="str">
            <v>경기종합주류</v>
          </cell>
        </row>
        <row r="176">
          <cell r="C176">
            <v>33299</v>
          </cell>
          <cell r="D176" t="str">
            <v>Seoul</v>
          </cell>
          <cell r="E176" t="str">
            <v>김민석</v>
          </cell>
          <cell r="F176" t="str">
            <v>광교주류유한</v>
          </cell>
        </row>
        <row r="177">
          <cell r="C177">
            <v>33288</v>
          </cell>
          <cell r="D177" t="str">
            <v>Seoul</v>
          </cell>
          <cell r="E177" t="str">
            <v>김민석</v>
          </cell>
          <cell r="F177" t="str">
            <v>한성주류(유)</v>
          </cell>
        </row>
        <row r="178">
          <cell r="C178">
            <v>33294</v>
          </cell>
          <cell r="D178" t="str">
            <v>Seoul</v>
          </cell>
          <cell r="E178" t="str">
            <v>김민석</v>
          </cell>
          <cell r="F178" t="str">
            <v>장안주류판매</v>
          </cell>
        </row>
        <row r="179">
          <cell r="C179">
            <v>33293</v>
          </cell>
          <cell r="D179" t="str">
            <v>Seoul</v>
          </cell>
          <cell r="E179" t="str">
            <v>김민석</v>
          </cell>
          <cell r="F179" t="str">
            <v>서호주류(유)</v>
          </cell>
        </row>
        <row r="180">
          <cell r="C180">
            <v>36630</v>
          </cell>
          <cell r="D180" t="str">
            <v>Seoul</v>
          </cell>
          <cell r="E180" t="str">
            <v>김민석</v>
          </cell>
          <cell r="F180" t="str">
            <v>성일주류(유)</v>
          </cell>
        </row>
        <row r="181">
          <cell r="C181">
            <v>33301</v>
          </cell>
          <cell r="D181" t="str">
            <v>Seoul</v>
          </cell>
          <cell r="E181" t="str">
            <v>김민석</v>
          </cell>
          <cell r="F181" t="str">
            <v>동원주류판매</v>
          </cell>
        </row>
        <row r="182">
          <cell r="C182">
            <v>33291</v>
          </cell>
          <cell r="D182" t="str">
            <v>Seoul</v>
          </cell>
          <cell r="E182" t="str">
            <v>김민석</v>
          </cell>
          <cell r="F182" t="str">
            <v>새한주류수원</v>
          </cell>
        </row>
        <row r="183">
          <cell r="C183">
            <v>33287</v>
          </cell>
          <cell r="D183" t="str">
            <v>Seoul</v>
          </cell>
          <cell r="E183" t="str">
            <v>김민석</v>
          </cell>
          <cell r="F183" t="str">
            <v>경기연합주류</v>
          </cell>
        </row>
        <row r="184">
          <cell r="C184">
            <v>33302</v>
          </cell>
          <cell r="D184" t="str">
            <v>Seoul</v>
          </cell>
          <cell r="E184" t="str">
            <v>김민석</v>
          </cell>
          <cell r="F184" t="str">
            <v>동화주류수원</v>
          </cell>
        </row>
        <row r="185">
          <cell r="C185">
            <v>33206</v>
          </cell>
          <cell r="D185" t="str">
            <v>Seoul</v>
          </cell>
          <cell r="E185" t="str">
            <v>김민석</v>
          </cell>
          <cell r="F185" t="str">
            <v>독도사랑(주)</v>
          </cell>
        </row>
        <row r="186">
          <cell r="C186">
            <v>80453</v>
          </cell>
          <cell r="D186" t="str">
            <v>Seoul</v>
          </cell>
          <cell r="E186" t="str">
            <v>김민석</v>
          </cell>
          <cell r="F186" t="str">
            <v>창신주류 주식회사</v>
          </cell>
        </row>
        <row r="187">
          <cell r="C187">
            <v>86261</v>
          </cell>
          <cell r="D187" t="str">
            <v>Seoul</v>
          </cell>
          <cell r="E187" t="str">
            <v>김민석</v>
          </cell>
          <cell r="F187" t="str">
            <v>(주)문화체인</v>
          </cell>
        </row>
        <row r="188">
          <cell r="C188">
            <v>33406</v>
          </cell>
          <cell r="D188" t="str">
            <v>Seoul</v>
          </cell>
          <cell r="E188" t="str">
            <v>정구영</v>
          </cell>
          <cell r="F188" t="str">
            <v>(유)태양주류</v>
          </cell>
        </row>
        <row r="189">
          <cell r="C189">
            <v>33322</v>
          </cell>
          <cell r="D189" t="str">
            <v>Seoul</v>
          </cell>
          <cell r="E189" t="str">
            <v>정구영</v>
          </cell>
          <cell r="F189" t="str">
            <v>백산주류평촌</v>
          </cell>
        </row>
        <row r="190">
          <cell r="C190">
            <v>86023</v>
          </cell>
          <cell r="D190" t="str">
            <v>Seoul</v>
          </cell>
          <cell r="E190" t="str">
            <v>정구영</v>
          </cell>
          <cell r="F190" t="str">
            <v>백산주류(유)_클럽</v>
          </cell>
        </row>
        <row r="191">
          <cell r="C191">
            <v>35801</v>
          </cell>
          <cell r="D191" t="str">
            <v>Seoul</v>
          </cell>
          <cell r="E191" t="str">
            <v>정구영</v>
          </cell>
          <cell r="F191" t="str">
            <v>케이엘유통 주식회사</v>
          </cell>
        </row>
        <row r="192">
          <cell r="C192">
            <v>35673</v>
          </cell>
          <cell r="D192" t="str">
            <v>Seoul</v>
          </cell>
          <cell r="E192" t="str">
            <v>정구영</v>
          </cell>
          <cell r="F192" t="str">
            <v>프라임주류 주식회사</v>
          </cell>
        </row>
        <row r="193">
          <cell r="C193">
            <v>33391</v>
          </cell>
          <cell r="D193" t="str">
            <v>Seoul</v>
          </cell>
          <cell r="E193" t="str">
            <v>모정호</v>
          </cell>
          <cell r="F193" t="str">
            <v>광성주류경기</v>
          </cell>
        </row>
        <row r="194">
          <cell r="C194">
            <v>33245</v>
          </cell>
          <cell r="D194" t="str">
            <v>Seoul</v>
          </cell>
          <cell r="E194" t="str">
            <v>모정호</v>
          </cell>
          <cell r="F194" t="str">
            <v>성원주류(유)</v>
          </cell>
        </row>
        <row r="195">
          <cell r="C195">
            <v>33244</v>
          </cell>
          <cell r="D195" t="str">
            <v>Seoul</v>
          </cell>
          <cell r="E195" t="str">
            <v>모정호</v>
          </cell>
          <cell r="F195" t="str">
            <v>중앙주류광명</v>
          </cell>
        </row>
        <row r="196">
          <cell r="C196">
            <v>33398</v>
          </cell>
          <cell r="D196" t="str">
            <v>Seoul</v>
          </cell>
          <cell r="E196" t="str">
            <v>홍건석</v>
          </cell>
          <cell r="F196" t="str">
            <v>양평상사경기</v>
          </cell>
        </row>
        <row r="197">
          <cell r="C197">
            <v>35076</v>
          </cell>
          <cell r="D197" t="str">
            <v>Seoul</v>
          </cell>
          <cell r="E197" t="str">
            <v>홍건석</v>
          </cell>
          <cell r="F197" t="str">
            <v>옥천주류(유)</v>
          </cell>
        </row>
        <row r="198">
          <cell r="C198">
            <v>35077</v>
          </cell>
          <cell r="D198" t="str">
            <v>Seoul</v>
          </cell>
          <cell r="E198" t="str">
            <v>홍건석</v>
          </cell>
          <cell r="F198" t="str">
            <v>용문상사(자)</v>
          </cell>
        </row>
        <row r="199">
          <cell r="C199">
            <v>33253</v>
          </cell>
          <cell r="D199" t="str">
            <v>Seoul</v>
          </cell>
          <cell r="E199" t="str">
            <v>정구영</v>
          </cell>
          <cell r="F199" t="str">
            <v>대인상사(유)</v>
          </cell>
        </row>
        <row r="200">
          <cell r="C200">
            <v>33328</v>
          </cell>
          <cell r="D200" t="str">
            <v>Seoul</v>
          </cell>
          <cell r="E200" t="str">
            <v>정구영</v>
          </cell>
          <cell r="F200" t="str">
            <v>흥안주류(유)</v>
          </cell>
        </row>
        <row r="201">
          <cell r="C201">
            <v>33252</v>
          </cell>
          <cell r="D201" t="str">
            <v>Seoul</v>
          </cell>
          <cell r="E201" t="str">
            <v>정구영</v>
          </cell>
          <cell r="F201" t="str">
            <v>군포주류(유)</v>
          </cell>
        </row>
        <row r="202">
          <cell r="C202">
            <v>33323</v>
          </cell>
          <cell r="D202" t="str">
            <v>Seoul</v>
          </cell>
          <cell r="E202" t="str">
            <v>정구영</v>
          </cell>
          <cell r="F202" t="str">
            <v>덕천상사안양</v>
          </cell>
        </row>
        <row r="203">
          <cell r="C203">
            <v>33327</v>
          </cell>
          <cell r="D203" t="str">
            <v>Seoul</v>
          </cell>
          <cell r="E203" t="str">
            <v>정구영</v>
          </cell>
          <cell r="F203" t="str">
            <v>삼정주류(주)</v>
          </cell>
        </row>
        <row r="204">
          <cell r="C204">
            <v>33251</v>
          </cell>
          <cell r="D204" t="str">
            <v>Seoul</v>
          </cell>
          <cell r="E204" t="str">
            <v>정구영</v>
          </cell>
          <cell r="F204" t="str">
            <v>산본주류</v>
          </cell>
        </row>
        <row r="205">
          <cell r="C205">
            <v>33256</v>
          </cell>
          <cell r="D205" t="str">
            <v>Seoul</v>
          </cell>
          <cell r="E205" t="str">
            <v>정구영</v>
          </cell>
          <cell r="F205" t="str">
            <v>동인주류군포</v>
          </cell>
        </row>
        <row r="206">
          <cell r="C206">
            <v>33331</v>
          </cell>
          <cell r="D206" t="str">
            <v>Seoul</v>
          </cell>
          <cell r="E206" t="str">
            <v>정구영</v>
          </cell>
          <cell r="F206" t="str">
            <v>세종주류상사</v>
          </cell>
        </row>
        <row r="207">
          <cell r="C207">
            <v>33332</v>
          </cell>
          <cell r="D207" t="str">
            <v>Seoul</v>
          </cell>
          <cell r="E207" t="str">
            <v>정구영</v>
          </cell>
          <cell r="F207" t="str">
            <v>북성상사(자)</v>
          </cell>
        </row>
        <row r="208">
          <cell r="C208">
            <v>33349</v>
          </cell>
          <cell r="D208" t="str">
            <v>Seoul</v>
          </cell>
          <cell r="E208" t="str">
            <v>정구영</v>
          </cell>
          <cell r="F208" t="str">
            <v>동광상사(합)</v>
          </cell>
        </row>
        <row r="209">
          <cell r="C209">
            <v>33348</v>
          </cell>
          <cell r="D209" t="str">
            <v>Seoul</v>
          </cell>
          <cell r="E209" t="str">
            <v>정구영</v>
          </cell>
          <cell r="F209" t="str">
            <v>이천상사이천</v>
          </cell>
        </row>
        <row r="210">
          <cell r="C210">
            <v>33346</v>
          </cell>
          <cell r="D210" t="str">
            <v>Seoul</v>
          </cell>
          <cell r="E210" t="str">
            <v>정구영</v>
          </cell>
          <cell r="F210" t="str">
            <v>대지상사이천</v>
          </cell>
        </row>
        <row r="211">
          <cell r="C211">
            <v>33347</v>
          </cell>
          <cell r="D211" t="str">
            <v>Seoul</v>
          </cell>
          <cell r="E211" t="str">
            <v>정구영</v>
          </cell>
          <cell r="F211" t="str">
            <v>중앙상사이천</v>
          </cell>
        </row>
        <row r="212">
          <cell r="C212">
            <v>33333</v>
          </cell>
          <cell r="D212" t="str">
            <v>Seoul</v>
          </cell>
          <cell r="E212" t="str">
            <v>정구영</v>
          </cell>
          <cell r="F212" t="str">
            <v>제일상사여주</v>
          </cell>
        </row>
        <row r="213">
          <cell r="C213">
            <v>33358</v>
          </cell>
          <cell r="D213" t="str">
            <v>Seoul</v>
          </cell>
          <cell r="E213" t="str">
            <v>채영한</v>
          </cell>
          <cell r="F213" t="str">
            <v>송탄주류판매</v>
          </cell>
        </row>
        <row r="214">
          <cell r="C214">
            <v>33337</v>
          </cell>
          <cell r="D214" t="str">
            <v>Seoul</v>
          </cell>
          <cell r="E214" t="str">
            <v>김민석</v>
          </cell>
          <cell r="F214" t="str">
            <v>기흥주류경기</v>
          </cell>
        </row>
        <row r="215">
          <cell r="C215">
            <v>33371</v>
          </cell>
          <cell r="D215" t="str">
            <v>Seoul</v>
          </cell>
          <cell r="E215" t="str">
            <v>김민석</v>
          </cell>
          <cell r="F215" t="str">
            <v>병점주류유한</v>
          </cell>
        </row>
        <row r="216">
          <cell r="C216">
            <v>33336</v>
          </cell>
          <cell r="D216" t="str">
            <v>Seoul</v>
          </cell>
          <cell r="E216" t="str">
            <v>김민석</v>
          </cell>
          <cell r="F216" t="str">
            <v>성원종합주류(유)</v>
          </cell>
        </row>
        <row r="217">
          <cell r="C217">
            <v>33158</v>
          </cell>
          <cell r="D217" t="str">
            <v>Seoul</v>
          </cell>
          <cell r="E217" t="str">
            <v>채영한</v>
          </cell>
          <cell r="F217" t="str">
            <v>동성주류(유)</v>
          </cell>
        </row>
        <row r="218">
          <cell r="C218">
            <v>82010</v>
          </cell>
          <cell r="D218" t="str">
            <v>Seoul</v>
          </cell>
          <cell r="E218" t="str">
            <v>김민석</v>
          </cell>
          <cell r="F218" t="str">
            <v>(주)성우종합주류</v>
          </cell>
        </row>
        <row r="219">
          <cell r="C219">
            <v>85740</v>
          </cell>
          <cell r="D219" t="str">
            <v>Seoul</v>
          </cell>
          <cell r="E219" t="str">
            <v>채영한</v>
          </cell>
          <cell r="F219" t="str">
            <v>주식회사 팀프주류</v>
          </cell>
        </row>
        <row r="220">
          <cell r="C220">
            <v>39150</v>
          </cell>
          <cell r="D220" t="str">
            <v>Seoul</v>
          </cell>
          <cell r="E220" t="str">
            <v>김민석</v>
          </cell>
          <cell r="F220" t="str">
            <v>무봉주류 주식회사</v>
          </cell>
        </row>
        <row r="221">
          <cell r="C221">
            <v>39203</v>
          </cell>
          <cell r="D221" t="str">
            <v>Seoul</v>
          </cell>
          <cell r="E221" t="str">
            <v>김민석</v>
          </cell>
          <cell r="F221" t="str">
            <v>주미성주류 유한회사</v>
          </cell>
        </row>
        <row r="222">
          <cell r="C222">
            <v>33370</v>
          </cell>
          <cell r="D222" t="str">
            <v>Seoul</v>
          </cell>
          <cell r="E222" t="str">
            <v>채영한</v>
          </cell>
          <cell r="F222" t="str">
            <v>동광상사(유)</v>
          </cell>
        </row>
        <row r="223">
          <cell r="C223">
            <v>81731</v>
          </cell>
          <cell r="D223" t="str">
            <v>Seoul</v>
          </cell>
          <cell r="E223" t="str">
            <v>채영한</v>
          </cell>
          <cell r="F223" t="str">
            <v>서광주류(자)</v>
          </cell>
        </row>
        <row r="224">
          <cell r="C224">
            <v>81940</v>
          </cell>
          <cell r="D224" t="str">
            <v>Seoul</v>
          </cell>
          <cell r="E224" t="str">
            <v>채영한</v>
          </cell>
          <cell r="F224" t="str">
            <v>(유)디케이종합주류</v>
          </cell>
        </row>
        <row r="225">
          <cell r="C225">
            <v>33392</v>
          </cell>
          <cell r="D225" t="str">
            <v>Seoul</v>
          </cell>
          <cell r="E225" t="str">
            <v>채영한</v>
          </cell>
          <cell r="F225" t="str">
            <v>남광주류화성</v>
          </cell>
        </row>
        <row r="226">
          <cell r="C226">
            <v>33356</v>
          </cell>
          <cell r="D226" t="str">
            <v>Seoul</v>
          </cell>
          <cell r="E226" t="str">
            <v>채영한</v>
          </cell>
          <cell r="F226" t="str">
            <v>경기주류(유)</v>
          </cell>
        </row>
        <row r="227">
          <cell r="C227">
            <v>33361</v>
          </cell>
          <cell r="D227" t="str">
            <v>Seoul</v>
          </cell>
          <cell r="E227" t="str">
            <v>채영한</v>
          </cell>
          <cell r="F227" t="str">
            <v>대림상사평택</v>
          </cell>
        </row>
        <row r="228">
          <cell r="C228">
            <v>33359</v>
          </cell>
          <cell r="D228" t="str">
            <v>Seoul</v>
          </cell>
          <cell r="E228" t="str">
            <v>채영한</v>
          </cell>
          <cell r="F228" t="str">
            <v>안중주류(유)</v>
          </cell>
        </row>
        <row r="229">
          <cell r="C229">
            <v>33362</v>
          </cell>
          <cell r="D229" t="str">
            <v>Seoul</v>
          </cell>
          <cell r="E229" t="str">
            <v>채영한</v>
          </cell>
          <cell r="F229" t="str">
            <v>대성주류평택</v>
          </cell>
        </row>
        <row r="230">
          <cell r="C230">
            <v>33319</v>
          </cell>
          <cell r="D230" t="str">
            <v>Seoul</v>
          </cell>
          <cell r="E230" t="str">
            <v>채영한</v>
          </cell>
          <cell r="F230" t="str">
            <v>안성종합주류</v>
          </cell>
        </row>
        <row r="231">
          <cell r="C231">
            <v>34415</v>
          </cell>
          <cell r="D231" t="str">
            <v>Seoul</v>
          </cell>
          <cell r="E231" t="str">
            <v>채영한</v>
          </cell>
          <cell r="F231" t="str">
            <v>명성상사 유한회사</v>
          </cell>
        </row>
        <row r="232">
          <cell r="C232">
            <v>33360</v>
          </cell>
          <cell r="D232" t="str">
            <v>Seoul</v>
          </cell>
          <cell r="E232" t="str">
            <v>채영한</v>
          </cell>
          <cell r="F232" t="str">
            <v>경남상사평택</v>
          </cell>
        </row>
        <row r="233">
          <cell r="C233">
            <v>33363</v>
          </cell>
          <cell r="D233" t="str">
            <v>Seoul</v>
          </cell>
          <cell r="E233" t="str">
            <v>채영한</v>
          </cell>
          <cell r="F233" t="str">
            <v>현대주류평택</v>
          </cell>
        </row>
        <row r="234">
          <cell r="C234">
            <v>33357</v>
          </cell>
          <cell r="D234" t="str">
            <v>Seoul</v>
          </cell>
          <cell r="E234" t="str">
            <v>채영한</v>
          </cell>
          <cell r="F234" t="str">
            <v>합동주류㈜</v>
          </cell>
        </row>
        <row r="235">
          <cell r="C235">
            <v>33321</v>
          </cell>
          <cell r="D235" t="str">
            <v>Seoul</v>
          </cell>
          <cell r="E235" t="str">
            <v>채영한</v>
          </cell>
          <cell r="F235" t="str">
            <v>낙원주류합명</v>
          </cell>
        </row>
        <row r="236">
          <cell r="C236">
            <v>33368</v>
          </cell>
          <cell r="D236" t="str">
            <v>Seoul</v>
          </cell>
          <cell r="E236" t="str">
            <v>채영한</v>
          </cell>
          <cell r="F236" t="str">
            <v>서해주류종합</v>
          </cell>
        </row>
        <row r="237">
          <cell r="C237">
            <v>33340</v>
          </cell>
          <cell r="D237" t="str">
            <v>Seoul</v>
          </cell>
          <cell r="E237" t="str">
            <v>김민석</v>
          </cell>
          <cell r="F237" t="str">
            <v>신영주류용인</v>
          </cell>
        </row>
        <row r="238">
          <cell r="C238">
            <v>33396</v>
          </cell>
          <cell r="D238" t="str">
            <v>Seoul</v>
          </cell>
          <cell r="E238" t="str">
            <v>채영한</v>
          </cell>
          <cell r="F238" t="str">
            <v>평택주류경기</v>
          </cell>
        </row>
        <row r="239">
          <cell r="C239">
            <v>33410</v>
          </cell>
          <cell r="D239" t="str">
            <v>Seoul</v>
          </cell>
          <cell r="E239" t="str">
            <v>채영한</v>
          </cell>
          <cell r="F239" t="str">
            <v>화성합동(주)오산</v>
          </cell>
        </row>
        <row r="240">
          <cell r="C240">
            <v>85921</v>
          </cell>
          <cell r="D240" t="str">
            <v>Seoul</v>
          </cell>
          <cell r="E240" t="str">
            <v>채영한</v>
          </cell>
          <cell r="F240" t="str">
            <v>합명회사 북광주류</v>
          </cell>
        </row>
        <row r="241">
          <cell r="C241">
            <v>86088</v>
          </cell>
          <cell r="D241" t="str">
            <v>Seoul</v>
          </cell>
          <cell r="E241" t="str">
            <v>채영한</v>
          </cell>
          <cell r="F241" t="str">
            <v>디케이엘종합주류(주)</v>
          </cell>
        </row>
        <row r="242">
          <cell r="C242">
            <v>33056</v>
          </cell>
          <cell r="D242" t="str">
            <v>Seoul</v>
          </cell>
          <cell r="E242" t="str">
            <v>채영한</v>
          </cell>
          <cell r="F242" t="str">
            <v>동우주류(주)</v>
          </cell>
        </row>
        <row r="243">
          <cell r="C243">
            <v>33222</v>
          </cell>
          <cell r="D243" t="str">
            <v>Seoul</v>
          </cell>
          <cell r="E243" t="str">
            <v>채영한</v>
          </cell>
          <cell r="F243" t="str">
            <v>삼성주류강동</v>
          </cell>
        </row>
        <row r="244">
          <cell r="C244">
            <v>33216</v>
          </cell>
          <cell r="D244" t="str">
            <v>Seoul</v>
          </cell>
          <cell r="E244" t="str">
            <v>채영한</v>
          </cell>
          <cell r="F244" t="str">
            <v>보경실업강동</v>
          </cell>
        </row>
        <row r="245">
          <cell r="C245">
            <v>33219</v>
          </cell>
          <cell r="D245" t="str">
            <v>Seoul</v>
          </cell>
          <cell r="E245" t="str">
            <v>채영한</v>
          </cell>
          <cell r="F245" t="str">
            <v>정산주류강동</v>
          </cell>
        </row>
        <row r="246">
          <cell r="C246">
            <v>84042</v>
          </cell>
          <cell r="D246" t="str">
            <v>Seoul</v>
          </cell>
          <cell r="E246" t="str">
            <v>채영한</v>
          </cell>
          <cell r="F246" t="str">
            <v>(유한)을지식품</v>
          </cell>
        </row>
        <row r="247">
          <cell r="C247">
            <v>84192</v>
          </cell>
          <cell r="D247" t="str">
            <v>Seoul</v>
          </cell>
          <cell r="E247" t="str">
            <v>채영한</v>
          </cell>
          <cell r="F247" t="str">
            <v>주식회사 원주류</v>
          </cell>
        </row>
        <row r="248">
          <cell r="C248">
            <v>85735</v>
          </cell>
          <cell r="D248" t="str">
            <v>Seoul</v>
          </cell>
          <cell r="E248" t="str">
            <v>채영한</v>
          </cell>
          <cell r="F248" t="str">
            <v>주식회사 삼에이치주류</v>
          </cell>
        </row>
        <row r="249">
          <cell r="C249">
            <v>86016</v>
          </cell>
          <cell r="D249" t="str">
            <v>Seoul</v>
          </cell>
          <cell r="E249" t="str">
            <v>채영한</v>
          </cell>
          <cell r="F249" t="str">
            <v>유한회사 동하주류</v>
          </cell>
        </row>
        <row r="250">
          <cell r="C250">
            <v>33342</v>
          </cell>
          <cell r="D250" t="str">
            <v>Seoul</v>
          </cell>
          <cell r="E250" t="str">
            <v>김민석</v>
          </cell>
          <cell r="F250" t="str">
            <v>포도주류유한</v>
          </cell>
        </row>
        <row r="251">
          <cell r="C251">
            <v>33387</v>
          </cell>
          <cell r="D251" t="str">
            <v>Seoul</v>
          </cell>
          <cell r="E251" t="str">
            <v>채영한</v>
          </cell>
          <cell r="F251" t="str">
            <v>해동주류성남</v>
          </cell>
        </row>
        <row r="252">
          <cell r="C252">
            <v>33155</v>
          </cell>
          <cell r="D252" t="str">
            <v>Seoul</v>
          </cell>
          <cell r="E252" t="str">
            <v>채영한</v>
          </cell>
          <cell r="F252" t="str">
            <v>세왕상사(주)</v>
          </cell>
        </row>
        <row r="253">
          <cell r="C253">
            <v>34271</v>
          </cell>
          <cell r="D253" t="str">
            <v>Seoul</v>
          </cell>
          <cell r="E253" t="str">
            <v>채영한</v>
          </cell>
          <cell r="F253" t="str">
            <v>라온(유)</v>
          </cell>
        </row>
        <row r="254">
          <cell r="C254">
            <v>35683</v>
          </cell>
          <cell r="D254" t="str">
            <v>Seoul</v>
          </cell>
          <cell r="E254" t="str">
            <v>채영한</v>
          </cell>
          <cell r="F254" t="str">
            <v>우리종합주류 유한회사</v>
          </cell>
        </row>
        <row r="255">
          <cell r="C255">
            <v>83958</v>
          </cell>
          <cell r="D255" t="str">
            <v>Seoul</v>
          </cell>
          <cell r="E255" t="str">
            <v>김민석</v>
          </cell>
          <cell r="F255" t="str">
            <v>포도주류유한회사_메타</v>
          </cell>
        </row>
        <row r="256">
          <cell r="C256">
            <v>85827</v>
          </cell>
          <cell r="D256" t="str">
            <v>Seoul</v>
          </cell>
          <cell r="E256" t="str">
            <v>채영한</v>
          </cell>
          <cell r="F256" t="str">
            <v>해동주류(주)_파운틴</v>
          </cell>
        </row>
        <row r="257">
          <cell r="C257">
            <v>85896</v>
          </cell>
          <cell r="D257" t="str">
            <v>Seoul</v>
          </cell>
          <cell r="E257" t="str">
            <v>채영한</v>
          </cell>
          <cell r="F257" t="str">
            <v>해동주류(주)_CGV</v>
          </cell>
        </row>
        <row r="258">
          <cell r="C258">
            <v>33255</v>
          </cell>
          <cell r="D258" t="str">
            <v>Seoul</v>
          </cell>
          <cell r="E258" t="str">
            <v>김민석</v>
          </cell>
          <cell r="F258" t="str">
            <v>포도종합주류(유)</v>
          </cell>
        </row>
        <row r="259">
          <cell r="C259">
            <v>80983</v>
          </cell>
          <cell r="D259" t="str">
            <v>Seoul</v>
          </cell>
          <cell r="E259" t="str">
            <v>채영한</v>
          </cell>
          <cell r="F259" t="str">
            <v>종일상사(유)유흥</v>
          </cell>
        </row>
        <row r="260">
          <cell r="C260">
            <v>33047</v>
          </cell>
          <cell r="D260" t="str">
            <v>Seoul</v>
          </cell>
          <cell r="E260" t="str">
            <v>채영한</v>
          </cell>
          <cell r="F260" t="str">
            <v>보광주류포이</v>
          </cell>
        </row>
        <row r="261">
          <cell r="C261">
            <v>33142</v>
          </cell>
          <cell r="D261" t="str">
            <v>Seoul</v>
          </cell>
          <cell r="E261" t="str">
            <v>채영한</v>
          </cell>
          <cell r="F261" t="str">
            <v>중문주류(주)</v>
          </cell>
        </row>
        <row r="262">
          <cell r="C262">
            <v>81337</v>
          </cell>
          <cell r="D262" t="str">
            <v>Seoul</v>
          </cell>
          <cell r="E262" t="str">
            <v>채영한</v>
          </cell>
          <cell r="F262" t="str">
            <v>케이주류(주)</v>
          </cell>
        </row>
        <row r="263">
          <cell r="C263">
            <v>33103</v>
          </cell>
          <cell r="D263" t="str">
            <v>Seoul</v>
          </cell>
          <cell r="E263" t="str">
            <v>채영한</v>
          </cell>
          <cell r="F263" t="str">
            <v>강남양행서초</v>
          </cell>
        </row>
        <row r="264">
          <cell r="C264">
            <v>33143</v>
          </cell>
          <cell r="D264" t="str">
            <v>Seoul</v>
          </cell>
          <cell r="E264" t="str">
            <v>채영한</v>
          </cell>
          <cell r="F264" t="str">
            <v>선전기업(주)</v>
          </cell>
        </row>
        <row r="265">
          <cell r="C265">
            <v>33176</v>
          </cell>
          <cell r="D265" t="str">
            <v>Seoul</v>
          </cell>
          <cell r="E265" t="str">
            <v>채영한</v>
          </cell>
          <cell r="F265" t="str">
            <v>쌍용종합주류</v>
          </cell>
        </row>
        <row r="266">
          <cell r="C266">
            <v>33138</v>
          </cell>
          <cell r="D266" t="str">
            <v>Seoul</v>
          </cell>
          <cell r="E266" t="str">
            <v>채영한</v>
          </cell>
          <cell r="F266" t="str">
            <v>배원유통(합)</v>
          </cell>
        </row>
        <row r="267">
          <cell r="C267">
            <v>33048</v>
          </cell>
          <cell r="D267" t="str">
            <v>Seoul</v>
          </cell>
          <cell r="E267" t="str">
            <v>채영한</v>
          </cell>
          <cell r="F267" t="str">
            <v>천지유통(주)</v>
          </cell>
        </row>
        <row r="268">
          <cell r="C268">
            <v>33122</v>
          </cell>
          <cell r="D268" t="str">
            <v>Seoul</v>
          </cell>
          <cell r="E268" t="str">
            <v>채영한</v>
          </cell>
          <cell r="F268" t="str">
            <v>원창진흥(주)</v>
          </cell>
        </row>
        <row r="269">
          <cell r="C269">
            <v>33145</v>
          </cell>
          <cell r="D269" t="str">
            <v>Seoul</v>
          </cell>
          <cell r="E269" t="str">
            <v>채영한</v>
          </cell>
          <cell r="F269" t="str">
            <v>양강물산(주)</v>
          </cell>
        </row>
        <row r="270">
          <cell r="C270">
            <v>33134</v>
          </cell>
          <cell r="D270" t="str">
            <v>Seoul</v>
          </cell>
          <cell r="E270" t="str">
            <v>채영한</v>
          </cell>
          <cell r="F270" t="str">
            <v>서광상사(유)</v>
          </cell>
        </row>
        <row r="271">
          <cell r="C271">
            <v>33135</v>
          </cell>
          <cell r="D271" t="str">
            <v>Seoul</v>
          </cell>
          <cell r="E271" t="str">
            <v>채영한</v>
          </cell>
          <cell r="F271" t="str">
            <v>서림유통(주)</v>
          </cell>
        </row>
        <row r="272">
          <cell r="C272">
            <v>33474</v>
          </cell>
          <cell r="D272" t="str">
            <v>Seoul</v>
          </cell>
          <cell r="E272" t="str">
            <v>홍건석</v>
          </cell>
          <cell r="F272" t="str">
            <v>대명종합춘천</v>
          </cell>
        </row>
        <row r="273">
          <cell r="C273">
            <v>33281</v>
          </cell>
          <cell r="D273" t="str">
            <v>Seoul</v>
          </cell>
          <cell r="E273" t="str">
            <v>채영한</v>
          </cell>
          <cell r="F273" t="str">
            <v>투원주류(유)</v>
          </cell>
        </row>
        <row r="274">
          <cell r="C274">
            <v>35800</v>
          </cell>
          <cell r="D274" t="str">
            <v>Seoul</v>
          </cell>
          <cell r="E274" t="str">
            <v>채영한</v>
          </cell>
          <cell r="F274" t="str">
            <v>세종실업 주식회사</v>
          </cell>
        </row>
        <row r="275">
          <cell r="C275">
            <v>33282</v>
          </cell>
          <cell r="D275" t="str">
            <v>Seoul</v>
          </cell>
          <cell r="E275" t="str">
            <v>채영한</v>
          </cell>
          <cell r="F275" t="str">
            <v>동천(유)</v>
          </cell>
        </row>
        <row r="276">
          <cell r="C276">
            <v>33275</v>
          </cell>
          <cell r="D276" t="str">
            <v>Seoul</v>
          </cell>
          <cell r="E276" t="str">
            <v>채영한</v>
          </cell>
          <cell r="F276" t="str">
            <v>경성주류성남</v>
          </cell>
        </row>
        <row r="277">
          <cell r="C277">
            <v>33409</v>
          </cell>
          <cell r="D277" t="str">
            <v>Seoul</v>
          </cell>
          <cell r="E277" t="str">
            <v>채영한</v>
          </cell>
          <cell r="F277" t="str">
            <v>태흥(유)성남</v>
          </cell>
        </row>
        <row r="278">
          <cell r="C278">
            <v>33276</v>
          </cell>
          <cell r="D278" t="str">
            <v>Seoul</v>
          </cell>
          <cell r="E278" t="str">
            <v>채영한</v>
          </cell>
          <cell r="F278" t="str">
            <v>삼풍주류(유)</v>
          </cell>
        </row>
        <row r="279">
          <cell r="C279">
            <v>33133</v>
          </cell>
          <cell r="D279" t="str">
            <v>Seoul</v>
          </cell>
          <cell r="E279" t="str">
            <v>채영한</v>
          </cell>
          <cell r="F279" t="str">
            <v>해성주류(주)</v>
          </cell>
        </row>
        <row r="280">
          <cell r="C280">
            <v>33415</v>
          </cell>
          <cell r="D280" t="str">
            <v>Seoul</v>
          </cell>
          <cell r="E280" t="str">
            <v>채영한</v>
          </cell>
          <cell r="F280" t="str">
            <v>진원(유)성남</v>
          </cell>
        </row>
        <row r="281">
          <cell r="C281">
            <v>33280</v>
          </cell>
          <cell r="D281" t="str">
            <v>Seoul</v>
          </cell>
          <cell r="E281" t="str">
            <v>채영한</v>
          </cell>
          <cell r="F281" t="str">
            <v>두성(유)</v>
          </cell>
        </row>
        <row r="282">
          <cell r="C282">
            <v>84024</v>
          </cell>
          <cell r="D282" t="str">
            <v>Seoul</v>
          </cell>
          <cell r="E282" t="str">
            <v>채영한</v>
          </cell>
          <cell r="F282" t="str">
            <v>정성주류</v>
          </cell>
        </row>
        <row r="283">
          <cell r="C283">
            <v>84153</v>
          </cell>
          <cell r="D283" t="str">
            <v>Seoul</v>
          </cell>
          <cell r="E283" t="str">
            <v>채영한</v>
          </cell>
          <cell r="F283" t="str">
            <v>(유)청담주류</v>
          </cell>
        </row>
        <row r="284">
          <cell r="C284">
            <v>33283</v>
          </cell>
          <cell r="D284" t="str">
            <v>Seoul</v>
          </cell>
          <cell r="E284" t="str">
            <v>채영한</v>
          </cell>
          <cell r="F284" t="str">
            <v>대원(유)</v>
          </cell>
        </row>
        <row r="285">
          <cell r="C285">
            <v>85496</v>
          </cell>
          <cell r="D285" t="str">
            <v>Seoul</v>
          </cell>
          <cell r="E285" t="str">
            <v>채영한</v>
          </cell>
          <cell r="F285" t="str">
            <v>(유)미담</v>
          </cell>
        </row>
        <row r="286">
          <cell r="C286">
            <v>33174</v>
          </cell>
          <cell r="D286" t="str">
            <v>Seoul</v>
          </cell>
          <cell r="E286" t="str">
            <v>정구영</v>
          </cell>
          <cell r="F286" t="str">
            <v>북창기업(주)</v>
          </cell>
        </row>
        <row r="287">
          <cell r="C287">
            <v>33059</v>
          </cell>
          <cell r="D287" t="str">
            <v>Seoul</v>
          </cell>
          <cell r="E287" t="str">
            <v>모정호</v>
          </cell>
          <cell r="F287" t="str">
            <v>나산주류상사</v>
          </cell>
        </row>
        <row r="288">
          <cell r="C288">
            <v>33132</v>
          </cell>
          <cell r="D288" t="str">
            <v>Seoul</v>
          </cell>
          <cell r="E288" t="str">
            <v>모정호</v>
          </cell>
          <cell r="F288" t="str">
            <v>동천주류(유)</v>
          </cell>
        </row>
        <row r="289">
          <cell r="C289">
            <v>39101</v>
          </cell>
          <cell r="D289" t="str">
            <v>Seoul</v>
          </cell>
          <cell r="E289" t="str">
            <v>모정호</v>
          </cell>
          <cell r="F289" t="str">
            <v>주식회사 심도</v>
          </cell>
        </row>
        <row r="290">
          <cell r="C290">
            <v>38167</v>
          </cell>
          <cell r="D290" t="str">
            <v>Seoul</v>
          </cell>
          <cell r="E290" t="str">
            <v>박상일</v>
          </cell>
          <cell r="F290" t="str">
            <v>두손주류(주)</v>
          </cell>
        </row>
        <row r="291">
          <cell r="C291">
            <v>33270</v>
          </cell>
          <cell r="D291" t="str">
            <v>Seoul</v>
          </cell>
          <cell r="E291" t="str">
            <v>모정호</v>
          </cell>
          <cell r="F291" t="str">
            <v>대화주류㈜</v>
          </cell>
        </row>
        <row r="292">
          <cell r="C292">
            <v>85989</v>
          </cell>
          <cell r="D292" t="str">
            <v>Seoul</v>
          </cell>
          <cell r="E292" t="str">
            <v>모정호</v>
          </cell>
          <cell r="F292" t="str">
            <v>나산주류상사_인서울CC</v>
          </cell>
        </row>
        <row r="293">
          <cell r="C293">
            <v>33128</v>
          </cell>
          <cell r="D293" t="str">
            <v>Seoul</v>
          </cell>
          <cell r="E293" t="str">
            <v>모정호</v>
          </cell>
          <cell r="F293" t="str">
            <v>화성통합상사(유)</v>
          </cell>
        </row>
        <row r="294">
          <cell r="C294">
            <v>33072</v>
          </cell>
          <cell r="D294" t="str">
            <v>Seoul</v>
          </cell>
          <cell r="E294" t="str">
            <v>모정호</v>
          </cell>
          <cell r="F294" t="str">
            <v>남서울주류</v>
          </cell>
        </row>
        <row r="295">
          <cell r="C295">
            <v>80468</v>
          </cell>
          <cell r="D295" t="str">
            <v>Seoul</v>
          </cell>
          <cell r="E295" t="str">
            <v>김민석</v>
          </cell>
          <cell r="F295" t="str">
            <v>이스타항공(주)인천</v>
          </cell>
        </row>
        <row r="296">
          <cell r="C296">
            <v>33076</v>
          </cell>
          <cell r="D296" t="str">
            <v>Seoul</v>
          </cell>
          <cell r="E296" t="str">
            <v>모정호</v>
          </cell>
          <cell r="F296" t="str">
            <v>용천물산㈜</v>
          </cell>
        </row>
        <row r="297">
          <cell r="C297">
            <v>33166</v>
          </cell>
          <cell r="D297" t="str">
            <v>Seoul</v>
          </cell>
          <cell r="E297" t="str">
            <v>모정호</v>
          </cell>
          <cell r="F297" t="str">
            <v>산성주류(주)</v>
          </cell>
        </row>
        <row r="298">
          <cell r="C298">
            <v>39587</v>
          </cell>
          <cell r="D298" t="str">
            <v>Seoul</v>
          </cell>
          <cell r="E298" t="str">
            <v>모정호</v>
          </cell>
          <cell r="F298" t="str">
            <v>성아종합주류(유)</v>
          </cell>
        </row>
        <row r="299">
          <cell r="C299">
            <v>81651</v>
          </cell>
          <cell r="D299" t="str">
            <v>Seoul</v>
          </cell>
          <cell r="E299" t="str">
            <v>모정호</v>
          </cell>
          <cell r="F299" t="str">
            <v>유한회사 유일종합주류</v>
          </cell>
        </row>
        <row r="300">
          <cell r="C300">
            <v>33419</v>
          </cell>
          <cell r="D300" t="str">
            <v>Seoul</v>
          </cell>
          <cell r="E300" t="str">
            <v>모정호</v>
          </cell>
          <cell r="F300" t="str">
            <v>심도상사합명</v>
          </cell>
        </row>
        <row r="301">
          <cell r="C301">
            <v>33268</v>
          </cell>
          <cell r="D301" t="str">
            <v>Seoul</v>
          </cell>
          <cell r="E301" t="str">
            <v>모정호</v>
          </cell>
          <cell r="F301" t="str">
            <v>극동주류(명)</v>
          </cell>
        </row>
        <row r="302">
          <cell r="C302">
            <v>33378</v>
          </cell>
          <cell r="D302" t="str">
            <v>Seoul</v>
          </cell>
          <cell r="E302" t="str">
            <v>모정호</v>
          </cell>
          <cell r="F302" t="str">
            <v>부흥상사㈜</v>
          </cell>
        </row>
        <row r="303">
          <cell r="C303">
            <v>33073</v>
          </cell>
          <cell r="D303" t="str">
            <v>Seoul</v>
          </cell>
          <cell r="E303" t="str">
            <v>박상일</v>
          </cell>
          <cell r="F303" t="str">
            <v>두일주류</v>
          </cell>
        </row>
        <row r="304">
          <cell r="C304">
            <v>33194</v>
          </cell>
          <cell r="D304" t="str">
            <v>Seoul</v>
          </cell>
          <cell r="E304" t="str">
            <v>박상일</v>
          </cell>
          <cell r="F304" t="str">
            <v>청룡주류(주)</v>
          </cell>
        </row>
        <row r="305">
          <cell r="C305">
            <v>85588</v>
          </cell>
          <cell r="D305" t="str">
            <v>Seoul</v>
          </cell>
          <cell r="E305" t="str">
            <v>김민석</v>
          </cell>
          <cell r="F305" t="str">
            <v>(주)대한항공_에델바이스</v>
          </cell>
        </row>
        <row r="306">
          <cell r="C306">
            <v>33259</v>
          </cell>
          <cell r="D306" t="str">
            <v>Seoul</v>
          </cell>
          <cell r="E306" t="str">
            <v>모정호</v>
          </cell>
          <cell r="F306" t="str">
            <v>금파주류합병</v>
          </cell>
        </row>
        <row r="307">
          <cell r="C307">
            <v>37347</v>
          </cell>
          <cell r="D307" t="str">
            <v>Seoul</v>
          </cell>
          <cell r="E307" t="str">
            <v>모정호</v>
          </cell>
          <cell r="F307" t="str">
            <v>대명주류상사(주)</v>
          </cell>
        </row>
        <row r="308">
          <cell r="C308">
            <v>33377</v>
          </cell>
          <cell r="D308" t="str">
            <v>Seoul</v>
          </cell>
          <cell r="E308" t="str">
            <v>모정호</v>
          </cell>
          <cell r="F308" t="str">
            <v>소사합동(유)</v>
          </cell>
        </row>
        <row r="309">
          <cell r="C309">
            <v>33272</v>
          </cell>
          <cell r="D309" t="str">
            <v>Seoul</v>
          </cell>
          <cell r="E309" t="str">
            <v>박상일</v>
          </cell>
          <cell r="F309" t="str">
            <v>술파는사람들</v>
          </cell>
        </row>
        <row r="310">
          <cell r="C310">
            <v>34417</v>
          </cell>
          <cell r="D310" t="str">
            <v>Seoul</v>
          </cell>
          <cell r="E310" t="str">
            <v>박상일</v>
          </cell>
          <cell r="F310" t="str">
            <v>서부상사경기</v>
          </cell>
        </row>
        <row r="311">
          <cell r="C311">
            <v>33379</v>
          </cell>
          <cell r="D311" t="str">
            <v>Seoul</v>
          </cell>
          <cell r="E311" t="str">
            <v>박상일</v>
          </cell>
          <cell r="F311" t="str">
            <v>부인상사부천</v>
          </cell>
        </row>
        <row r="312">
          <cell r="C312">
            <v>33260</v>
          </cell>
          <cell r="D312" t="str">
            <v>Seoul</v>
          </cell>
          <cell r="E312" t="str">
            <v>모정호</v>
          </cell>
          <cell r="F312" t="str">
            <v>성진상사주식</v>
          </cell>
        </row>
        <row r="313">
          <cell r="C313">
            <v>33273</v>
          </cell>
          <cell r="D313" t="str">
            <v>Seoul</v>
          </cell>
          <cell r="E313" t="str">
            <v>박상일</v>
          </cell>
          <cell r="F313" t="str">
            <v>부림주류(유)</v>
          </cell>
        </row>
        <row r="314">
          <cell r="C314">
            <v>33258</v>
          </cell>
          <cell r="D314" t="str">
            <v>Seoul</v>
          </cell>
          <cell r="E314" t="str">
            <v>모정호</v>
          </cell>
          <cell r="F314" t="str">
            <v>연일주류김포</v>
          </cell>
        </row>
        <row r="315">
          <cell r="C315">
            <v>33271</v>
          </cell>
          <cell r="D315" t="str">
            <v>Seoul</v>
          </cell>
          <cell r="E315" t="str">
            <v>모정호</v>
          </cell>
          <cell r="F315" t="str">
            <v>미래종합유통</v>
          </cell>
        </row>
        <row r="316">
          <cell r="C316">
            <v>33380</v>
          </cell>
          <cell r="D316" t="str">
            <v>Seoul</v>
          </cell>
          <cell r="E316" t="str">
            <v>박상일</v>
          </cell>
          <cell r="F316" t="str">
            <v>백경주류(명)</v>
          </cell>
        </row>
        <row r="317">
          <cell r="C317">
            <v>35660</v>
          </cell>
          <cell r="D317" t="str">
            <v>Seoul</v>
          </cell>
          <cell r="E317" t="str">
            <v>모정호</v>
          </cell>
          <cell r="F317" t="str">
            <v>김포종합주류상사(명)</v>
          </cell>
        </row>
        <row r="318">
          <cell r="C318">
            <v>86009</v>
          </cell>
          <cell r="D318" t="str">
            <v>Seoul</v>
          </cell>
          <cell r="E318" t="str">
            <v>모정호</v>
          </cell>
          <cell r="F318" t="str">
            <v>대화주류(주)_프랜차이즈</v>
          </cell>
        </row>
        <row r="319">
          <cell r="C319">
            <v>33081</v>
          </cell>
          <cell r="D319" t="str">
            <v>Seoul</v>
          </cell>
          <cell r="E319" t="str">
            <v>정구영</v>
          </cell>
          <cell r="F319" t="str">
            <v>남부상사(유)</v>
          </cell>
        </row>
        <row r="320">
          <cell r="C320">
            <v>33080</v>
          </cell>
          <cell r="D320" t="str">
            <v>Seoul</v>
          </cell>
          <cell r="E320" t="str">
            <v>모정호</v>
          </cell>
          <cell r="F320" t="str">
            <v>서영주류판매(유)</v>
          </cell>
        </row>
        <row r="321">
          <cell r="C321">
            <v>33382</v>
          </cell>
          <cell r="D321" t="str">
            <v>Seoul</v>
          </cell>
          <cell r="E321" t="str">
            <v>모정호</v>
          </cell>
          <cell r="F321" t="str">
            <v>현대주류(주)</v>
          </cell>
        </row>
        <row r="322">
          <cell r="C322">
            <v>35826</v>
          </cell>
          <cell r="D322" t="str">
            <v>Seoul</v>
          </cell>
          <cell r="E322" t="str">
            <v>모정호</v>
          </cell>
          <cell r="F322" t="str">
            <v>동부주류시흥</v>
          </cell>
        </row>
        <row r="323">
          <cell r="C323">
            <v>33167</v>
          </cell>
          <cell r="D323" t="str">
            <v>Seoul</v>
          </cell>
          <cell r="E323" t="str">
            <v>모정호</v>
          </cell>
          <cell r="F323" t="str">
            <v>삼부주류판매(유)</v>
          </cell>
        </row>
        <row r="324">
          <cell r="C324">
            <v>84171</v>
          </cell>
          <cell r="D324" t="str">
            <v>Seoul</v>
          </cell>
          <cell r="E324" t="str">
            <v>모정호</v>
          </cell>
          <cell r="F324" t="str">
            <v>주식회사 청담주류</v>
          </cell>
        </row>
        <row r="325">
          <cell r="C325">
            <v>85751</v>
          </cell>
          <cell r="D325" t="str">
            <v>Seoul</v>
          </cell>
          <cell r="E325" t="str">
            <v>모정호</v>
          </cell>
          <cell r="F325" t="str">
            <v>서영주류판매(유)_고래맥주창고</v>
          </cell>
        </row>
        <row r="326">
          <cell r="C326">
            <v>85720</v>
          </cell>
          <cell r="D326" t="str">
            <v>Seoul</v>
          </cell>
          <cell r="E326" t="str">
            <v>모정호</v>
          </cell>
          <cell r="F326" t="str">
            <v>서영주류판매(유)_ThursdayParty</v>
          </cell>
        </row>
        <row r="327">
          <cell r="C327">
            <v>33306</v>
          </cell>
          <cell r="D327" t="str">
            <v>Seoul</v>
          </cell>
          <cell r="E327" t="str">
            <v>모정호</v>
          </cell>
          <cell r="F327" t="str">
            <v>대흥주류</v>
          </cell>
        </row>
        <row r="328">
          <cell r="C328">
            <v>33165</v>
          </cell>
          <cell r="D328" t="str">
            <v>Seoul</v>
          </cell>
          <cell r="E328" t="str">
            <v>모정호</v>
          </cell>
          <cell r="F328" t="str">
            <v>진천상사(유)</v>
          </cell>
        </row>
        <row r="329">
          <cell r="C329">
            <v>33307</v>
          </cell>
          <cell r="D329" t="str">
            <v>Seoul</v>
          </cell>
          <cell r="E329" t="str">
            <v>모정호</v>
          </cell>
          <cell r="F329" t="str">
            <v>안흥주류시흥</v>
          </cell>
        </row>
        <row r="330">
          <cell r="C330">
            <v>33309</v>
          </cell>
          <cell r="D330" t="str">
            <v>Seoul</v>
          </cell>
          <cell r="E330" t="str">
            <v>모정호</v>
          </cell>
          <cell r="F330" t="str">
            <v>건국종합주류</v>
          </cell>
        </row>
        <row r="331">
          <cell r="C331">
            <v>33305</v>
          </cell>
          <cell r="D331" t="str">
            <v>Seoul</v>
          </cell>
          <cell r="E331" t="str">
            <v>모정호</v>
          </cell>
          <cell r="F331" t="str">
            <v>대림종합시흥</v>
          </cell>
        </row>
        <row r="332">
          <cell r="C332">
            <v>33381</v>
          </cell>
          <cell r="D332" t="str">
            <v>Seoul</v>
          </cell>
          <cell r="E332" t="str">
            <v>모정호</v>
          </cell>
          <cell r="F332" t="str">
            <v>신흥주류(유)</v>
          </cell>
        </row>
        <row r="333">
          <cell r="C333">
            <v>33395</v>
          </cell>
          <cell r="D333" t="str">
            <v>Seoul</v>
          </cell>
          <cell r="E333" t="str">
            <v>모정호</v>
          </cell>
          <cell r="F333" t="str">
            <v>조은주류 합명회사</v>
          </cell>
        </row>
        <row r="334">
          <cell r="C334">
            <v>33097</v>
          </cell>
          <cell r="D334" t="str">
            <v>Seoul</v>
          </cell>
          <cell r="E334" t="str">
            <v>모정호</v>
          </cell>
          <cell r="F334" t="str">
            <v>송정주류(유)</v>
          </cell>
        </row>
        <row r="335">
          <cell r="C335">
            <v>33315</v>
          </cell>
          <cell r="D335" t="str">
            <v>Seoul</v>
          </cell>
          <cell r="E335" t="str">
            <v>모정호</v>
          </cell>
          <cell r="F335" t="str">
            <v>광덕주류(유)</v>
          </cell>
        </row>
        <row r="336">
          <cell r="C336">
            <v>33313</v>
          </cell>
          <cell r="D336" t="str">
            <v>Seoul</v>
          </cell>
          <cell r="E336" t="str">
            <v>모정호</v>
          </cell>
          <cell r="F336" t="str">
            <v>금강주류안산</v>
          </cell>
        </row>
        <row r="337">
          <cell r="C337">
            <v>33317</v>
          </cell>
          <cell r="D337" t="str">
            <v>Seoul</v>
          </cell>
          <cell r="E337" t="str">
            <v>모정호</v>
          </cell>
          <cell r="F337" t="str">
            <v>대한주류안산</v>
          </cell>
        </row>
        <row r="338">
          <cell r="C338">
            <v>33311</v>
          </cell>
          <cell r="D338" t="str">
            <v>Seoul</v>
          </cell>
          <cell r="E338" t="str">
            <v>모정호</v>
          </cell>
          <cell r="F338" t="str">
            <v>안산주류안산</v>
          </cell>
        </row>
        <row r="339">
          <cell r="C339">
            <v>33316</v>
          </cell>
          <cell r="D339" t="str">
            <v>Seoul</v>
          </cell>
          <cell r="E339" t="str">
            <v>모정호</v>
          </cell>
          <cell r="F339" t="str">
            <v>백전주류(주)</v>
          </cell>
        </row>
        <row r="340">
          <cell r="C340">
            <v>83653</v>
          </cell>
          <cell r="D340" t="str">
            <v>Seoul</v>
          </cell>
          <cell r="E340" t="str">
            <v>모정호</v>
          </cell>
          <cell r="F340" t="str">
            <v>(자)케이주류</v>
          </cell>
        </row>
        <row r="341">
          <cell r="C341">
            <v>86317</v>
          </cell>
          <cell r="D341" t="str">
            <v>Seoul</v>
          </cell>
          <cell r="E341" t="str">
            <v>박상일</v>
          </cell>
          <cell r="F341" t="str">
            <v>의창실업(주)_더블린</v>
          </cell>
        </row>
        <row r="342">
          <cell r="C342">
            <v>33089</v>
          </cell>
          <cell r="D342" t="str">
            <v>Seoul</v>
          </cell>
          <cell r="E342" t="str">
            <v>박상일</v>
          </cell>
          <cell r="F342" t="str">
            <v>대영주류(주)</v>
          </cell>
        </row>
        <row r="343">
          <cell r="C343">
            <v>33173</v>
          </cell>
          <cell r="D343" t="str">
            <v>Seoul</v>
          </cell>
          <cell r="E343" t="str">
            <v>모정호</v>
          </cell>
          <cell r="F343" t="str">
            <v>세광주류마포</v>
          </cell>
        </row>
        <row r="344">
          <cell r="C344">
            <v>33141</v>
          </cell>
          <cell r="D344" t="str">
            <v>Seoul</v>
          </cell>
          <cell r="E344" t="str">
            <v>모정호</v>
          </cell>
          <cell r="F344" t="str">
            <v>유화진흥(주)</v>
          </cell>
        </row>
        <row r="345">
          <cell r="C345">
            <v>33070</v>
          </cell>
          <cell r="D345" t="str">
            <v>Seoul</v>
          </cell>
          <cell r="E345" t="str">
            <v>모정호</v>
          </cell>
          <cell r="F345" t="str">
            <v>가야주류㈜</v>
          </cell>
        </row>
        <row r="346">
          <cell r="C346">
            <v>33114</v>
          </cell>
          <cell r="D346" t="str">
            <v>Seoul</v>
          </cell>
          <cell r="E346" t="str">
            <v>모정호</v>
          </cell>
          <cell r="F346" t="str">
            <v>아리랑대방</v>
          </cell>
        </row>
        <row r="347">
          <cell r="C347">
            <v>33140</v>
          </cell>
          <cell r="D347" t="str">
            <v>Seoul</v>
          </cell>
          <cell r="E347" t="str">
            <v>모정호</v>
          </cell>
          <cell r="F347" t="str">
            <v>보민㈜</v>
          </cell>
        </row>
        <row r="348">
          <cell r="C348">
            <v>33098</v>
          </cell>
          <cell r="D348" t="str">
            <v>Seoul</v>
          </cell>
          <cell r="E348" t="str">
            <v>모정호</v>
          </cell>
          <cell r="F348" t="str">
            <v>서울주류합동</v>
          </cell>
        </row>
        <row r="349">
          <cell r="C349">
            <v>33091</v>
          </cell>
          <cell r="D349" t="str">
            <v>Seoul</v>
          </cell>
          <cell r="E349" t="str">
            <v>모정호</v>
          </cell>
          <cell r="F349" t="str">
            <v>명지주류(주)</v>
          </cell>
        </row>
        <row r="350">
          <cell r="C350">
            <v>33088</v>
          </cell>
          <cell r="D350" t="str">
            <v>Seoul</v>
          </cell>
          <cell r="E350" t="str">
            <v>모정호</v>
          </cell>
          <cell r="F350" t="str">
            <v>구로합동상사(유)</v>
          </cell>
        </row>
        <row r="351">
          <cell r="C351">
            <v>33094</v>
          </cell>
          <cell r="D351" t="str">
            <v>Seoul</v>
          </cell>
          <cell r="E351" t="str">
            <v>모정호</v>
          </cell>
          <cell r="F351" t="str">
            <v>대풍주류판매(주)</v>
          </cell>
        </row>
        <row r="352">
          <cell r="C352">
            <v>33095</v>
          </cell>
          <cell r="D352" t="str">
            <v>Seoul</v>
          </cell>
          <cell r="E352" t="str">
            <v>모정호</v>
          </cell>
          <cell r="F352" t="str">
            <v>성주실업(유)</v>
          </cell>
        </row>
        <row r="353">
          <cell r="C353">
            <v>33214</v>
          </cell>
          <cell r="D353" t="str">
            <v>Seoul</v>
          </cell>
          <cell r="E353" t="str">
            <v>모정호</v>
          </cell>
          <cell r="F353" t="str">
            <v>우현종합주류</v>
          </cell>
        </row>
        <row r="354">
          <cell r="C354">
            <v>33090</v>
          </cell>
          <cell r="D354" t="str">
            <v>Seoul</v>
          </cell>
          <cell r="E354" t="str">
            <v>모정호</v>
          </cell>
          <cell r="F354" t="str">
            <v>재영유통(주)</v>
          </cell>
        </row>
        <row r="355">
          <cell r="C355">
            <v>33402</v>
          </cell>
          <cell r="D355" t="str">
            <v>Seoul</v>
          </cell>
          <cell r="E355" t="str">
            <v>김민석</v>
          </cell>
          <cell r="F355" t="str">
            <v>의양상사(주)</v>
          </cell>
        </row>
        <row r="356">
          <cell r="C356">
            <v>33411</v>
          </cell>
          <cell r="D356" t="str">
            <v>Seoul</v>
          </cell>
          <cell r="E356" t="str">
            <v>김민석</v>
          </cell>
          <cell r="F356" t="str">
            <v>의정상사(주)</v>
          </cell>
        </row>
        <row r="357">
          <cell r="C357">
            <v>33179</v>
          </cell>
          <cell r="D357" t="str">
            <v>Seoul</v>
          </cell>
          <cell r="E357" t="str">
            <v>모정호</v>
          </cell>
          <cell r="F357" t="str">
            <v>용우상사</v>
          </cell>
        </row>
        <row r="358">
          <cell r="C358">
            <v>86024</v>
          </cell>
          <cell r="D358" t="str">
            <v>Seoul</v>
          </cell>
          <cell r="E358" t="str">
            <v>모정호</v>
          </cell>
          <cell r="F358" t="str">
            <v>용우상사(유)_슈가레이</v>
          </cell>
        </row>
        <row r="359">
          <cell r="C359">
            <v>33178</v>
          </cell>
          <cell r="D359" t="str">
            <v>Seoul</v>
          </cell>
          <cell r="E359" t="str">
            <v>채영한</v>
          </cell>
          <cell r="F359" t="str">
            <v>충무주류(주)</v>
          </cell>
        </row>
        <row r="360">
          <cell r="C360">
            <v>33175</v>
          </cell>
          <cell r="D360" t="str">
            <v>Seoul</v>
          </cell>
          <cell r="E360" t="str">
            <v>모정호</v>
          </cell>
          <cell r="F360" t="str">
            <v>선호상사(주)</v>
          </cell>
        </row>
        <row r="361">
          <cell r="C361">
            <v>33177</v>
          </cell>
          <cell r="D361" t="str">
            <v>Seoul</v>
          </cell>
          <cell r="E361" t="str">
            <v>모정호</v>
          </cell>
          <cell r="F361" t="str">
            <v>임창상사(주)</v>
          </cell>
        </row>
        <row r="362">
          <cell r="C362">
            <v>33079</v>
          </cell>
          <cell r="D362" t="str">
            <v>Seoul</v>
          </cell>
          <cell r="E362" t="str">
            <v>박상일</v>
          </cell>
          <cell r="F362" t="str">
            <v>세계주류신림</v>
          </cell>
        </row>
        <row r="363">
          <cell r="C363">
            <v>33092</v>
          </cell>
          <cell r="D363" t="str">
            <v>Seoul</v>
          </cell>
          <cell r="E363" t="str">
            <v>박상일</v>
          </cell>
          <cell r="F363" t="str">
            <v>대정 주식회사</v>
          </cell>
        </row>
        <row r="364">
          <cell r="C364">
            <v>85753</v>
          </cell>
          <cell r="D364" t="str">
            <v>Seoul</v>
          </cell>
          <cell r="E364" t="str">
            <v>박상일</v>
          </cell>
          <cell r="F364" t="str">
            <v>세계주류(주)신림_고양하치장</v>
          </cell>
        </row>
        <row r="365">
          <cell r="C365">
            <v>85832</v>
          </cell>
          <cell r="D365" t="str">
            <v>Seoul</v>
          </cell>
          <cell r="E365" t="str">
            <v>박상일</v>
          </cell>
          <cell r="F365" t="str">
            <v>대정 주식회사_고양하치장</v>
          </cell>
        </row>
        <row r="366">
          <cell r="C366">
            <v>33421</v>
          </cell>
          <cell r="D366" t="str">
            <v>Seoul</v>
          </cell>
          <cell r="E366" t="str">
            <v>박상일</v>
          </cell>
          <cell r="F366" t="str">
            <v>정현종합인천</v>
          </cell>
        </row>
        <row r="367">
          <cell r="C367">
            <v>33236</v>
          </cell>
          <cell r="D367" t="str">
            <v>Seoul</v>
          </cell>
          <cell r="E367" t="str">
            <v>박상일</v>
          </cell>
          <cell r="F367" t="str">
            <v>의창실업(주)</v>
          </cell>
        </row>
        <row r="368">
          <cell r="C368">
            <v>38947</v>
          </cell>
          <cell r="D368" t="str">
            <v>Seoul</v>
          </cell>
          <cell r="E368" t="str">
            <v>박상일</v>
          </cell>
          <cell r="F368" t="str">
            <v>다함주류(유)</v>
          </cell>
        </row>
        <row r="369">
          <cell r="C369">
            <v>33131</v>
          </cell>
          <cell r="D369" t="str">
            <v>Seoul</v>
          </cell>
          <cell r="E369" t="str">
            <v>박상일</v>
          </cell>
          <cell r="F369" t="str">
            <v>진두유통(유)</v>
          </cell>
        </row>
        <row r="370">
          <cell r="C370">
            <v>33235</v>
          </cell>
          <cell r="D370" t="str">
            <v>Seoul</v>
          </cell>
          <cell r="E370" t="str">
            <v>박상일</v>
          </cell>
          <cell r="F370" t="str">
            <v>고양상사(주)</v>
          </cell>
        </row>
        <row r="371">
          <cell r="C371">
            <v>33241</v>
          </cell>
          <cell r="D371" t="str">
            <v>Seoul</v>
          </cell>
          <cell r="E371" t="str">
            <v>박상일</v>
          </cell>
          <cell r="F371" t="str">
            <v>삼정주판(주)</v>
          </cell>
        </row>
        <row r="372">
          <cell r="C372">
            <v>33234</v>
          </cell>
          <cell r="D372" t="str">
            <v>Seoul</v>
          </cell>
          <cell r="E372" t="str">
            <v>박상일</v>
          </cell>
          <cell r="F372" t="str">
            <v>성포주류(주)</v>
          </cell>
        </row>
        <row r="373">
          <cell r="C373">
            <v>86226</v>
          </cell>
          <cell r="D373" t="str">
            <v>Seoul</v>
          </cell>
          <cell r="E373" t="str">
            <v>박상일</v>
          </cell>
          <cell r="F373" t="str">
            <v>대정 주식회사_용용선생</v>
          </cell>
        </row>
        <row r="374">
          <cell r="C374">
            <v>86225</v>
          </cell>
          <cell r="D374" t="str">
            <v>Seoul</v>
          </cell>
          <cell r="E374" t="str">
            <v>박상일</v>
          </cell>
          <cell r="F374" t="str">
            <v>대정 주식회사_고양하치장_용용선생</v>
          </cell>
        </row>
        <row r="375">
          <cell r="C375">
            <v>33121</v>
          </cell>
          <cell r="D375" t="str">
            <v>Seoul</v>
          </cell>
          <cell r="E375" t="str">
            <v>박상일</v>
          </cell>
          <cell r="F375" t="str">
            <v>경일주류(주)</v>
          </cell>
        </row>
        <row r="376">
          <cell r="C376">
            <v>33403</v>
          </cell>
          <cell r="D376" t="str">
            <v>Seoul</v>
          </cell>
          <cell r="E376" t="str">
            <v>박상일</v>
          </cell>
          <cell r="F376" t="str">
            <v>삼정주류경기</v>
          </cell>
        </row>
        <row r="377">
          <cell r="C377">
            <v>36713</v>
          </cell>
          <cell r="D377" t="str">
            <v>Seoul</v>
          </cell>
          <cell r="E377" t="str">
            <v>박상일</v>
          </cell>
          <cell r="F377" t="str">
            <v>백운상사 주식회사</v>
          </cell>
        </row>
        <row r="378">
          <cell r="C378">
            <v>33422</v>
          </cell>
          <cell r="D378" t="str">
            <v>Seoul</v>
          </cell>
          <cell r="E378" t="str">
            <v>박상일</v>
          </cell>
          <cell r="F378" t="str">
            <v>태정종합인천</v>
          </cell>
        </row>
        <row r="379">
          <cell r="C379">
            <v>36205</v>
          </cell>
          <cell r="D379" t="str">
            <v>Seoul</v>
          </cell>
          <cell r="E379" t="str">
            <v>박상일</v>
          </cell>
          <cell r="F379" t="str">
            <v>청마주류 주식회사</v>
          </cell>
        </row>
        <row r="380">
          <cell r="C380">
            <v>33435</v>
          </cell>
          <cell r="D380" t="str">
            <v>Seoul</v>
          </cell>
          <cell r="E380" t="str">
            <v>박상일</v>
          </cell>
          <cell r="F380" t="str">
            <v>대양상사인천</v>
          </cell>
        </row>
        <row r="381">
          <cell r="C381">
            <v>33420</v>
          </cell>
          <cell r="D381" t="str">
            <v>Seoul</v>
          </cell>
          <cell r="E381" t="str">
            <v>박상일</v>
          </cell>
          <cell r="F381" t="str">
            <v>광덕상사인천</v>
          </cell>
        </row>
        <row r="382">
          <cell r="C382">
            <v>37601</v>
          </cell>
          <cell r="D382" t="str">
            <v>Seoul</v>
          </cell>
          <cell r="E382" t="str">
            <v>박상일</v>
          </cell>
          <cell r="F382" t="str">
            <v>대신주류(주)</v>
          </cell>
        </row>
        <row r="383">
          <cell r="C383">
            <v>33423</v>
          </cell>
          <cell r="D383" t="str">
            <v>Seoul</v>
          </cell>
          <cell r="E383" t="str">
            <v>박상일</v>
          </cell>
          <cell r="F383" t="str">
            <v>인일상사(명)</v>
          </cell>
        </row>
        <row r="384">
          <cell r="C384">
            <v>33119</v>
          </cell>
          <cell r="D384" t="str">
            <v>Seoul</v>
          </cell>
          <cell r="E384" t="str">
            <v>박상일</v>
          </cell>
          <cell r="F384" t="str">
            <v>삼일주류(유)</v>
          </cell>
        </row>
        <row r="385">
          <cell r="C385">
            <v>33230</v>
          </cell>
          <cell r="D385" t="str">
            <v>Seoul</v>
          </cell>
          <cell r="E385" t="str">
            <v>박상일</v>
          </cell>
          <cell r="F385" t="str">
            <v>세진주류(유)</v>
          </cell>
        </row>
        <row r="386">
          <cell r="C386">
            <v>33229</v>
          </cell>
          <cell r="D386" t="str">
            <v>Seoul</v>
          </cell>
          <cell r="E386" t="str">
            <v>박상일</v>
          </cell>
          <cell r="F386" t="str">
            <v>태영주류(유)</v>
          </cell>
        </row>
        <row r="387">
          <cell r="C387">
            <v>33172</v>
          </cell>
          <cell r="D387" t="str">
            <v>Seoul</v>
          </cell>
          <cell r="E387" t="str">
            <v>박상일</v>
          </cell>
          <cell r="F387" t="str">
            <v>세명주류(유)</v>
          </cell>
        </row>
        <row r="388">
          <cell r="C388">
            <v>33233</v>
          </cell>
          <cell r="D388" t="str">
            <v>Seoul</v>
          </cell>
          <cell r="E388" t="str">
            <v>박상일</v>
          </cell>
          <cell r="F388" t="str">
            <v>통일종합주류(유)</v>
          </cell>
        </row>
        <row r="389">
          <cell r="C389">
            <v>33180</v>
          </cell>
          <cell r="D389" t="str">
            <v>Seoul</v>
          </cell>
          <cell r="E389" t="str">
            <v>박상일</v>
          </cell>
          <cell r="F389" t="str">
            <v>영일흥산(유)</v>
          </cell>
        </row>
        <row r="390">
          <cell r="C390">
            <v>33232</v>
          </cell>
          <cell r="D390" t="str">
            <v>Seoul</v>
          </cell>
          <cell r="E390" t="str">
            <v>박상일</v>
          </cell>
          <cell r="F390" t="str">
            <v>하나주류유한회사</v>
          </cell>
        </row>
        <row r="391">
          <cell r="C391">
            <v>33237</v>
          </cell>
          <cell r="D391" t="str">
            <v>Seoul</v>
          </cell>
          <cell r="E391" t="str">
            <v>박상일</v>
          </cell>
          <cell r="F391" t="str">
            <v>삼풍(주)</v>
          </cell>
        </row>
        <row r="392">
          <cell r="C392">
            <v>33184</v>
          </cell>
          <cell r="D392" t="str">
            <v>Seoul</v>
          </cell>
          <cell r="E392" t="str">
            <v>박상일</v>
          </cell>
          <cell r="F392" t="str">
            <v>금성주류(주)</v>
          </cell>
        </row>
        <row r="393">
          <cell r="C393">
            <v>33082</v>
          </cell>
          <cell r="D393" t="str">
            <v>Seoul</v>
          </cell>
          <cell r="E393" t="str">
            <v>정구영</v>
          </cell>
          <cell r="F393" t="str">
            <v>신림주류판매상사(유)</v>
          </cell>
        </row>
        <row r="394">
          <cell r="C394">
            <v>33107</v>
          </cell>
          <cell r="D394" t="str">
            <v>Seoul</v>
          </cell>
          <cell r="E394" t="str">
            <v>정구영</v>
          </cell>
          <cell r="F394" t="str">
            <v>모닝코리아(주)</v>
          </cell>
        </row>
        <row r="395">
          <cell r="C395">
            <v>86340</v>
          </cell>
          <cell r="D395" t="str">
            <v>Seoul</v>
          </cell>
          <cell r="E395" t="str">
            <v>박상일</v>
          </cell>
          <cell r="F395" t="str">
            <v>다함주류(유)_코르크</v>
          </cell>
        </row>
        <row r="396">
          <cell r="C396">
            <v>86347</v>
          </cell>
          <cell r="D396" t="str">
            <v>Seoul</v>
          </cell>
          <cell r="E396" t="str">
            <v>김민석</v>
          </cell>
          <cell r="F396" t="str">
            <v>주식회사 동북아체인본부</v>
          </cell>
        </row>
        <row r="397">
          <cell r="C397">
            <v>33434</v>
          </cell>
          <cell r="D397" t="str">
            <v>Seoul</v>
          </cell>
          <cell r="E397" t="str">
            <v>박상일</v>
          </cell>
          <cell r="F397" t="str">
            <v>진양상사인천</v>
          </cell>
        </row>
        <row r="398">
          <cell r="C398">
            <v>86305</v>
          </cell>
          <cell r="D398" t="str">
            <v>Seoul</v>
          </cell>
          <cell r="E398" t="str">
            <v>박상일</v>
          </cell>
          <cell r="F398" t="str">
            <v>진양상사(주)_송쭈집</v>
          </cell>
        </row>
        <row r="399">
          <cell r="C399">
            <v>35173</v>
          </cell>
          <cell r="D399" t="str">
            <v>Seoul</v>
          </cell>
          <cell r="E399" t="str">
            <v>박상일</v>
          </cell>
          <cell r="F399" t="str">
            <v>한성주류㈜</v>
          </cell>
        </row>
        <row r="400">
          <cell r="C400">
            <v>36672</v>
          </cell>
          <cell r="D400" t="str">
            <v>Seoul</v>
          </cell>
          <cell r="E400" t="str">
            <v>박상일</v>
          </cell>
          <cell r="F400" t="str">
            <v>현대종합주류 유한회사</v>
          </cell>
        </row>
        <row r="401">
          <cell r="C401">
            <v>33426</v>
          </cell>
          <cell r="D401" t="str">
            <v>Seoul</v>
          </cell>
          <cell r="E401" t="str">
            <v>박상일</v>
          </cell>
          <cell r="F401" t="str">
            <v>인화상사㈜</v>
          </cell>
        </row>
        <row r="402">
          <cell r="C402">
            <v>33424</v>
          </cell>
          <cell r="D402" t="str">
            <v>Seoul</v>
          </cell>
          <cell r="E402" t="str">
            <v>박상일</v>
          </cell>
          <cell r="F402" t="str">
            <v>합동상사인천</v>
          </cell>
        </row>
        <row r="403">
          <cell r="C403">
            <v>33441</v>
          </cell>
          <cell r="D403" t="str">
            <v>Seoul</v>
          </cell>
          <cell r="E403" t="str">
            <v>박상일</v>
          </cell>
          <cell r="F403" t="str">
            <v>옹진합동상사</v>
          </cell>
        </row>
        <row r="404">
          <cell r="C404">
            <v>35622</v>
          </cell>
          <cell r="D404" t="str">
            <v>Seoul</v>
          </cell>
          <cell r="E404" t="str">
            <v>박상일</v>
          </cell>
          <cell r="F404" t="str">
            <v>삼화주류(주)</v>
          </cell>
        </row>
        <row r="405">
          <cell r="C405">
            <v>33427</v>
          </cell>
          <cell r="D405" t="str">
            <v>Seoul</v>
          </cell>
          <cell r="E405" t="str">
            <v>박상일</v>
          </cell>
          <cell r="F405" t="str">
            <v>보광주류인천</v>
          </cell>
        </row>
        <row r="406">
          <cell r="C406">
            <v>35964</v>
          </cell>
          <cell r="D406" t="str">
            <v>Seoul</v>
          </cell>
          <cell r="E406" t="str">
            <v>박상일</v>
          </cell>
          <cell r="F406" t="str">
            <v>인천상사(주)</v>
          </cell>
        </row>
        <row r="407">
          <cell r="C407">
            <v>33432</v>
          </cell>
          <cell r="D407" t="str">
            <v>Seoul</v>
          </cell>
          <cell r="E407" t="str">
            <v>박상일</v>
          </cell>
          <cell r="F407" t="str">
            <v>부평상사㈜</v>
          </cell>
        </row>
        <row r="408">
          <cell r="C408">
            <v>33438</v>
          </cell>
          <cell r="D408" t="str">
            <v>Seoul</v>
          </cell>
          <cell r="E408" t="str">
            <v>박상일</v>
          </cell>
          <cell r="F408" t="str">
            <v>원진상사(유)</v>
          </cell>
        </row>
        <row r="409">
          <cell r="C409">
            <v>33437</v>
          </cell>
          <cell r="D409" t="str">
            <v>Seoul</v>
          </cell>
          <cell r="E409" t="str">
            <v>박상일</v>
          </cell>
          <cell r="F409" t="str">
            <v>풍성주류(유)</v>
          </cell>
        </row>
        <row r="410">
          <cell r="C410">
            <v>33436</v>
          </cell>
          <cell r="D410" t="str">
            <v>Seoul</v>
          </cell>
          <cell r="E410" t="str">
            <v>박상일</v>
          </cell>
          <cell r="F410" t="str">
            <v>해동상사인천</v>
          </cell>
        </row>
        <row r="411">
          <cell r="C411">
            <v>33431</v>
          </cell>
          <cell r="D411" t="str">
            <v>Seoul</v>
          </cell>
          <cell r="E411" t="str">
            <v>박상일</v>
          </cell>
          <cell r="F411" t="str">
            <v>현진상사㈜</v>
          </cell>
        </row>
        <row r="412">
          <cell r="C412">
            <v>33439</v>
          </cell>
          <cell r="D412" t="str">
            <v>Seoul</v>
          </cell>
          <cell r="E412" t="str">
            <v>박상일</v>
          </cell>
          <cell r="F412" t="str">
            <v>중부상사인천</v>
          </cell>
        </row>
        <row r="413">
          <cell r="C413">
            <v>33428</v>
          </cell>
          <cell r="D413" t="str">
            <v>Seoul</v>
          </cell>
          <cell r="E413" t="str">
            <v>박상일</v>
          </cell>
          <cell r="F413" t="str">
            <v>동영㈜</v>
          </cell>
        </row>
        <row r="414">
          <cell r="C414">
            <v>34416</v>
          </cell>
          <cell r="D414" t="str">
            <v>Seoul</v>
          </cell>
          <cell r="E414" t="str">
            <v>박상일</v>
          </cell>
          <cell r="F414" t="str">
            <v>삼성주류㈜</v>
          </cell>
        </row>
        <row r="415">
          <cell r="C415">
            <v>33433</v>
          </cell>
          <cell r="D415" t="str">
            <v>Seoul</v>
          </cell>
          <cell r="E415" t="str">
            <v>박상일</v>
          </cell>
          <cell r="F415" t="str">
            <v>유진주류판매</v>
          </cell>
        </row>
        <row r="416">
          <cell r="C416">
            <v>33442</v>
          </cell>
          <cell r="D416" t="str">
            <v>Seoul</v>
          </cell>
          <cell r="E416" t="str">
            <v>박상일</v>
          </cell>
          <cell r="F416" t="str">
            <v>제일상사인천</v>
          </cell>
        </row>
        <row r="417">
          <cell r="C417">
            <v>37904</v>
          </cell>
          <cell r="D417" t="str">
            <v>Seoul</v>
          </cell>
          <cell r="E417" t="str">
            <v>박상일</v>
          </cell>
          <cell r="F417" t="str">
            <v>호연주류 주식회사</v>
          </cell>
        </row>
        <row r="418">
          <cell r="C418">
            <v>33429</v>
          </cell>
          <cell r="D418" t="str">
            <v>Seoul</v>
          </cell>
          <cell r="E418" t="str">
            <v>박상일</v>
          </cell>
          <cell r="F418" t="str">
            <v>삼광주류인천</v>
          </cell>
        </row>
        <row r="419">
          <cell r="C419">
            <v>33065</v>
          </cell>
          <cell r="D419" t="str">
            <v>Seoul</v>
          </cell>
          <cell r="E419" t="str">
            <v>채영한</v>
          </cell>
          <cell r="F419" t="str">
            <v>만두유통(유)</v>
          </cell>
        </row>
        <row r="420">
          <cell r="C420">
            <v>84130</v>
          </cell>
          <cell r="D420" t="str">
            <v>Seoul</v>
          </cell>
          <cell r="E420" t="str">
            <v>채영한</v>
          </cell>
          <cell r="F420" t="str">
            <v>만두유통(유)_공동집배송</v>
          </cell>
        </row>
        <row r="421">
          <cell r="C421">
            <v>33126</v>
          </cell>
          <cell r="D421" t="str">
            <v>Seoul</v>
          </cell>
          <cell r="E421" t="str">
            <v>채영한</v>
          </cell>
          <cell r="F421" t="str">
            <v>진성통합상사(주)</v>
          </cell>
        </row>
        <row r="422">
          <cell r="C422">
            <v>33239</v>
          </cell>
          <cell r="D422" t="str">
            <v>Seoul</v>
          </cell>
          <cell r="E422" t="str">
            <v>모정호</v>
          </cell>
          <cell r="F422" t="str">
            <v>석송주류(유)</v>
          </cell>
        </row>
        <row r="423">
          <cell r="C423">
            <v>33161</v>
          </cell>
          <cell r="D423" t="str">
            <v>Seoul</v>
          </cell>
          <cell r="E423" t="str">
            <v>모정호</v>
          </cell>
          <cell r="F423" t="str">
            <v>정방주류(주)</v>
          </cell>
        </row>
        <row r="424">
          <cell r="C424">
            <v>33164</v>
          </cell>
          <cell r="D424" t="str">
            <v>Seoul</v>
          </cell>
          <cell r="E424" t="str">
            <v>모정호</v>
          </cell>
          <cell r="F424" t="str">
            <v>영풍통합(합)</v>
          </cell>
        </row>
        <row r="425">
          <cell r="C425">
            <v>33169</v>
          </cell>
          <cell r="D425" t="str">
            <v>Seoul</v>
          </cell>
          <cell r="E425" t="str">
            <v>모정호</v>
          </cell>
          <cell r="F425" t="str">
            <v>용화상사(주)</v>
          </cell>
        </row>
        <row r="426">
          <cell r="C426">
            <v>33162</v>
          </cell>
          <cell r="D426" t="str">
            <v>Seoul</v>
          </cell>
          <cell r="E426" t="str">
            <v>모정호</v>
          </cell>
          <cell r="F426" t="str">
            <v>신성주류신월</v>
          </cell>
        </row>
        <row r="427">
          <cell r="C427">
            <v>33118</v>
          </cell>
          <cell r="D427" t="str">
            <v>Seoul</v>
          </cell>
          <cell r="E427" t="str">
            <v>모정호</v>
          </cell>
          <cell r="F427" t="str">
            <v>정진주류상사(주)</v>
          </cell>
        </row>
        <row r="428">
          <cell r="C428">
            <v>80475</v>
          </cell>
          <cell r="D428" t="str">
            <v>Seoul</v>
          </cell>
          <cell r="E428" t="str">
            <v>모정호</v>
          </cell>
          <cell r="F428" t="str">
            <v>주당(주)</v>
          </cell>
        </row>
        <row r="429">
          <cell r="C429">
            <v>39846</v>
          </cell>
          <cell r="D429" t="str">
            <v>Seoul</v>
          </cell>
          <cell r="E429" t="str">
            <v>모정호</v>
          </cell>
          <cell r="F429" t="str">
            <v>흥창기업 주식회사</v>
          </cell>
        </row>
        <row r="430">
          <cell r="C430">
            <v>33116</v>
          </cell>
          <cell r="D430" t="str">
            <v>Seoul</v>
          </cell>
          <cell r="E430" t="str">
            <v>모정호</v>
          </cell>
          <cell r="F430" t="str">
            <v>태남흥산(유)</v>
          </cell>
        </row>
        <row r="431">
          <cell r="C431">
            <v>86322</v>
          </cell>
          <cell r="D431" t="str">
            <v>Seoul</v>
          </cell>
          <cell r="E431" t="str">
            <v>채영한</v>
          </cell>
          <cell r="F431" t="str">
            <v>만두유통(유)_아웃백</v>
          </cell>
        </row>
        <row r="432">
          <cell r="C432">
            <v>33603</v>
          </cell>
          <cell r="D432" t="str">
            <v>Busan</v>
          </cell>
          <cell r="E432" t="str">
            <v>김태훈</v>
          </cell>
          <cell r="F432" t="str">
            <v>부성주류(주)</v>
          </cell>
        </row>
        <row r="433">
          <cell r="C433">
            <v>33615</v>
          </cell>
          <cell r="D433" t="str">
            <v>Busan</v>
          </cell>
          <cell r="E433" t="str">
            <v>김태훈</v>
          </cell>
          <cell r="F433" t="str">
            <v>대도실업(주)</v>
          </cell>
        </row>
        <row r="434">
          <cell r="C434">
            <v>33621</v>
          </cell>
          <cell r="D434" t="str">
            <v>Busan</v>
          </cell>
          <cell r="E434" t="str">
            <v>김태훈</v>
          </cell>
          <cell r="F434" t="str">
            <v>남성상사(주)</v>
          </cell>
        </row>
        <row r="435">
          <cell r="C435">
            <v>33628</v>
          </cell>
          <cell r="D435" t="str">
            <v>Busan</v>
          </cell>
          <cell r="E435" t="str">
            <v>김태훈</v>
          </cell>
          <cell r="F435" t="str">
            <v>동래상사(주)</v>
          </cell>
        </row>
        <row r="436">
          <cell r="C436">
            <v>33627</v>
          </cell>
          <cell r="D436" t="str">
            <v>Busan</v>
          </cell>
          <cell r="E436" t="str">
            <v>김태훈</v>
          </cell>
          <cell r="F436" t="str">
            <v>삼진(주)</v>
          </cell>
        </row>
        <row r="437">
          <cell r="C437">
            <v>33634</v>
          </cell>
          <cell r="D437" t="str">
            <v>Busan</v>
          </cell>
          <cell r="E437" t="str">
            <v>김태훈</v>
          </cell>
          <cell r="F437" t="str">
            <v>해동주류(주)</v>
          </cell>
        </row>
        <row r="438">
          <cell r="C438">
            <v>33595</v>
          </cell>
          <cell r="D438" t="str">
            <v>Busan</v>
          </cell>
          <cell r="E438" t="str">
            <v>김태훈</v>
          </cell>
          <cell r="F438" t="str">
            <v>유원상사(자)</v>
          </cell>
        </row>
        <row r="439">
          <cell r="C439">
            <v>34284</v>
          </cell>
          <cell r="D439" t="str">
            <v>Busan</v>
          </cell>
          <cell r="E439" t="str">
            <v>김태훈</v>
          </cell>
          <cell r="F439" t="str">
            <v>보성주류(주)</v>
          </cell>
        </row>
        <row r="440">
          <cell r="C440">
            <v>33596</v>
          </cell>
          <cell r="D440" t="str">
            <v>Busan</v>
          </cell>
          <cell r="E440" t="str">
            <v>김태훈</v>
          </cell>
          <cell r="F440" t="str">
            <v>해성주류판매주식회사</v>
          </cell>
        </row>
        <row r="441">
          <cell r="C441">
            <v>33802</v>
          </cell>
          <cell r="D441" t="str">
            <v>Busan</v>
          </cell>
          <cell r="E441" t="str">
            <v>김태훈</v>
          </cell>
          <cell r="F441" t="str">
            <v>제일종합주류(유)</v>
          </cell>
        </row>
        <row r="442">
          <cell r="C442">
            <v>33646</v>
          </cell>
          <cell r="D442" t="str">
            <v>Busan</v>
          </cell>
          <cell r="E442" t="str">
            <v>김태훈</v>
          </cell>
          <cell r="F442" t="str">
            <v>동원상사(유)</v>
          </cell>
        </row>
        <row r="443">
          <cell r="C443">
            <v>33608</v>
          </cell>
          <cell r="D443" t="str">
            <v>Busan</v>
          </cell>
          <cell r="E443" t="str">
            <v>김태훈</v>
          </cell>
          <cell r="F443" t="str">
            <v>대동상사(유)부산</v>
          </cell>
        </row>
        <row r="444">
          <cell r="C444">
            <v>33851</v>
          </cell>
          <cell r="D444" t="str">
            <v>Busan</v>
          </cell>
          <cell r="E444" t="str">
            <v>김태훈</v>
          </cell>
          <cell r="F444" t="str">
            <v>옥포주류판매상사(자)</v>
          </cell>
        </row>
        <row r="445">
          <cell r="C445">
            <v>81896</v>
          </cell>
          <cell r="D445" t="str">
            <v>Busan</v>
          </cell>
          <cell r="E445" t="str">
            <v>김태훈</v>
          </cell>
          <cell r="F445" t="str">
            <v>주식회사 덕원</v>
          </cell>
        </row>
        <row r="446">
          <cell r="C446">
            <v>33831</v>
          </cell>
          <cell r="D446" t="str">
            <v>Busan</v>
          </cell>
          <cell r="E446" t="str">
            <v>김태훈</v>
          </cell>
          <cell r="F446" t="str">
            <v>삼일상사(유)</v>
          </cell>
        </row>
        <row r="447">
          <cell r="C447">
            <v>33872</v>
          </cell>
          <cell r="D447" t="str">
            <v>Busan</v>
          </cell>
          <cell r="E447" t="str">
            <v>김태훈</v>
          </cell>
          <cell r="F447" t="str">
            <v>국제주류(유)</v>
          </cell>
        </row>
        <row r="448">
          <cell r="C448">
            <v>33625</v>
          </cell>
          <cell r="D448" t="str">
            <v>Busan</v>
          </cell>
          <cell r="E448" t="str">
            <v>김태훈</v>
          </cell>
          <cell r="F448" t="str">
            <v>동남(주)부산</v>
          </cell>
        </row>
        <row r="449">
          <cell r="C449">
            <v>33632</v>
          </cell>
          <cell r="D449" t="str">
            <v>Busan</v>
          </cell>
          <cell r="E449" t="str">
            <v>김태훈</v>
          </cell>
          <cell r="F449" t="str">
            <v>서천(주)</v>
          </cell>
        </row>
        <row r="450">
          <cell r="C450">
            <v>33597</v>
          </cell>
          <cell r="D450" t="str">
            <v>Busan</v>
          </cell>
          <cell r="E450" t="str">
            <v>김태훈</v>
          </cell>
          <cell r="F450" t="str">
            <v>청림상사(유)</v>
          </cell>
        </row>
        <row r="451">
          <cell r="C451">
            <v>33658</v>
          </cell>
          <cell r="D451" t="str">
            <v>Busan</v>
          </cell>
          <cell r="E451" t="str">
            <v>김태훈</v>
          </cell>
          <cell r="F451" t="str">
            <v>대천상사(자)</v>
          </cell>
        </row>
        <row r="452">
          <cell r="C452">
            <v>33804</v>
          </cell>
          <cell r="D452" t="str">
            <v>Busan</v>
          </cell>
          <cell r="E452" t="str">
            <v>김태훈</v>
          </cell>
          <cell r="F452" t="str">
            <v>세일주류(합자)</v>
          </cell>
        </row>
        <row r="453">
          <cell r="C453">
            <v>33832</v>
          </cell>
          <cell r="D453" t="str">
            <v>Busan</v>
          </cell>
          <cell r="E453" t="str">
            <v>김태훈</v>
          </cell>
          <cell r="F453" t="str">
            <v>우리주류(유)</v>
          </cell>
        </row>
        <row r="454">
          <cell r="C454">
            <v>33651</v>
          </cell>
          <cell r="D454" t="str">
            <v>Busan</v>
          </cell>
          <cell r="E454" t="str">
            <v>김태훈</v>
          </cell>
          <cell r="F454" t="str">
            <v>풍국상사(합자)</v>
          </cell>
        </row>
        <row r="455">
          <cell r="C455">
            <v>33601</v>
          </cell>
          <cell r="D455" t="str">
            <v>Busan</v>
          </cell>
          <cell r="E455" t="str">
            <v>김태훈</v>
          </cell>
          <cell r="F455" t="str">
            <v>미래종합주류(합)</v>
          </cell>
        </row>
        <row r="456">
          <cell r="C456">
            <v>33622</v>
          </cell>
          <cell r="D456" t="str">
            <v>Busan</v>
          </cell>
          <cell r="E456" t="str">
            <v>김태훈</v>
          </cell>
          <cell r="F456" t="str">
            <v>한미상사(주)</v>
          </cell>
        </row>
        <row r="457">
          <cell r="C457">
            <v>33803</v>
          </cell>
          <cell r="D457" t="str">
            <v>Busan</v>
          </cell>
          <cell r="E457" t="str">
            <v>김태훈</v>
          </cell>
          <cell r="F457" t="str">
            <v>삼정상사(주)</v>
          </cell>
        </row>
        <row r="458">
          <cell r="C458">
            <v>33635</v>
          </cell>
          <cell r="D458" t="str">
            <v>Busan</v>
          </cell>
          <cell r="E458" t="str">
            <v>김태훈</v>
          </cell>
          <cell r="F458" t="str">
            <v>신도(주)</v>
          </cell>
        </row>
        <row r="459">
          <cell r="C459">
            <v>33626</v>
          </cell>
          <cell r="D459" t="str">
            <v>Busan</v>
          </cell>
          <cell r="E459" t="str">
            <v>김태훈</v>
          </cell>
          <cell r="F459" t="str">
            <v>신부창(유)</v>
          </cell>
        </row>
        <row r="460">
          <cell r="C460">
            <v>33642</v>
          </cell>
          <cell r="D460" t="str">
            <v>Busan</v>
          </cell>
          <cell r="E460" t="str">
            <v>김태훈</v>
          </cell>
          <cell r="F460" t="str">
            <v>청인상사(합)</v>
          </cell>
        </row>
        <row r="461">
          <cell r="C461">
            <v>33618</v>
          </cell>
          <cell r="D461" t="str">
            <v>Busan</v>
          </cell>
          <cell r="E461" t="str">
            <v>김태훈</v>
          </cell>
          <cell r="F461" t="str">
            <v>우성종합주류(합)</v>
          </cell>
        </row>
        <row r="462">
          <cell r="C462">
            <v>33600</v>
          </cell>
          <cell r="D462" t="str">
            <v>Busan</v>
          </cell>
          <cell r="E462" t="str">
            <v>김태훈</v>
          </cell>
          <cell r="F462" t="str">
            <v>부덕종합주류(주)</v>
          </cell>
        </row>
        <row r="463">
          <cell r="C463">
            <v>33852</v>
          </cell>
          <cell r="D463" t="str">
            <v>Busan</v>
          </cell>
          <cell r="E463" t="str">
            <v>김태훈</v>
          </cell>
          <cell r="F463" t="str">
            <v>거제제일주판(자)</v>
          </cell>
        </row>
        <row r="464">
          <cell r="C464">
            <v>33849</v>
          </cell>
          <cell r="D464" t="str">
            <v>Busan</v>
          </cell>
          <cell r="E464" t="str">
            <v>김태훈</v>
          </cell>
          <cell r="F464" t="str">
            <v>거제주류판매상사(자)</v>
          </cell>
        </row>
        <row r="465">
          <cell r="C465">
            <v>33645</v>
          </cell>
          <cell r="D465" t="str">
            <v>Busan</v>
          </cell>
          <cell r="E465" t="str">
            <v>김태훈</v>
          </cell>
          <cell r="F465" t="str">
            <v>일진(주)</v>
          </cell>
        </row>
        <row r="466">
          <cell r="C466">
            <v>33613</v>
          </cell>
          <cell r="D466" t="str">
            <v>Busan</v>
          </cell>
          <cell r="E466" t="str">
            <v>김태훈</v>
          </cell>
          <cell r="F466" t="str">
            <v>태일상사(주)</v>
          </cell>
        </row>
        <row r="467">
          <cell r="C467">
            <v>33610</v>
          </cell>
          <cell r="D467" t="str">
            <v>Busan</v>
          </cell>
          <cell r="E467" t="str">
            <v>김태훈</v>
          </cell>
          <cell r="F467" t="str">
            <v>국일(주)</v>
          </cell>
        </row>
        <row r="468">
          <cell r="C468">
            <v>33853</v>
          </cell>
          <cell r="D468" t="str">
            <v>Busan</v>
          </cell>
          <cell r="E468" t="str">
            <v>김태훈</v>
          </cell>
          <cell r="F468" t="str">
            <v>세일주류 주식회사</v>
          </cell>
        </row>
        <row r="469">
          <cell r="C469">
            <v>33856</v>
          </cell>
          <cell r="D469" t="str">
            <v>Busan</v>
          </cell>
          <cell r="E469" t="str">
            <v>김태훈</v>
          </cell>
          <cell r="F469" t="str">
            <v>미래주류주식회사</v>
          </cell>
        </row>
        <row r="470">
          <cell r="C470">
            <v>33871</v>
          </cell>
          <cell r="D470" t="str">
            <v>Busan</v>
          </cell>
          <cell r="E470" t="str">
            <v>김태훈</v>
          </cell>
          <cell r="F470" t="str">
            <v>한려주류판매(자)</v>
          </cell>
        </row>
        <row r="471">
          <cell r="C471">
            <v>33641</v>
          </cell>
          <cell r="D471" t="str">
            <v>Busan</v>
          </cell>
          <cell r="E471" t="str">
            <v>김태훈</v>
          </cell>
          <cell r="F471" t="str">
            <v>일승(유한회사)</v>
          </cell>
        </row>
        <row r="472">
          <cell r="C472">
            <v>33598</v>
          </cell>
          <cell r="D472" t="str">
            <v>Busan</v>
          </cell>
          <cell r="E472" t="str">
            <v>김태훈</v>
          </cell>
          <cell r="F472" t="str">
            <v>대림(주)</v>
          </cell>
        </row>
        <row r="473">
          <cell r="C473">
            <v>33870</v>
          </cell>
          <cell r="D473" t="str">
            <v>Busan</v>
          </cell>
          <cell r="E473" t="str">
            <v>김태훈</v>
          </cell>
          <cell r="F473" t="str">
            <v>일류상사(합자)</v>
          </cell>
        </row>
        <row r="474">
          <cell r="C474">
            <v>33655</v>
          </cell>
          <cell r="D474" t="str">
            <v>Busan</v>
          </cell>
          <cell r="E474" t="str">
            <v>김태훈</v>
          </cell>
          <cell r="F474" t="str">
            <v>대일상사(주)</v>
          </cell>
        </row>
        <row r="475">
          <cell r="C475">
            <v>33854</v>
          </cell>
          <cell r="D475" t="str">
            <v>Busan</v>
          </cell>
          <cell r="E475" t="str">
            <v>김태훈</v>
          </cell>
          <cell r="F475" t="str">
            <v>신진상사(자)</v>
          </cell>
        </row>
        <row r="476">
          <cell r="C476">
            <v>33612</v>
          </cell>
          <cell r="D476" t="str">
            <v>Busan</v>
          </cell>
          <cell r="E476" t="str">
            <v>김태훈</v>
          </cell>
          <cell r="F476" t="str">
            <v>도천상사(유)</v>
          </cell>
        </row>
        <row r="477">
          <cell r="C477">
            <v>33840</v>
          </cell>
          <cell r="D477" t="str">
            <v>Busan</v>
          </cell>
          <cell r="E477" t="str">
            <v>김태훈</v>
          </cell>
          <cell r="F477" t="str">
            <v>영남주류(유)</v>
          </cell>
        </row>
        <row r="478">
          <cell r="C478">
            <v>33860</v>
          </cell>
          <cell r="D478" t="str">
            <v>Busan</v>
          </cell>
          <cell r="E478" t="str">
            <v>김태훈</v>
          </cell>
          <cell r="F478" t="str">
            <v>충무주류판매(주)</v>
          </cell>
        </row>
        <row r="479">
          <cell r="C479">
            <v>33834</v>
          </cell>
          <cell r="D479" t="str">
            <v>Busan</v>
          </cell>
          <cell r="E479" t="str">
            <v>김태훈</v>
          </cell>
          <cell r="F479" t="str">
            <v>금진종합주류상사(합)</v>
          </cell>
        </row>
        <row r="480">
          <cell r="C480">
            <v>35142</v>
          </cell>
          <cell r="D480" t="str">
            <v>Busan</v>
          </cell>
          <cell r="E480" t="str">
            <v>김태훈</v>
          </cell>
          <cell r="F480" t="str">
            <v>하동주류판매상사(명)</v>
          </cell>
        </row>
        <row r="481">
          <cell r="C481">
            <v>34948</v>
          </cell>
          <cell r="D481" t="str">
            <v>Busan</v>
          </cell>
          <cell r="E481" t="str">
            <v>김태훈</v>
          </cell>
          <cell r="F481" t="str">
            <v>온천주류(자)</v>
          </cell>
        </row>
        <row r="482">
          <cell r="C482">
            <v>35310</v>
          </cell>
          <cell r="D482" t="str">
            <v>Busan</v>
          </cell>
          <cell r="E482" t="str">
            <v>김태훈</v>
          </cell>
          <cell r="F482" t="str">
            <v>강민상사 합자회사</v>
          </cell>
        </row>
        <row r="483">
          <cell r="C483">
            <v>35639</v>
          </cell>
          <cell r="D483" t="str">
            <v>Busan</v>
          </cell>
          <cell r="E483" t="str">
            <v>김태훈</v>
          </cell>
          <cell r="F483" t="str">
            <v>마창주류판매상사(유)</v>
          </cell>
        </row>
        <row r="484">
          <cell r="C484">
            <v>33869</v>
          </cell>
          <cell r="D484" t="str">
            <v>Busan</v>
          </cell>
          <cell r="E484" t="str">
            <v>김태훈</v>
          </cell>
          <cell r="F484" t="str">
            <v>한일상사(합)</v>
          </cell>
        </row>
        <row r="485">
          <cell r="C485">
            <v>33836</v>
          </cell>
          <cell r="D485" t="str">
            <v>Busan</v>
          </cell>
          <cell r="E485" t="str">
            <v>김태훈</v>
          </cell>
          <cell r="F485" t="str">
            <v>대도상사(주)</v>
          </cell>
        </row>
        <row r="486">
          <cell r="C486">
            <v>33855</v>
          </cell>
          <cell r="D486" t="str">
            <v>Busan</v>
          </cell>
          <cell r="E486" t="str">
            <v>김태훈</v>
          </cell>
          <cell r="F486" t="str">
            <v>동양상사(합)</v>
          </cell>
        </row>
        <row r="487">
          <cell r="C487">
            <v>33637</v>
          </cell>
          <cell r="D487" t="str">
            <v>Busan</v>
          </cell>
          <cell r="E487" t="str">
            <v>김태훈</v>
          </cell>
          <cell r="F487" t="str">
            <v>동국상사(자)</v>
          </cell>
        </row>
        <row r="488">
          <cell r="C488">
            <v>33866</v>
          </cell>
          <cell r="D488" t="str">
            <v>Busan</v>
          </cell>
          <cell r="E488" t="str">
            <v>김태훈</v>
          </cell>
          <cell r="F488" t="str">
            <v>밀양상사(유)</v>
          </cell>
        </row>
        <row r="489">
          <cell r="C489">
            <v>33805</v>
          </cell>
          <cell r="D489" t="str">
            <v>Busan</v>
          </cell>
          <cell r="E489" t="str">
            <v>김태훈</v>
          </cell>
          <cell r="F489" t="str">
            <v>대림주류(합명)</v>
          </cell>
        </row>
        <row r="490">
          <cell r="C490">
            <v>35476</v>
          </cell>
          <cell r="D490" t="str">
            <v>Busan</v>
          </cell>
          <cell r="E490" t="str">
            <v>김태훈</v>
          </cell>
          <cell r="F490" t="str">
            <v>보리상사(자)</v>
          </cell>
        </row>
        <row r="491">
          <cell r="C491">
            <v>34817</v>
          </cell>
          <cell r="D491" t="str">
            <v>Busan</v>
          </cell>
          <cell r="E491" t="str">
            <v>김태훈</v>
          </cell>
          <cell r="F491" t="str">
            <v>대양상사㈜</v>
          </cell>
        </row>
        <row r="492">
          <cell r="C492">
            <v>33609</v>
          </cell>
          <cell r="D492" t="str">
            <v>Busan</v>
          </cell>
          <cell r="E492" t="str">
            <v>김태훈</v>
          </cell>
          <cell r="F492" t="str">
            <v>한진상사(유)</v>
          </cell>
        </row>
        <row r="493">
          <cell r="C493">
            <v>33816</v>
          </cell>
          <cell r="D493" t="str">
            <v>Busan</v>
          </cell>
          <cell r="E493" t="str">
            <v>김태훈</v>
          </cell>
          <cell r="F493" t="str">
            <v>동부상사(합)</v>
          </cell>
        </row>
        <row r="494">
          <cell r="C494">
            <v>39099</v>
          </cell>
          <cell r="D494" t="str">
            <v>Busan</v>
          </cell>
          <cell r="E494" t="str">
            <v>김태훈</v>
          </cell>
          <cell r="F494" t="str">
            <v>진해주류판매상사(유)</v>
          </cell>
        </row>
        <row r="495">
          <cell r="C495">
            <v>36328</v>
          </cell>
          <cell r="D495" t="str">
            <v>Busan</v>
          </cell>
          <cell r="E495" t="str">
            <v>김태훈</v>
          </cell>
          <cell r="F495" t="str">
            <v>대원상사(자)</v>
          </cell>
        </row>
        <row r="496">
          <cell r="C496">
            <v>33602</v>
          </cell>
          <cell r="D496" t="str">
            <v>Busan</v>
          </cell>
          <cell r="E496" t="str">
            <v>김태훈</v>
          </cell>
          <cell r="F496" t="str">
            <v>세창상사(주)</v>
          </cell>
        </row>
        <row r="497">
          <cell r="C497">
            <v>35564</v>
          </cell>
          <cell r="D497" t="str">
            <v>Busan</v>
          </cell>
          <cell r="E497" t="str">
            <v>김태훈</v>
          </cell>
          <cell r="F497" t="str">
            <v>대백(주)</v>
          </cell>
        </row>
        <row r="498">
          <cell r="C498">
            <v>33599</v>
          </cell>
          <cell r="D498" t="str">
            <v>Busan</v>
          </cell>
          <cell r="E498" t="str">
            <v>김태훈</v>
          </cell>
          <cell r="F498" t="str">
            <v>스타수입주류(주)</v>
          </cell>
        </row>
        <row r="499">
          <cell r="C499">
            <v>33648</v>
          </cell>
          <cell r="D499" t="str">
            <v>Busan</v>
          </cell>
          <cell r="E499" t="str">
            <v>김태훈</v>
          </cell>
          <cell r="F499" t="str">
            <v>매일상사(유)</v>
          </cell>
        </row>
        <row r="500">
          <cell r="C500">
            <v>38187</v>
          </cell>
          <cell r="D500" t="str">
            <v>Busan</v>
          </cell>
          <cell r="E500" t="str">
            <v>김태훈</v>
          </cell>
          <cell r="F500" t="str">
            <v>동양종합주류 주식회사</v>
          </cell>
        </row>
        <row r="501">
          <cell r="C501">
            <v>33652</v>
          </cell>
          <cell r="D501" t="str">
            <v>Busan</v>
          </cell>
          <cell r="E501" t="str">
            <v>김태훈</v>
          </cell>
          <cell r="F501" t="str">
            <v>대한상사㈜-부산</v>
          </cell>
        </row>
        <row r="502">
          <cell r="C502">
            <v>33636</v>
          </cell>
          <cell r="D502" t="str">
            <v>Busan</v>
          </cell>
          <cell r="E502" t="str">
            <v>김태훈</v>
          </cell>
          <cell r="F502" t="str">
            <v>창성주류판매(주)</v>
          </cell>
        </row>
        <row r="503">
          <cell r="C503">
            <v>39586</v>
          </cell>
          <cell r="D503" t="str">
            <v>Busan</v>
          </cell>
          <cell r="E503" t="str">
            <v>김태훈</v>
          </cell>
          <cell r="F503" t="str">
            <v>하남주류판매상사(명)</v>
          </cell>
        </row>
        <row r="504">
          <cell r="C504">
            <v>33830</v>
          </cell>
          <cell r="D504" t="str">
            <v>Busan</v>
          </cell>
          <cell r="E504" t="str">
            <v>김태훈</v>
          </cell>
          <cell r="F504" t="str">
            <v>제일주류(합자)</v>
          </cell>
        </row>
        <row r="505">
          <cell r="C505">
            <v>33630</v>
          </cell>
          <cell r="D505" t="str">
            <v>Busan</v>
          </cell>
          <cell r="E505" t="str">
            <v>김태훈</v>
          </cell>
          <cell r="F505" t="str">
            <v>부경주류(합자)</v>
          </cell>
        </row>
        <row r="506">
          <cell r="C506">
            <v>33607</v>
          </cell>
          <cell r="D506" t="str">
            <v>Busan</v>
          </cell>
          <cell r="E506" t="str">
            <v>김태훈</v>
          </cell>
          <cell r="F506" t="str">
            <v>부림(주)</v>
          </cell>
        </row>
        <row r="507">
          <cell r="C507">
            <v>33661</v>
          </cell>
          <cell r="D507" t="str">
            <v>Busan</v>
          </cell>
          <cell r="E507" t="str">
            <v>김태훈</v>
          </cell>
          <cell r="F507" t="str">
            <v>협진상사(자)</v>
          </cell>
        </row>
        <row r="508">
          <cell r="C508">
            <v>33631</v>
          </cell>
          <cell r="D508" t="str">
            <v>Busan</v>
          </cell>
          <cell r="E508" t="str">
            <v>김태훈</v>
          </cell>
          <cell r="F508" t="str">
            <v>대원주류(자)</v>
          </cell>
        </row>
        <row r="509">
          <cell r="C509">
            <v>81996</v>
          </cell>
          <cell r="D509" t="str">
            <v>Busan</v>
          </cell>
          <cell r="E509" t="str">
            <v>김태훈</v>
          </cell>
          <cell r="F509" t="str">
            <v>(주)대송주류</v>
          </cell>
        </row>
        <row r="510">
          <cell r="C510">
            <v>85628</v>
          </cell>
          <cell r="D510" t="str">
            <v>Busan</v>
          </cell>
          <cell r="E510" t="str">
            <v>김태훈</v>
          </cell>
          <cell r="F510" t="str">
            <v>국제주류(유)_코엔엠</v>
          </cell>
        </row>
        <row r="511">
          <cell r="C511">
            <v>85830</v>
          </cell>
          <cell r="D511" t="str">
            <v>Busan</v>
          </cell>
          <cell r="E511" t="str">
            <v>김태훈</v>
          </cell>
          <cell r="F511" t="str">
            <v>유원상사(자)_클럽디</v>
          </cell>
        </row>
        <row r="512">
          <cell r="C512">
            <v>37227</v>
          </cell>
          <cell r="D512" t="str">
            <v>Busan</v>
          </cell>
          <cell r="E512" t="str">
            <v>김태훈</v>
          </cell>
          <cell r="F512" t="str">
            <v>삼진(주)CJ</v>
          </cell>
        </row>
        <row r="513">
          <cell r="C513">
            <v>80970</v>
          </cell>
          <cell r="D513" t="str">
            <v>Busan</v>
          </cell>
          <cell r="E513" t="str">
            <v>김태훈</v>
          </cell>
          <cell r="F513" t="str">
            <v>삼진텍사스거리</v>
          </cell>
        </row>
        <row r="514">
          <cell r="C514">
            <v>80328</v>
          </cell>
          <cell r="D514" t="str">
            <v>Busan</v>
          </cell>
          <cell r="E514" t="str">
            <v>김태훈</v>
          </cell>
          <cell r="F514" t="str">
            <v>보성주류(주)한산마리나리조트</v>
          </cell>
        </row>
        <row r="515">
          <cell r="C515">
            <v>80291</v>
          </cell>
          <cell r="D515" t="str">
            <v>Busan</v>
          </cell>
          <cell r="E515" t="str">
            <v>김태훈</v>
          </cell>
          <cell r="F515" t="str">
            <v>동남㈜부산CC</v>
          </cell>
        </row>
        <row r="516">
          <cell r="C516">
            <v>80248</v>
          </cell>
          <cell r="D516" t="str">
            <v>Busan</v>
          </cell>
          <cell r="E516" t="str">
            <v>김태훈</v>
          </cell>
          <cell r="F516" t="str">
            <v>삼진(주)빅바틀용</v>
          </cell>
        </row>
        <row r="517">
          <cell r="C517">
            <v>36360</v>
          </cell>
          <cell r="D517" t="str">
            <v>Busan</v>
          </cell>
          <cell r="E517" t="str">
            <v>김태훈</v>
          </cell>
          <cell r="F517" t="str">
            <v>이화주류(주)</v>
          </cell>
        </row>
        <row r="518">
          <cell r="C518">
            <v>33591</v>
          </cell>
          <cell r="D518" t="str">
            <v>Busan</v>
          </cell>
          <cell r="E518" t="str">
            <v>김태훈</v>
          </cell>
          <cell r="F518" t="str">
            <v>우리주류주식회사</v>
          </cell>
        </row>
        <row r="519">
          <cell r="C519">
            <v>33850</v>
          </cell>
          <cell r="D519" t="str">
            <v>Busan</v>
          </cell>
          <cell r="E519" t="str">
            <v>김태훈</v>
          </cell>
          <cell r="F519" t="str">
            <v>신현주류판매상사(합자)</v>
          </cell>
        </row>
        <row r="520">
          <cell r="C520">
            <v>33659</v>
          </cell>
          <cell r="D520" t="str">
            <v>Busan</v>
          </cell>
          <cell r="E520" t="str">
            <v>김환성</v>
          </cell>
          <cell r="F520" t="str">
            <v>신세계수입주류 합자회사</v>
          </cell>
        </row>
        <row r="521">
          <cell r="C521">
            <v>33587</v>
          </cell>
          <cell r="D521" t="str">
            <v>Busan</v>
          </cell>
          <cell r="E521" t="str">
            <v>김환성</v>
          </cell>
          <cell r="F521" t="str">
            <v>예원</v>
          </cell>
        </row>
        <row r="522">
          <cell r="C522">
            <v>33797</v>
          </cell>
          <cell r="D522" t="str">
            <v>Busan</v>
          </cell>
          <cell r="E522" t="str">
            <v>김환성</v>
          </cell>
          <cell r="F522" t="str">
            <v>세계주류(주)마산</v>
          </cell>
        </row>
        <row r="523">
          <cell r="C523">
            <v>33619</v>
          </cell>
          <cell r="D523" t="str">
            <v>Busan</v>
          </cell>
          <cell r="E523" t="str">
            <v>김환성</v>
          </cell>
          <cell r="F523" t="str">
            <v>한양유통합자회사</v>
          </cell>
        </row>
        <row r="524">
          <cell r="C524">
            <v>33657</v>
          </cell>
          <cell r="D524" t="str">
            <v>Busan</v>
          </cell>
          <cell r="E524" t="str">
            <v>김환성</v>
          </cell>
          <cell r="F524" t="str">
            <v>홍익주류합자회사</v>
          </cell>
        </row>
        <row r="525">
          <cell r="C525">
            <v>33825</v>
          </cell>
          <cell r="D525" t="str">
            <v>Busan</v>
          </cell>
          <cell r="E525" t="str">
            <v>김환성</v>
          </cell>
          <cell r="F525" t="str">
            <v>신일주류(유)</v>
          </cell>
        </row>
        <row r="526">
          <cell r="C526">
            <v>33822</v>
          </cell>
          <cell r="D526" t="str">
            <v>Busan</v>
          </cell>
          <cell r="E526" t="str">
            <v>김환성</v>
          </cell>
          <cell r="F526" t="str">
            <v>신용주류(주)</v>
          </cell>
        </row>
        <row r="527">
          <cell r="C527">
            <v>33593</v>
          </cell>
          <cell r="D527" t="str">
            <v>Busan</v>
          </cell>
          <cell r="E527" t="str">
            <v>김환성</v>
          </cell>
          <cell r="F527" t="str">
            <v>부광(주)</v>
          </cell>
        </row>
        <row r="528">
          <cell r="C528">
            <v>33654</v>
          </cell>
          <cell r="D528" t="str">
            <v>Busan</v>
          </cell>
          <cell r="E528" t="str">
            <v>김환성</v>
          </cell>
          <cell r="F528" t="str">
            <v>태광상사(자)</v>
          </cell>
        </row>
        <row r="529">
          <cell r="C529">
            <v>33638</v>
          </cell>
          <cell r="D529" t="str">
            <v>Busan</v>
          </cell>
          <cell r="E529" t="str">
            <v>김환성</v>
          </cell>
          <cell r="F529" t="str">
            <v>범창주류 주식회사</v>
          </cell>
        </row>
        <row r="530">
          <cell r="C530">
            <v>33845</v>
          </cell>
          <cell r="D530" t="str">
            <v>Busan</v>
          </cell>
          <cell r="E530" t="str">
            <v>김환성</v>
          </cell>
          <cell r="F530" t="str">
            <v>남도유통 주식회사</v>
          </cell>
        </row>
        <row r="531">
          <cell r="C531">
            <v>33814</v>
          </cell>
          <cell r="D531" t="str">
            <v>Busan</v>
          </cell>
          <cell r="E531" t="str">
            <v>김환성</v>
          </cell>
          <cell r="F531" t="str">
            <v>덕신주류(유)</v>
          </cell>
        </row>
        <row r="532">
          <cell r="C532">
            <v>38162</v>
          </cell>
          <cell r="D532" t="str">
            <v>Busan</v>
          </cell>
          <cell r="E532" t="str">
            <v>김환성</v>
          </cell>
          <cell r="F532" t="str">
            <v>오션수입주류(주)</v>
          </cell>
        </row>
        <row r="533">
          <cell r="C533">
            <v>33793</v>
          </cell>
          <cell r="D533" t="str">
            <v>Busan</v>
          </cell>
          <cell r="E533" t="str">
            <v>김환성</v>
          </cell>
          <cell r="F533" t="str">
            <v>대동유통(주)</v>
          </cell>
        </row>
        <row r="534">
          <cell r="C534">
            <v>33662</v>
          </cell>
          <cell r="D534" t="str">
            <v>Busan</v>
          </cell>
          <cell r="E534" t="str">
            <v>김환성</v>
          </cell>
          <cell r="F534" t="str">
            <v>한얼주류</v>
          </cell>
        </row>
        <row r="535">
          <cell r="C535">
            <v>80693</v>
          </cell>
          <cell r="D535" t="str">
            <v>Busan</v>
          </cell>
          <cell r="E535" t="str">
            <v>김환성</v>
          </cell>
          <cell r="F535" t="str">
            <v>(주)세화주류</v>
          </cell>
        </row>
        <row r="536">
          <cell r="C536">
            <v>33824</v>
          </cell>
          <cell r="D536" t="str">
            <v>Busan</v>
          </cell>
          <cell r="E536" t="str">
            <v>김환성</v>
          </cell>
          <cell r="F536" t="str">
            <v>유창주류(유)</v>
          </cell>
        </row>
        <row r="537">
          <cell r="C537">
            <v>34727</v>
          </cell>
          <cell r="D537" t="str">
            <v>Busan</v>
          </cell>
          <cell r="E537" t="str">
            <v>김환성</v>
          </cell>
          <cell r="F537" t="str">
            <v>한일주류판매상사㈜</v>
          </cell>
        </row>
        <row r="538">
          <cell r="C538">
            <v>33795</v>
          </cell>
          <cell r="D538" t="str">
            <v>Busan</v>
          </cell>
          <cell r="E538" t="str">
            <v>김환성</v>
          </cell>
          <cell r="F538" t="str">
            <v>동림주류(명)</v>
          </cell>
        </row>
        <row r="539">
          <cell r="C539">
            <v>80931</v>
          </cell>
          <cell r="D539" t="str">
            <v>Busan</v>
          </cell>
          <cell r="E539" t="str">
            <v>김환성</v>
          </cell>
          <cell r="F539" t="str">
            <v>나인주류(주)</v>
          </cell>
        </row>
        <row r="540">
          <cell r="C540">
            <v>34431</v>
          </cell>
          <cell r="D540" t="str">
            <v>Busan</v>
          </cell>
          <cell r="E540" t="str">
            <v>김환성</v>
          </cell>
          <cell r="F540" t="str">
            <v>창신주류(유)</v>
          </cell>
        </row>
        <row r="541">
          <cell r="C541">
            <v>33861</v>
          </cell>
          <cell r="D541" t="str">
            <v>Busan</v>
          </cell>
          <cell r="E541" t="str">
            <v>김환성</v>
          </cell>
          <cell r="F541" t="str">
            <v>천년종합주류 유한회사</v>
          </cell>
        </row>
        <row r="542">
          <cell r="C542">
            <v>33813</v>
          </cell>
          <cell r="D542" t="str">
            <v>Busan</v>
          </cell>
          <cell r="E542" t="str">
            <v>김환성</v>
          </cell>
          <cell r="F542" t="str">
            <v>진복주류판매상사(유)</v>
          </cell>
        </row>
        <row r="543">
          <cell r="C543">
            <v>33842</v>
          </cell>
          <cell r="D543" t="str">
            <v>Busan</v>
          </cell>
          <cell r="E543" t="str">
            <v>김환성</v>
          </cell>
          <cell r="F543" t="str">
            <v>대신주류판매상사(유)</v>
          </cell>
        </row>
        <row r="544">
          <cell r="C544">
            <v>33857</v>
          </cell>
          <cell r="D544" t="str">
            <v>Busan</v>
          </cell>
          <cell r="E544" t="str">
            <v>김환성</v>
          </cell>
          <cell r="F544" t="str">
            <v>제일종합주류판매상사(유)</v>
          </cell>
        </row>
        <row r="545">
          <cell r="C545">
            <v>33605</v>
          </cell>
          <cell r="D545" t="str">
            <v>Busan</v>
          </cell>
          <cell r="E545" t="str">
            <v>김환성</v>
          </cell>
          <cell r="F545" t="str">
            <v>태성주류(주)</v>
          </cell>
        </row>
        <row r="546">
          <cell r="C546">
            <v>33833</v>
          </cell>
          <cell r="D546" t="str">
            <v>Busan</v>
          </cell>
          <cell r="E546" t="str">
            <v>김환성</v>
          </cell>
          <cell r="F546" t="str">
            <v>경남주류판매(주)</v>
          </cell>
        </row>
        <row r="547">
          <cell r="C547">
            <v>33811</v>
          </cell>
          <cell r="D547" t="str">
            <v>Busan</v>
          </cell>
          <cell r="E547" t="str">
            <v>김환성</v>
          </cell>
          <cell r="F547" t="str">
            <v>한국주류(유)</v>
          </cell>
        </row>
        <row r="548">
          <cell r="C548">
            <v>33841</v>
          </cell>
          <cell r="D548" t="str">
            <v>Busan</v>
          </cell>
          <cell r="E548" t="str">
            <v>김환성</v>
          </cell>
          <cell r="F548" t="str">
            <v>창원주류판매(주)</v>
          </cell>
        </row>
        <row r="549">
          <cell r="C549">
            <v>34429</v>
          </cell>
          <cell r="D549" t="str">
            <v>Busan</v>
          </cell>
          <cell r="E549" t="str">
            <v>김환성</v>
          </cell>
          <cell r="F549" t="str">
            <v>대양유통(유)</v>
          </cell>
        </row>
        <row r="550">
          <cell r="C550">
            <v>33799</v>
          </cell>
          <cell r="D550" t="str">
            <v>Busan</v>
          </cell>
          <cell r="E550" t="str">
            <v>김환성</v>
          </cell>
          <cell r="F550" t="str">
            <v>성광종합주류(유)</v>
          </cell>
        </row>
        <row r="551">
          <cell r="C551">
            <v>33862</v>
          </cell>
          <cell r="D551" t="str">
            <v>Busan</v>
          </cell>
          <cell r="E551" t="str">
            <v>김환성</v>
          </cell>
          <cell r="F551" t="str">
            <v>동하주류판매(주)</v>
          </cell>
        </row>
        <row r="552">
          <cell r="C552">
            <v>33812</v>
          </cell>
          <cell r="D552" t="str">
            <v>Busan</v>
          </cell>
          <cell r="E552" t="str">
            <v>김환성</v>
          </cell>
          <cell r="F552" t="str">
            <v>모아주류합자회사</v>
          </cell>
        </row>
        <row r="553">
          <cell r="C553">
            <v>33588</v>
          </cell>
          <cell r="D553" t="str">
            <v>Busan</v>
          </cell>
          <cell r="E553" t="str">
            <v>김환성</v>
          </cell>
          <cell r="F553" t="str">
            <v>삼능상사(합)</v>
          </cell>
        </row>
        <row r="554">
          <cell r="C554">
            <v>33796</v>
          </cell>
          <cell r="D554" t="str">
            <v>Busan</v>
          </cell>
          <cell r="E554" t="str">
            <v>김환성</v>
          </cell>
          <cell r="F554" t="str">
            <v>대한유통주식회사</v>
          </cell>
        </row>
        <row r="555">
          <cell r="C555">
            <v>35976</v>
          </cell>
          <cell r="D555" t="str">
            <v>Busan</v>
          </cell>
          <cell r="E555" t="str">
            <v>김환성</v>
          </cell>
          <cell r="F555" t="str">
            <v>동부주류판매상사(자)</v>
          </cell>
        </row>
        <row r="556">
          <cell r="C556">
            <v>33858</v>
          </cell>
          <cell r="D556" t="str">
            <v>Busan</v>
          </cell>
          <cell r="E556" t="str">
            <v>김환성</v>
          </cell>
          <cell r="F556" t="str">
            <v>태평양주류판매(주)</v>
          </cell>
        </row>
        <row r="557">
          <cell r="C557">
            <v>34741</v>
          </cell>
          <cell r="D557" t="str">
            <v>Busan</v>
          </cell>
          <cell r="E557" t="str">
            <v>김환성</v>
          </cell>
          <cell r="F557" t="str">
            <v>까치상사(합자)</v>
          </cell>
        </row>
        <row r="558">
          <cell r="C558">
            <v>33800</v>
          </cell>
          <cell r="D558" t="str">
            <v>Busan</v>
          </cell>
          <cell r="E558" t="str">
            <v>김환성</v>
          </cell>
          <cell r="F558" t="str">
            <v>삼양주류판매상사(유)</v>
          </cell>
        </row>
        <row r="559">
          <cell r="C559">
            <v>35957</v>
          </cell>
          <cell r="D559" t="str">
            <v>Busan</v>
          </cell>
          <cell r="E559" t="str">
            <v>김환성</v>
          </cell>
          <cell r="F559" t="str">
            <v>신진상사(주)창원</v>
          </cell>
        </row>
        <row r="560">
          <cell r="C560">
            <v>33846</v>
          </cell>
          <cell r="D560" t="str">
            <v>Busan</v>
          </cell>
          <cell r="E560" t="str">
            <v>김환성</v>
          </cell>
          <cell r="F560" t="str">
            <v>삼일주류판매상사(명)</v>
          </cell>
        </row>
        <row r="561">
          <cell r="C561">
            <v>33818</v>
          </cell>
          <cell r="D561" t="str">
            <v>Busan</v>
          </cell>
          <cell r="E561" t="str">
            <v>김환성</v>
          </cell>
          <cell r="F561" t="str">
            <v>에이스주류(유)</v>
          </cell>
        </row>
        <row r="562">
          <cell r="C562">
            <v>33798</v>
          </cell>
          <cell r="D562" t="str">
            <v>Busan</v>
          </cell>
          <cell r="E562" t="str">
            <v>김환성</v>
          </cell>
          <cell r="F562" t="str">
            <v>일신주류(주)</v>
          </cell>
        </row>
        <row r="563">
          <cell r="C563">
            <v>35201</v>
          </cell>
          <cell r="D563" t="str">
            <v>Busan</v>
          </cell>
          <cell r="E563" t="str">
            <v>김환성</v>
          </cell>
          <cell r="F563" t="str">
            <v>삼성주류판매상사</v>
          </cell>
        </row>
        <row r="564">
          <cell r="C564">
            <v>33586</v>
          </cell>
          <cell r="D564" t="str">
            <v>Busan</v>
          </cell>
          <cell r="E564" t="str">
            <v>김환성</v>
          </cell>
          <cell r="F564" t="str">
            <v>스파유통(주)</v>
          </cell>
        </row>
        <row r="565">
          <cell r="C565">
            <v>33623</v>
          </cell>
          <cell r="D565" t="str">
            <v>Busan</v>
          </cell>
          <cell r="E565" t="str">
            <v>김환성</v>
          </cell>
          <cell r="F565" t="str">
            <v>동일주류상사(주)</v>
          </cell>
        </row>
        <row r="566">
          <cell r="C566">
            <v>33640</v>
          </cell>
          <cell r="D566" t="str">
            <v>Busan</v>
          </cell>
          <cell r="E566" t="str">
            <v>김환성</v>
          </cell>
          <cell r="F566" t="str">
            <v>삼덕주류판매(주)</v>
          </cell>
        </row>
        <row r="567">
          <cell r="C567">
            <v>33585</v>
          </cell>
          <cell r="D567" t="str">
            <v>Busan</v>
          </cell>
          <cell r="E567" t="str">
            <v>김환성</v>
          </cell>
          <cell r="F567" t="str">
            <v>조양상사(주)</v>
          </cell>
        </row>
        <row r="568">
          <cell r="C568">
            <v>33647</v>
          </cell>
          <cell r="D568" t="str">
            <v>Busan</v>
          </cell>
          <cell r="E568" t="str">
            <v>김환성</v>
          </cell>
          <cell r="F568" t="str">
            <v>해림상사(주)</v>
          </cell>
        </row>
        <row r="569">
          <cell r="C569">
            <v>33644</v>
          </cell>
          <cell r="D569" t="str">
            <v>Busan</v>
          </cell>
          <cell r="E569" t="str">
            <v>김환성</v>
          </cell>
          <cell r="F569" t="str">
            <v>현대상사(주)</v>
          </cell>
        </row>
        <row r="570">
          <cell r="C570">
            <v>33650</v>
          </cell>
          <cell r="D570" t="str">
            <v>Busan</v>
          </cell>
          <cell r="E570" t="str">
            <v>김환성</v>
          </cell>
          <cell r="F570" t="str">
            <v>남산주류(자)</v>
          </cell>
        </row>
        <row r="571">
          <cell r="C571">
            <v>35482</v>
          </cell>
          <cell r="D571" t="str">
            <v>Busan</v>
          </cell>
          <cell r="E571" t="str">
            <v>김환성</v>
          </cell>
          <cell r="F571" t="str">
            <v>의춘주류판매상사(명)</v>
          </cell>
        </row>
        <row r="572">
          <cell r="C572">
            <v>36087</v>
          </cell>
          <cell r="D572" t="str">
            <v>Busan</v>
          </cell>
          <cell r="E572" t="str">
            <v>김환성</v>
          </cell>
          <cell r="F572" t="str">
            <v>의령주류판매상사(유)</v>
          </cell>
        </row>
        <row r="573">
          <cell r="C573">
            <v>34658</v>
          </cell>
          <cell r="D573" t="str">
            <v>Busan</v>
          </cell>
          <cell r="E573" t="str">
            <v>김환성</v>
          </cell>
          <cell r="F573" t="str">
            <v>장수주류(자)</v>
          </cell>
        </row>
        <row r="574">
          <cell r="C574">
            <v>33633</v>
          </cell>
          <cell r="D574" t="str">
            <v>Busan</v>
          </cell>
          <cell r="E574" t="str">
            <v>김환성</v>
          </cell>
          <cell r="F574" t="str">
            <v>부국상사(주)</v>
          </cell>
        </row>
        <row r="575">
          <cell r="C575">
            <v>33617</v>
          </cell>
          <cell r="D575" t="str">
            <v>Busan</v>
          </cell>
          <cell r="E575" t="str">
            <v>김환성</v>
          </cell>
          <cell r="F575" t="str">
            <v>동림상사(자)</v>
          </cell>
        </row>
        <row r="576">
          <cell r="C576">
            <v>33837</v>
          </cell>
          <cell r="D576" t="str">
            <v>Busan</v>
          </cell>
          <cell r="E576" t="str">
            <v>김환성</v>
          </cell>
          <cell r="F576" t="str">
            <v>대성종합주류(유)</v>
          </cell>
        </row>
        <row r="577">
          <cell r="C577">
            <v>33639</v>
          </cell>
          <cell r="D577" t="str">
            <v>Busan</v>
          </cell>
          <cell r="E577" t="str">
            <v>김환성</v>
          </cell>
          <cell r="F577" t="str">
            <v>백마(주)</v>
          </cell>
        </row>
        <row r="578">
          <cell r="C578">
            <v>33594</v>
          </cell>
          <cell r="D578" t="str">
            <v>Busan</v>
          </cell>
          <cell r="E578" t="str">
            <v>김환성</v>
          </cell>
          <cell r="F578" t="str">
            <v>남영주류(주)부산</v>
          </cell>
        </row>
        <row r="579">
          <cell r="C579">
            <v>35446</v>
          </cell>
          <cell r="D579" t="str">
            <v>Busan</v>
          </cell>
          <cell r="E579" t="str">
            <v>김환성</v>
          </cell>
          <cell r="F579" t="str">
            <v>리셋종합주류(주)</v>
          </cell>
        </row>
        <row r="580">
          <cell r="C580">
            <v>33838</v>
          </cell>
          <cell r="D580" t="str">
            <v>Busan</v>
          </cell>
          <cell r="E580" t="str">
            <v>김환성</v>
          </cell>
          <cell r="F580" t="str">
            <v>동광주류(주)</v>
          </cell>
        </row>
        <row r="581">
          <cell r="C581">
            <v>33843</v>
          </cell>
          <cell r="D581" t="str">
            <v>Busan</v>
          </cell>
          <cell r="E581" t="str">
            <v>김환성</v>
          </cell>
          <cell r="F581" t="str">
            <v>명우상사(유)</v>
          </cell>
        </row>
        <row r="582">
          <cell r="C582">
            <v>33590</v>
          </cell>
          <cell r="D582" t="str">
            <v>Busan</v>
          </cell>
          <cell r="E582" t="str">
            <v>김환성</v>
          </cell>
          <cell r="F582" t="str">
            <v>금호상사(합자)</v>
          </cell>
        </row>
        <row r="583">
          <cell r="C583">
            <v>33865</v>
          </cell>
          <cell r="D583" t="str">
            <v>Busan</v>
          </cell>
          <cell r="E583" t="str">
            <v>김환성</v>
          </cell>
          <cell r="F583" t="str">
            <v>왕건주류(주)</v>
          </cell>
        </row>
        <row r="584">
          <cell r="C584">
            <v>33616</v>
          </cell>
          <cell r="D584" t="str">
            <v>Busan</v>
          </cell>
          <cell r="E584" t="str">
            <v>김환성</v>
          </cell>
          <cell r="F584" t="str">
            <v>신우(주)</v>
          </cell>
        </row>
        <row r="585">
          <cell r="C585">
            <v>33606</v>
          </cell>
          <cell r="D585" t="str">
            <v>Busan</v>
          </cell>
          <cell r="E585" t="str">
            <v>김환성</v>
          </cell>
          <cell r="F585" t="str">
            <v>부영(주)</v>
          </cell>
        </row>
        <row r="586">
          <cell r="C586">
            <v>39789</v>
          </cell>
          <cell r="D586" t="str">
            <v>Busan</v>
          </cell>
          <cell r="E586" t="str">
            <v>김환성</v>
          </cell>
          <cell r="F586" t="str">
            <v>신진상사(합자)</v>
          </cell>
        </row>
        <row r="587">
          <cell r="C587">
            <v>33848</v>
          </cell>
          <cell r="D587" t="str">
            <v>Busan</v>
          </cell>
          <cell r="E587" t="str">
            <v>김환성</v>
          </cell>
          <cell r="F587" t="str">
            <v>부광주류판매 주식회사</v>
          </cell>
        </row>
        <row r="588">
          <cell r="C588">
            <v>35987</v>
          </cell>
          <cell r="D588" t="str">
            <v>Busan</v>
          </cell>
          <cell r="E588" t="str">
            <v>김환성</v>
          </cell>
          <cell r="F588" t="str">
            <v>동성주류(유)김해</v>
          </cell>
        </row>
        <row r="589">
          <cell r="C589">
            <v>35357</v>
          </cell>
          <cell r="D589" t="str">
            <v>Busan</v>
          </cell>
          <cell r="E589" t="str">
            <v>김환성</v>
          </cell>
          <cell r="F589" t="str">
            <v>서울주류판매상사(합)</v>
          </cell>
        </row>
        <row r="590">
          <cell r="C590">
            <v>35202</v>
          </cell>
          <cell r="D590" t="str">
            <v>Busan</v>
          </cell>
          <cell r="E590" t="str">
            <v>김환성</v>
          </cell>
          <cell r="F590" t="str">
            <v>마산주류판매상사(유)</v>
          </cell>
        </row>
        <row r="591">
          <cell r="C591">
            <v>36751</v>
          </cell>
          <cell r="D591" t="str">
            <v>Busan</v>
          </cell>
          <cell r="E591" t="str">
            <v>김환성</v>
          </cell>
          <cell r="F591" t="str">
            <v>고성주류판매상사(주)</v>
          </cell>
        </row>
        <row r="592">
          <cell r="C592">
            <v>35576</v>
          </cell>
          <cell r="D592" t="str">
            <v>Busan</v>
          </cell>
          <cell r="E592" t="str">
            <v>김환성</v>
          </cell>
          <cell r="F592" t="str">
            <v>진흥상사(합자)</v>
          </cell>
        </row>
        <row r="593">
          <cell r="C593">
            <v>35256</v>
          </cell>
          <cell r="D593" t="str">
            <v>Busan</v>
          </cell>
          <cell r="E593" t="str">
            <v>김환성</v>
          </cell>
          <cell r="F593" t="str">
            <v>경호주류판매(주)</v>
          </cell>
        </row>
        <row r="594">
          <cell r="C594">
            <v>37657</v>
          </cell>
          <cell r="D594" t="str">
            <v>Busan</v>
          </cell>
          <cell r="E594" t="str">
            <v>김환성</v>
          </cell>
          <cell r="F594" t="str">
            <v>신합동주류판매상사(유)</v>
          </cell>
        </row>
        <row r="595">
          <cell r="C595">
            <v>38209</v>
          </cell>
          <cell r="D595" t="str">
            <v>Busan</v>
          </cell>
          <cell r="E595" t="str">
            <v>김환성</v>
          </cell>
          <cell r="F595" t="str">
            <v>삼성상사(합자)</v>
          </cell>
        </row>
        <row r="596">
          <cell r="C596">
            <v>37948</v>
          </cell>
          <cell r="D596" t="str">
            <v>Busan</v>
          </cell>
          <cell r="E596" t="str">
            <v>김환성</v>
          </cell>
          <cell r="F596" t="str">
            <v>금보주류(유)</v>
          </cell>
        </row>
        <row r="597">
          <cell r="C597">
            <v>37672</v>
          </cell>
          <cell r="D597" t="str">
            <v>Busan</v>
          </cell>
          <cell r="E597" t="str">
            <v>김환성</v>
          </cell>
          <cell r="F597" t="str">
            <v>대한상사(자)</v>
          </cell>
        </row>
        <row r="598">
          <cell r="C598">
            <v>83848</v>
          </cell>
          <cell r="D598" t="str">
            <v>Busan</v>
          </cell>
          <cell r="E598" t="str">
            <v>김환성</v>
          </cell>
          <cell r="F598" t="str">
            <v>(주)금성종합주류</v>
          </cell>
        </row>
        <row r="599">
          <cell r="C599">
            <v>85619</v>
          </cell>
          <cell r="D599" t="str">
            <v>Busan</v>
          </cell>
          <cell r="E599" t="str">
            <v>김환성</v>
          </cell>
          <cell r="F599" t="str">
            <v>신일주류(유)_맥구피</v>
          </cell>
        </row>
        <row r="600">
          <cell r="C600">
            <v>85814</v>
          </cell>
          <cell r="D600" t="str">
            <v>Busan</v>
          </cell>
          <cell r="E600" t="str">
            <v>김환성</v>
          </cell>
          <cell r="F600" t="str">
            <v>신세계수입주류(합)_고래맥주창고</v>
          </cell>
        </row>
        <row r="601">
          <cell r="C601">
            <v>85937</v>
          </cell>
          <cell r="D601" t="str">
            <v>Busan</v>
          </cell>
          <cell r="E601" t="str">
            <v>김태훈</v>
          </cell>
          <cell r="F601" t="str">
            <v>롯데지알에스 주식회사</v>
          </cell>
        </row>
        <row r="602">
          <cell r="C602">
            <v>80452</v>
          </cell>
          <cell r="D602" t="str">
            <v>Busan</v>
          </cell>
          <cell r="E602" t="str">
            <v>김환성</v>
          </cell>
          <cell r="F602" t="str">
            <v>부광(주)타니</v>
          </cell>
        </row>
        <row r="603">
          <cell r="C603">
            <v>39834</v>
          </cell>
          <cell r="D603" t="str">
            <v>Busan</v>
          </cell>
          <cell r="E603" t="str">
            <v>김환성</v>
          </cell>
          <cell r="F603" t="str">
            <v>부광(주)더베이101</v>
          </cell>
        </row>
        <row r="604">
          <cell r="C604">
            <v>80259</v>
          </cell>
          <cell r="D604" t="str">
            <v>Busan</v>
          </cell>
          <cell r="E604" t="str">
            <v>김환성</v>
          </cell>
          <cell r="F604" t="str">
            <v>성광종합주류(주)CJ</v>
          </cell>
        </row>
        <row r="605">
          <cell r="C605">
            <v>33649</v>
          </cell>
          <cell r="D605" t="str">
            <v>Busan</v>
          </cell>
          <cell r="E605" t="str">
            <v>김환성</v>
          </cell>
          <cell r="F605" t="str">
            <v>세정주류주식회사</v>
          </cell>
        </row>
        <row r="606">
          <cell r="C606">
            <v>33835</v>
          </cell>
          <cell r="D606" t="str">
            <v>Busan</v>
          </cell>
          <cell r="E606" t="str">
            <v>김환성</v>
          </cell>
          <cell r="F606" t="str">
            <v>진성주류(유)</v>
          </cell>
        </row>
        <row r="607">
          <cell r="C607">
            <v>33823</v>
          </cell>
          <cell r="D607" t="str">
            <v>Busan</v>
          </cell>
          <cell r="E607" t="str">
            <v>김환성</v>
          </cell>
          <cell r="F607" t="str">
            <v>세일주류(유)</v>
          </cell>
        </row>
        <row r="608">
          <cell r="C608">
            <v>33624</v>
          </cell>
          <cell r="D608" t="str">
            <v>Busan</v>
          </cell>
          <cell r="E608" t="str">
            <v>김환성</v>
          </cell>
          <cell r="F608" t="str">
            <v>쓰리원(주)</v>
          </cell>
        </row>
        <row r="609">
          <cell r="C609">
            <v>38938</v>
          </cell>
          <cell r="D609" t="str">
            <v>Busan</v>
          </cell>
          <cell r="E609" t="str">
            <v>김환성</v>
          </cell>
          <cell r="F609" t="str">
            <v>시화주류 주식회사</v>
          </cell>
        </row>
        <row r="610">
          <cell r="C610">
            <v>85940</v>
          </cell>
          <cell r="D610" t="str">
            <v>Busan</v>
          </cell>
          <cell r="E610" t="str">
            <v>김환성</v>
          </cell>
          <cell r="F610" t="str">
            <v>삼덕주류판매(주)_백산맥주</v>
          </cell>
        </row>
        <row r="611">
          <cell r="C611">
            <v>36627</v>
          </cell>
          <cell r="D611" t="str">
            <v>Busan</v>
          </cell>
          <cell r="E611" t="str">
            <v>김환성</v>
          </cell>
          <cell r="F611" t="str">
            <v>만화상사(유)</v>
          </cell>
        </row>
        <row r="612">
          <cell r="C612">
            <v>86165</v>
          </cell>
          <cell r="D612" t="str">
            <v>Busan</v>
          </cell>
          <cell r="E612" t="str">
            <v>김환성</v>
          </cell>
          <cell r="F612" t="str">
            <v>신세계수입주류(합)_썰스데이파티</v>
          </cell>
        </row>
        <row r="613">
          <cell r="C613">
            <v>34025</v>
          </cell>
          <cell r="D613" t="str">
            <v>Jeju</v>
          </cell>
          <cell r="E613" t="str">
            <v>김태현</v>
          </cell>
          <cell r="F613" t="str">
            <v>세계물산주식회사</v>
          </cell>
        </row>
        <row r="614">
          <cell r="C614">
            <v>34033</v>
          </cell>
          <cell r="D614" t="str">
            <v>Jeju</v>
          </cell>
          <cell r="E614" t="str">
            <v>김태현</v>
          </cell>
          <cell r="F614" t="str">
            <v>동천(주)</v>
          </cell>
        </row>
        <row r="615">
          <cell r="C615">
            <v>34024</v>
          </cell>
          <cell r="D615" t="str">
            <v>Jeju</v>
          </cell>
          <cell r="E615" t="str">
            <v>김태현</v>
          </cell>
          <cell r="F615" t="str">
            <v>제일주류주식회사</v>
          </cell>
        </row>
        <row r="616">
          <cell r="C616">
            <v>34030</v>
          </cell>
          <cell r="D616" t="str">
            <v>Jeju</v>
          </cell>
          <cell r="E616" t="str">
            <v>김태현</v>
          </cell>
          <cell r="F616" t="str">
            <v>삼정물산(유)</v>
          </cell>
        </row>
        <row r="617">
          <cell r="C617">
            <v>34038</v>
          </cell>
          <cell r="D617" t="str">
            <v>Jeju</v>
          </cell>
          <cell r="E617" t="str">
            <v>김태현</v>
          </cell>
          <cell r="F617" t="str">
            <v>화림물산(유)</v>
          </cell>
        </row>
        <row r="618">
          <cell r="C618">
            <v>34026</v>
          </cell>
          <cell r="D618" t="str">
            <v>Jeju</v>
          </cell>
          <cell r="E618" t="str">
            <v>김태현</v>
          </cell>
          <cell r="F618" t="str">
            <v>우일상사(유)</v>
          </cell>
        </row>
        <row r="619">
          <cell r="C619">
            <v>34032</v>
          </cell>
          <cell r="D619" t="str">
            <v>Jeju</v>
          </cell>
          <cell r="E619" t="str">
            <v>김태현</v>
          </cell>
          <cell r="F619" t="str">
            <v>신흥물산(유)</v>
          </cell>
        </row>
        <row r="620">
          <cell r="C620">
            <v>34043</v>
          </cell>
          <cell r="D620" t="str">
            <v>Jeju</v>
          </cell>
          <cell r="E620" t="str">
            <v>김태현</v>
          </cell>
          <cell r="F620" t="str">
            <v>주성물산 주식회사</v>
          </cell>
        </row>
        <row r="621">
          <cell r="C621">
            <v>34041</v>
          </cell>
          <cell r="D621" t="str">
            <v>Jeju</v>
          </cell>
          <cell r="E621" t="str">
            <v>김태현</v>
          </cell>
          <cell r="F621" t="str">
            <v>경민유통(주)</v>
          </cell>
        </row>
        <row r="622">
          <cell r="C622">
            <v>34031</v>
          </cell>
          <cell r="D622" t="str">
            <v>Jeju</v>
          </cell>
          <cell r="E622" t="str">
            <v>김태현</v>
          </cell>
          <cell r="F622" t="str">
            <v>영진(주)</v>
          </cell>
        </row>
        <row r="623">
          <cell r="C623">
            <v>34034</v>
          </cell>
          <cell r="D623" t="str">
            <v>Jeju</v>
          </cell>
          <cell r="E623" t="str">
            <v>김태현</v>
          </cell>
          <cell r="F623" t="str">
            <v>세광(주)</v>
          </cell>
        </row>
        <row r="624">
          <cell r="C624">
            <v>34047</v>
          </cell>
          <cell r="D624" t="str">
            <v>Jeju</v>
          </cell>
          <cell r="E624" t="str">
            <v>김태현</v>
          </cell>
          <cell r="F624" t="str">
            <v>용성물산(유)</v>
          </cell>
        </row>
        <row r="625">
          <cell r="C625">
            <v>34028</v>
          </cell>
          <cell r="D625" t="str">
            <v>Jeju</v>
          </cell>
          <cell r="E625" t="str">
            <v>김태현</v>
          </cell>
          <cell r="F625" t="str">
            <v>제주물산(유)</v>
          </cell>
        </row>
        <row r="626">
          <cell r="C626">
            <v>34050</v>
          </cell>
          <cell r="D626" t="str">
            <v>Jeju</v>
          </cell>
          <cell r="E626" t="str">
            <v>김태현</v>
          </cell>
          <cell r="F626" t="str">
            <v>경희 주식회사</v>
          </cell>
        </row>
        <row r="627">
          <cell r="C627">
            <v>34039</v>
          </cell>
          <cell r="D627" t="str">
            <v>Jeju</v>
          </cell>
          <cell r="E627" t="str">
            <v>김태현</v>
          </cell>
          <cell r="F627" t="str">
            <v>대안물산(주)</v>
          </cell>
        </row>
        <row r="628">
          <cell r="C628">
            <v>34042</v>
          </cell>
          <cell r="D628" t="str">
            <v>Jeju</v>
          </cell>
          <cell r="E628" t="str">
            <v>김태현</v>
          </cell>
          <cell r="F628" t="str">
            <v>우주물산(주)</v>
          </cell>
        </row>
        <row r="629">
          <cell r="C629">
            <v>34051</v>
          </cell>
          <cell r="D629" t="str">
            <v>Jeju</v>
          </cell>
          <cell r="E629" t="str">
            <v>김태현</v>
          </cell>
          <cell r="F629" t="str">
            <v>조일상사(유)</v>
          </cell>
        </row>
        <row r="630">
          <cell r="C630">
            <v>34035</v>
          </cell>
          <cell r="D630" t="str">
            <v>Jeju</v>
          </cell>
          <cell r="E630" t="str">
            <v>김태현</v>
          </cell>
          <cell r="F630" t="str">
            <v>하나(주)</v>
          </cell>
        </row>
        <row r="631">
          <cell r="C631">
            <v>34044</v>
          </cell>
          <cell r="D631" t="str">
            <v>Jeju</v>
          </cell>
          <cell r="E631" t="str">
            <v>김태현</v>
          </cell>
          <cell r="F631" t="str">
            <v>개화물산(유)</v>
          </cell>
        </row>
        <row r="632">
          <cell r="C632">
            <v>35536</v>
          </cell>
          <cell r="D632" t="str">
            <v>Jeju</v>
          </cell>
          <cell r="E632" t="str">
            <v>김태현</v>
          </cell>
          <cell r="F632" t="str">
            <v>그린 유한회사</v>
          </cell>
        </row>
        <row r="633">
          <cell r="C633">
            <v>34046</v>
          </cell>
          <cell r="D633" t="str">
            <v>Jeju</v>
          </cell>
          <cell r="E633" t="str">
            <v>김태현</v>
          </cell>
          <cell r="F633" t="str">
            <v>노나(주)</v>
          </cell>
        </row>
        <row r="634">
          <cell r="C634">
            <v>34437</v>
          </cell>
          <cell r="D634" t="str">
            <v>Jeju</v>
          </cell>
          <cell r="E634" t="str">
            <v>김태현</v>
          </cell>
          <cell r="F634" t="str">
            <v>덕성물산유한회사</v>
          </cell>
        </row>
        <row r="635">
          <cell r="C635">
            <v>34040</v>
          </cell>
          <cell r="D635" t="str">
            <v>Jeju</v>
          </cell>
          <cell r="E635" t="str">
            <v>김태현</v>
          </cell>
          <cell r="F635" t="str">
            <v>벽상주류(주)</v>
          </cell>
        </row>
        <row r="636">
          <cell r="C636">
            <v>34045</v>
          </cell>
          <cell r="D636" t="str">
            <v>Jeju</v>
          </cell>
          <cell r="E636" t="str">
            <v>김태현</v>
          </cell>
          <cell r="F636" t="str">
            <v>일신물산(유)</v>
          </cell>
        </row>
        <row r="637">
          <cell r="C637">
            <v>36194</v>
          </cell>
          <cell r="D637" t="str">
            <v>Jeju</v>
          </cell>
          <cell r="E637" t="str">
            <v>김태현</v>
          </cell>
          <cell r="F637" t="str">
            <v>제원물산(유)</v>
          </cell>
        </row>
        <row r="638">
          <cell r="C638">
            <v>34027</v>
          </cell>
          <cell r="D638" t="str">
            <v>Jeju</v>
          </cell>
          <cell r="E638" t="str">
            <v>김태현</v>
          </cell>
          <cell r="F638" t="str">
            <v>영주물산(주)</v>
          </cell>
        </row>
        <row r="639">
          <cell r="C639">
            <v>39057</v>
          </cell>
          <cell r="D639" t="str">
            <v>Jeju</v>
          </cell>
          <cell r="E639" t="str">
            <v>김태현</v>
          </cell>
          <cell r="F639" t="str">
            <v>만억주류(주)</v>
          </cell>
        </row>
        <row r="640">
          <cell r="C640">
            <v>37233</v>
          </cell>
          <cell r="D640" t="str">
            <v>Jeju</v>
          </cell>
          <cell r="E640" t="str">
            <v>김태현</v>
          </cell>
          <cell r="F640" t="str">
            <v>대성물산(주)</v>
          </cell>
        </row>
        <row r="641">
          <cell r="C641">
            <v>34438</v>
          </cell>
          <cell r="D641" t="str">
            <v>Jeju</v>
          </cell>
          <cell r="E641" t="str">
            <v>김태현</v>
          </cell>
          <cell r="F641" t="str">
            <v>골드(주)</v>
          </cell>
        </row>
        <row r="642">
          <cell r="C642">
            <v>80638</v>
          </cell>
          <cell r="D642" t="str">
            <v>Jeju</v>
          </cell>
          <cell r="E642" t="str">
            <v>김태현</v>
          </cell>
          <cell r="F642" t="str">
            <v>태양주류 주식회사</v>
          </cell>
        </row>
        <row r="643">
          <cell r="C643">
            <v>36668</v>
          </cell>
          <cell r="D643" t="str">
            <v>Jeju</v>
          </cell>
          <cell r="E643" t="str">
            <v>김태현</v>
          </cell>
          <cell r="F643" t="str">
            <v>천지물산</v>
          </cell>
        </row>
        <row r="644">
          <cell r="C644">
            <v>83768</v>
          </cell>
          <cell r="D644" t="str">
            <v>Jeju</v>
          </cell>
          <cell r="E644" t="str">
            <v>김태현</v>
          </cell>
          <cell r="F644" t="str">
            <v>프레시스(주)</v>
          </cell>
        </row>
        <row r="645">
          <cell r="C645">
            <v>85634</v>
          </cell>
          <cell r="D645" t="str">
            <v>Jeju</v>
          </cell>
          <cell r="E645" t="str">
            <v>김태현</v>
          </cell>
          <cell r="F645" t="str">
            <v>주식회사 대명주류</v>
          </cell>
        </row>
        <row r="646">
          <cell r="C646">
            <v>86319</v>
          </cell>
          <cell r="D646" t="str">
            <v>Daegu</v>
          </cell>
          <cell r="E646" t="str">
            <v>김태경</v>
          </cell>
          <cell r="F646" t="str">
            <v>제논컴퍼니</v>
          </cell>
        </row>
        <row r="647">
          <cell r="C647">
            <v>33707</v>
          </cell>
          <cell r="D647" t="str">
            <v>Daegu</v>
          </cell>
          <cell r="E647" t="str">
            <v>김태경</v>
          </cell>
          <cell r="F647" t="str">
            <v>세계주류상사(주)대구</v>
          </cell>
        </row>
        <row r="648">
          <cell r="C648">
            <v>33777</v>
          </cell>
          <cell r="D648" t="str">
            <v>Daegu</v>
          </cell>
          <cell r="E648" t="str">
            <v>김태경</v>
          </cell>
          <cell r="F648" t="str">
            <v>황재주류(주)</v>
          </cell>
        </row>
        <row r="649">
          <cell r="C649">
            <v>33701</v>
          </cell>
          <cell r="D649" t="str">
            <v>Daegu</v>
          </cell>
          <cell r="E649" t="str">
            <v>김태경</v>
          </cell>
          <cell r="F649" t="str">
            <v>대림주류유통(주)</v>
          </cell>
        </row>
        <row r="650">
          <cell r="C650">
            <v>80200</v>
          </cell>
          <cell r="D650" t="str">
            <v>Daegu</v>
          </cell>
          <cell r="E650" t="str">
            <v>김태경</v>
          </cell>
          <cell r="F650" t="str">
            <v>에이리커컴퍼니</v>
          </cell>
        </row>
        <row r="651">
          <cell r="C651">
            <v>84012</v>
          </cell>
          <cell r="D651" t="str">
            <v>Daegu</v>
          </cell>
          <cell r="E651" t="str">
            <v>김태경</v>
          </cell>
          <cell r="F651" t="str">
            <v>에이리커컴퍼니_GOVASON</v>
          </cell>
        </row>
        <row r="652">
          <cell r="C652">
            <v>33703</v>
          </cell>
          <cell r="D652" t="str">
            <v>Daegu</v>
          </cell>
          <cell r="E652" t="str">
            <v>김태경</v>
          </cell>
          <cell r="F652" t="str">
            <v>대흥주류(주)</v>
          </cell>
        </row>
        <row r="653">
          <cell r="C653">
            <v>35394</v>
          </cell>
          <cell r="D653" t="str">
            <v>Daegu</v>
          </cell>
          <cell r="E653" t="str">
            <v>김태경</v>
          </cell>
          <cell r="F653" t="str">
            <v>우리주류</v>
          </cell>
        </row>
        <row r="654">
          <cell r="C654">
            <v>33753</v>
          </cell>
          <cell r="D654" t="str">
            <v>Daegu</v>
          </cell>
          <cell r="E654" t="str">
            <v>김태경</v>
          </cell>
          <cell r="F654" t="str">
            <v>풍산주류(주)</v>
          </cell>
        </row>
        <row r="655">
          <cell r="C655">
            <v>36773</v>
          </cell>
          <cell r="D655" t="str">
            <v>Daegu</v>
          </cell>
          <cell r="E655" t="str">
            <v>김태경</v>
          </cell>
          <cell r="F655" t="str">
            <v>화산세계주류주식회사</v>
          </cell>
        </row>
        <row r="656">
          <cell r="C656">
            <v>83721</v>
          </cell>
          <cell r="D656" t="str">
            <v>Daegu</v>
          </cell>
          <cell r="E656" t="str">
            <v>김태경</v>
          </cell>
          <cell r="F656" t="str">
            <v>화산세계주류주식회사_20LDK</v>
          </cell>
        </row>
        <row r="657">
          <cell r="C657">
            <v>80127</v>
          </cell>
          <cell r="D657" t="str">
            <v>Daegu</v>
          </cell>
          <cell r="E657" t="str">
            <v>김태경</v>
          </cell>
          <cell r="F657" t="str">
            <v>경성주류(주)</v>
          </cell>
        </row>
        <row r="658">
          <cell r="C658">
            <v>34426</v>
          </cell>
          <cell r="D658" t="str">
            <v>Daegu</v>
          </cell>
          <cell r="E658" t="str">
            <v>김태경</v>
          </cell>
          <cell r="F658" t="str">
            <v>두성주류(주)</v>
          </cell>
        </row>
        <row r="659">
          <cell r="C659">
            <v>33683</v>
          </cell>
          <cell r="D659" t="str">
            <v>Daegu</v>
          </cell>
          <cell r="E659" t="str">
            <v>김태경</v>
          </cell>
          <cell r="F659" t="str">
            <v>두산상사(주)</v>
          </cell>
        </row>
        <row r="660">
          <cell r="C660">
            <v>37216</v>
          </cell>
          <cell r="D660" t="str">
            <v>Daegu</v>
          </cell>
          <cell r="E660" t="str">
            <v>김태경</v>
          </cell>
          <cell r="F660" t="str">
            <v>두산상사(주)CJ</v>
          </cell>
        </row>
        <row r="661">
          <cell r="C661">
            <v>33706</v>
          </cell>
          <cell r="D661" t="str">
            <v>Daegu</v>
          </cell>
          <cell r="E661" t="str">
            <v>김태경</v>
          </cell>
          <cell r="F661" t="str">
            <v>호담주류</v>
          </cell>
        </row>
        <row r="662">
          <cell r="C662">
            <v>84148</v>
          </cell>
          <cell r="D662" t="str">
            <v>Daegu</v>
          </cell>
          <cell r="E662" t="str">
            <v>김태경</v>
          </cell>
          <cell r="F662" t="str">
            <v>호담주류_GOVASON</v>
          </cell>
        </row>
        <row r="663">
          <cell r="C663">
            <v>33692</v>
          </cell>
          <cell r="D663" t="str">
            <v>Daegu</v>
          </cell>
          <cell r="E663" t="str">
            <v>김태경</v>
          </cell>
          <cell r="F663" t="str">
            <v>오성주류판매(주)</v>
          </cell>
        </row>
        <row r="664">
          <cell r="C664">
            <v>33748</v>
          </cell>
          <cell r="D664" t="str">
            <v>Daegu</v>
          </cell>
          <cell r="E664" t="str">
            <v>김태경</v>
          </cell>
          <cell r="F664" t="str">
            <v>금강기업(유)</v>
          </cell>
        </row>
        <row r="665">
          <cell r="C665">
            <v>33686</v>
          </cell>
          <cell r="D665" t="str">
            <v>Daegu</v>
          </cell>
          <cell r="E665" t="str">
            <v>김태경</v>
          </cell>
          <cell r="F665" t="str">
            <v>대덕주류(주)대구</v>
          </cell>
        </row>
        <row r="666">
          <cell r="C666">
            <v>33781</v>
          </cell>
          <cell r="D666" t="str">
            <v>Daegu</v>
          </cell>
          <cell r="E666" t="str">
            <v>김태경</v>
          </cell>
          <cell r="F666" t="str">
            <v>대동주류상사(주)</v>
          </cell>
        </row>
        <row r="667">
          <cell r="C667">
            <v>33723</v>
          </cell>
          <cell r="D667" t="str">
            <v>Daegu</v>
          </cell>
          <cell r="E667" t="str">
            <v>김태경</v>
          </cell>
          <cell r="F667" t="str">
            <v>대명상사(주)</v>
          </cell>
        </row>
        <row r="668">
          <cell r="C668">
            <v>33702</v>
          </cell>
          <cell r="D668" t="str">
            <v>Daegu</v>
          </cell>
          <cell r="E668" t="str">
            <v>김태경</v>
          </cell>
          <cell r="F668" t="str">
            <v>대양종합물류(주)</v>
          </cell>
        </row>
        <row r="669">
          <cell r="C669">
            <v>33733</v>
          </cell>
          <cell r="D669" t="str">
            <v>Daegu</v>
          </cell>
          <cell r="E669" t="str">
            <v>김태경</v>
          </cell>
          <cell r="F669" t="str">
            <v>대영주류(유)</v>
          </cell>
        </row>
        <row r="670">
          <cell r="C670">
            <v>33746</v>
          </cell>
          <cell r="D670" t="str">
            <v>Daegu</v>
          </cell>
          <cell r="E670" t="str">
            <v>김태경</v>
          </cell>
          <cell r="F670" t="str">
            <v>대일상사(유)</v>
          </cell>
        </row>
        <row r="671">
          <cell r="C671">
            <v>33684</v>
          </cell>
          <cell r="D671" t="str">
            <v>Daegu</v>
          </cell>
          <cell r="E671" t="str">
            <v>김태경</v>
          </cell>
          <cell r="F671" t="str">
            <v>명성상사(합자)</v>
          </cell>
        </row>
        <row r="672">
          <cell r="C672">
            <v>33729</v>
          </cell>
          <cell r="D672" t="str">
            <v>Daegu</v>
          </cell>
          <cell r="E672" t="str">
            <v>김태경</v>
          </cell>
          <cell r="F672" t="str">
            <v>북부주류판매(주)</v>
          </cell>
        </row>
        <row r="673">
          <cell r="C673">
            <v>33690</v>
          </cell>
          <cell r="D673" t="str">
            <v>Daegu</v>
          </cell>
          <cell r="E673" t="str">
            <v>김태경</v>
          </cell>
          <cell r="F673" t="str">
            <v>삼화산업(주)</v>
          </cell>
        </row>
        <row r="674">
          <cell r="C674">
            <v>33769</v>
          </cell>
          <cell r="D674" t="str">
            <v>Daegu</v>
          </cell>
          <cell r="E674" t="str">
            <v>김태경</v>
          </cell>
          <cell r="F674" t="str">
            <v>상주기업(유)</v>
          </cell>
        </row>
        <row r="675">
          <cell r="C675">
            <v>33717</v>
          </cell>
          <cell r="D675" t="str">
            <v>Daegu</v>
          </cell>
          <cell r="E675" t="str">
            <v>김태경</v>
          </cell>
          <cell r="F675" t="str">
            <v>서부상사(주)</v>
          </cell>
        </row>
        <row r="676">
          <cell r="C676">
            <v>33751</v>
          </cell>
          <cell r="D676" t="str">
            <v>Daegu</v>
          </cell>
          <cell r="E676" t="str">
            <v>김태경</v>
          </cell>
          <cell r="F676" t="str">
            <v>안동주류판매(주)</v>
          </cell>
        </row>
        <row r="677">
          <cell r="C677">
            <v>34854</v>
          </cell>
          <cell r="D677" t="str">
            <v>Daegu</v>
          </cell>
          <cell r="E677" t="str">
            <v>김태경</v>
          </cell>
          <cell r="F677" t="str">
            <v>안동중앙주류(주)</v>
          </cell>
        </row>
        <row r="678">
          <cell r="C678">
            <v>33755</v>
          </cell>
          <cell r="D678" t="str">
            <v>Daegu</v>
          </cell>
          <cell r="E678" t="str">
            <v>김태경</v>
          </cell>
          <cell r="F678" t="str">
            <v>영광주류(자)</v>
          </cell>
        </row>
        <row r="679">
          <cell r="C679">
            <v>33768</v>
          </cell>
          <cell r="D679" t="str">
            <v>Daegu</v>
          </cell>
          <cell r="E679" t="str">
            <v>김태경</v>
          </cell>
          <cell r="F679" t="str">
            <v>하나종합주류(유한)</v>
          </cell>
        </row>
        <row r="680">
          <cell r="C680">
            <v>33728</v>
          </cell>
          <cell r="D680" t="str">
            <v>Daegu</v>
          </cell>
          <cell r="E680" t="str">
            <v>김태경</v>
          </cell>
          <cell r="F680" t="str">
            <v>한국주류(주)</v>
          </cell>
        </row>
        <row r="681">
          <cell r="C681">
            <v>33712</v>
          </cell>
          <cell r="D681" t="str">
            <v>Daegu</v>
          </cell>
          <cell r="E681" t="str">
            <v>김태경</v>
          </cell>
          <cell r="F681" t="str">
            <v>한성상사(주)</v>
          </cell>
        </row>
        <row r="682">
          <cell r="C682">
            <v>33786</v>
          </cell>
          <cell r="D682" t="str">
            <v>Daegu</v>
          </cell>
          <cell r="E682" t="str">
            <v>김태경</v>
          </cell>
          <cell r="F682" t="str">
            <v>한양기업 합자회사</v>
          </cell>
        </row>
        <row r="683">
          <cell r="C683">
            <v>33708</v>
          </cell>
          <cell r="D683" t="str">
            <v>Daegu</v>
          </cell>
          <cell r="E683" t="str">
            <v>김태경</v>
          </cell>
          <cell r="F683" t="str">
            <v>한일주류판매(주)</v>
          </cell>
        </row>
        <row r="684">
          <cell r="C684">
            <v>33725</v>
          </cell>
          <cell r="D684" t="str">
            <v>Daegu</v>
          </cell>
          <cell r="E684" t="str">
            <v>김태경</v>
          </cell>
          <cell r="F684" t="str">
            <v>한진산업(자)</v>
          </cell>
        </row>
        <row r="685">
          <cell r="C685">
            <v>84147</v>
          </cell>
          <cell r="D685" t="str">
            <v>Daegu</v>
          </cell>
          <cell r="E685" t="str">
            <v>김태경</v>
          </cell>
          <cell r="F685" t="str">
            <v>한진산업(자)_GOVASON</v>
          </cell>
        </row>
        <row r="686">
          <cell r="C686">
            <v>36622</v>
          </cell>
          <cell r="D686" t="str">
            <v>Daegu</v>
          </cell>
          <cell r="E686" t="str">
            <v>김태경</v>
          </cell>
          <cell r="F686" t="str">
            <v>함창기업(유)</v>
          </cell>
        </row>
        <row r="687">
          <cell r="C687">
            <v>33743</v>
          </cell>
          <cell r="D687" t="str">
            <v>Daegu</v>
          </cell>
          <cell r="E687" t="str">
            <v>김태경</v>
          </cell>
          <cell r="F687" t="str">
            <v>해동상사(주)</v>
          </cell>
        </row>
        <row r="688">
          <cell r="C688">
            <v>33742</v>
          </cell>
          <cell r="D688" t="str">
            <v>Daegu</v>
          </cell>
          <cell r="E688" t="str">
            <v>김태경</v>
          </cell>
          <cell r="F688" t="str">
            <v>화진주류유한회사</v>
          </cell>
        </row>
        <row r="689">
          <cell r="C689">
            <v>33685</v>
          </cell>
          <cell r="D689" t="str">
            <v>Daegu</v>
          </cell>
          <cell r="E689" t="str">
            <v>김태경</v>
          </cell>
          <cell r="F689" t="str">
            <v>화창주류(주)</v>
          </cell>
        </row>
        <row r="690">
          <cell r="C690">
            <v>33771</v>
          </cell>
          <cell r="D690" t="str">
            <v>Daegu</v>
          </cell>
          <cell r="E690" t="str">
            <v>김태경</v>
          </cell>
          <cell r="F690" t="str">
            <v>제일상사(자)</v>
          </cell>
        </row>
        <row r="691">
          <cell r="C691">
            <v>33687</v>
          </cell>
          <cell r="D691" t="str">
            <v>Daegu</v>
          </cell>
          <cell r="E691" t="str">
            <v>김태경</v>
          </cell>
          <cell r="F691" t="str">
            <v>신흥기업(자)</v>
          </cell>
        </row>
        <row r="692">
          <cell r="C692">
            <v>33718</v>
          </cell>
          <cell r="D692" t="str">
            <v>Daegu</v>
          </cell>
          <cell r="E692" t="str">
            <v>김태경</v>
          </cell>
          <cell r="F692" t="str">
            <v>동양주류(주)</v>
          </cell>
        </row>
        <row r="693">
          <cell r="C693">
            <v>35141</v>
          </cell>
          <cell r="D693" t="str">
            <v>Daegu</v>
          </cell>
          <cell r="E693" t="str">
            <v>김태경</v>
          </cell>
          <cell r="F693" t="str">
            <v>남부주류(주)</v>
          </cell>
        </row>
        <row r="694">
          <cell r="C694">
            <v>33713</v>
          </cell>
          <cell r="D694" t="str">
            <v>Daegu</v>
          </cell>
          <cell r="E694" t="str">
            <v>김태경</v>
          </cell>
          <cell r="F694" t="str">
            <v>에스엠종합주류</v>
          </cell>
        </row>
        <row r="695">
          <cell r="C695">
            <v>33722</v>
          </cell>
          <cell r="D695" t="str">
            <v>Daegu</v>
          </cell>
          <cell r="E695" t="str">
            <v>김태경</v>
          </cell>
          <cell r="F695" t="str">
            <v>동부주류판매(주)</v>
          </cell>
        </row>
        <row r="696">
          <cell r="C696">
            <v>35111</v>
          </cell>
          <cell r="D696" t="str">
            <v>Daegu</v>
          </cell>
          <cell r="E696" t="str">
            <v>김태경</v>
          </cell>
          <cell r="F696" t="str">
            <v>성광주류(자)</v>
          </cell>
        </row>
        <row r="697">
          <cell r="C697">
            <v>33738</v>
          </cell>
          <cell r="D697" t="str">
            <v>Daegu</v>
          </cell>
          <cell r="E697" t="str">
            <v>김태경</v>
          </cell>
          <cell r="F697" t="str">
            <v>아성주류판매(유)</v>
          </cell>
        </row>
        <row r="698">
          <cell r="C698">
            <v>33694</v>
          </cell>
          <cell r="D698" t="str">
            <v>Daegu</v>
          </cell>
          <cell r="E698" t="str">
            <v>김태경</v>
          </cell>
          <cell r="F698" t="str">
            <v>중앙주류(주)</v>
          </cell>
        </row>
        <row r="699">
          <cell r="C699">
            <v>33772</v>
          </cell>
          <cell r="D699" t="str">
            <v>Daegu</v>
          </cell>
          <cell r="E699" t="str">
            <v>김태경</v>
          </cell>
          <cell r="F699" t="str">
            <v>동일상사(유한)</v>
          </cell>
        </row>
        <row r="700">
          <cell r="C700">
            <v>33695</v>
          </cell>
          <cell r="D700" t="str">
            <v>Daegu</v>
          </cell>
          <cell r="E700" t="str">
            <v>김태경</v>
          </cell>
          <cell r="F700" t="str">
            <v>경북주류판매(주)</v>
          </cell>
        </row>
        <row r="701">
          <cell r="C701">
            <v>33749</v>
          </cell>
          <cell r="D701" t="str">
            <v>Daegu</v>
          </cell>
          <cell r="E701" t="str">
            <v>김태경</v>
          </cell>
          <cell r="F701" t="str">
            <v>삼광산업(자)</v>
          </cell>
        </row>
        <row r="702">
          <cell r="C702">
            <v>33752</v>
          </cell>
          <cell r="D702" t="str">
            <v>Daegu</v>
          </cell>
          <cell r="E702" t="str">
            <v>김태경</v>
          </cell>
          <cell r="F702" t="str">
            <v>경일주류(주)</v>
          </cell>
        </row>
        <row r="703">
          <cell r="C703">
            <v>33735</v>
          </cell>
          <cell r="D703" t="str">
            <v>Daegu</v>
          </cell>
          <cell r="E703" t="str">
            <v>김태경</v>
          </cell>
          <cell r="F703" t="str">
            <v>경상유통(주)</v>
          </cell>
        </row>
        <row r="704">
          <cell r="C704">
            <v>33740</v>
          </cell>
          <cell r="D704" t="str">
            <v>Daegu</v>
          </cell>
          <cell r="E704" t="str">
            <v>김태경</v>
          </cell>
          <cell r="F704" t="str">
            <v>세중주류(유)</v>
          </cell>
        </row>
        <row r="705">
          <cell r="C705">
            <v>33719</v>
          </cell>
          <cell r="D705" t="str">
            <v>Daegu</v>
          </cell>
          <cell r="E705" t="str">
            <v>김태경</v>
          </cell>
          <cell r="F705" t="str">
            <v>국제주류판매(주)</v>
          </cell>
        </row>
        <row r="706">
          <cell r="C706">
            <v>33747</v>
          </cell>
          <cell r="D706" t="str">
            <v>Daegu</v>
          </cell>
          <cell r="E706" t="str">
            <v>김태경</v>
          </cell>
          <cell r="F706" t="str">
            <v>김천주류상사(유)</v>
          </cell>
        </row>
        <row r="707">
          <cell r="C707">
            <v>33688</v>
          </cell>
          <cell r="D707" t="str">
            <v>Daegu</v>
          </cell>
          <cell r="E707" t="str">
            <v>김태경</v>
          </cell>
          <cell r="F707" t="str">
            <v>달성기업(주)</v>
          </cell>
        </row>
        <row r="708">
          <cell r="C708">
            <v>33696</v>
          </cell>
          <cell r="D708" t="str">
            <v>Daegu</v>
          </cell>
          <cell r="E708" t="str">
            <v>김태경</v>
          </cell>
          <cell r="F708" t="str">
            <v>대경주류(유)</v>
          </cell>
        </row>
        <row r="709">
          <cell r="C709">
            <v>33709</v>
          </cell>
          <cell r="D709" t="str">
            <v>Daegu</v>
          </cell>
          <cell r="E709" t="str">
            <v>김태경</v>
          </cell>
          <cell r="F709" t="str">
            <v>대구주류판매(주)</v>
          </cell>
        </row>
        <row r="710">
          <cell r="C710">
            <v>33791</v>
          </cell>
          <cell r="D710" t="str">
            <v>Daegu</v>
          </cell>
          <cell r="E710" t="str">
            <v>김태경</v>
          </cell>
          <cell r="F710" t="str">
            <v>봉화기업(명)</v>
          </cell>
        </row>
        <row r="711">
          <cell r="C711">
            <v>33698</v>
          </cell>
          <cell r="D711" t="str">
            <v>Daegu</v>
          </cell>
          <cell r="E711" t="str">
            <v>김태경</v>
          </cell>
          <cell r="F711" t="str">
            <v>부국(주)</v>
          </cell>
        </row>
        <row r="712">
          <cell r="C712">
            <v>33744</v>
          </cell>
          <cell r="D712" t="str">
            <v>Daegu</v>
          </cell>
          <cell r="E712" t="str">
            <v>김태경</v>
          </cell>
          <cell r="F712" t="str">
            <v>삼성합자회사</v>
          </cell>
        </row>
        <row r="713">
          <cell r="C713">
            <v>34850</v>
          </cell>
          <cell r="D713" t="str">
            <v>Daegu</v>
          </cell>
          <cell r="E713" t="str">
            <v>김태경</v>
          </cell>
          <cell r="F713" t="str">
            <v>신성상사(유)</v>
          </cell>
        </row>
        <row r="714">
          <cell r="C714">
            <v>33734</v>
          </cell>
          <cell r="D714" t="str">
            <v>Daegu</v>
          </cell>
          <cell r="E714" t="str">
            <v>김태경</v>
          </cell>
          <cell r="F714" t="str">
            <v>진성주류(주)</v>
          </cell>
        </row>
        <row r="715">
          <cell r="C715">
            <v>33720</v>
          </cell>
          <cell r="D715" t="str">
            <v>Daegu</v>
          </cell>
          <cell r="E715" t="str">
            <v>김태경</v>
          </cell>
          <cell r="F715" t="str">
            <v>평화주류(주)</v>
          </cell>
        </row>
        <row r="716">
          <cell r="C716">
            <v>33739</v>
          </cell>
          <cell r="D716" t="str">
            <v>Daegu</v>
          </cell>
          <cell r="E716" t="str">
            <v>김태경</v>
          </cell>
          <cell r="F716" t="str">
            <v>제일주류(합자)</v>
          </cell>
        </row>
        <row r="717">
          <cell r="C717">
            <v>33774</v>
          </cell>
          <cell r="D717" t="str">
            <v>Daegu</v>
          </cell>
          <cell r="E717" t="str">
            <v>김태경</v>
          </cell>
          <cell r="F717" t="str">
            <v>동구상사(유)</v>
          </cell>
        </row>
        <row r="718">
          <cell r="C718">
            <v>33727</v>
          </cell>
          <cell r="D718" t="str">
            <v>Daegu</v>
          </cell>
          <cell r="E718" t="str">
            <v>김태경</v>
          </cell>
          <cell r="F718" t="str">
            <v>대하주류판매(주)</v>
          </cell>
        </row>
        <row r="719">
          <cell r="C719">
            <v>33770</v>
          </cell>
          <cell r="D719" t="str">
            <v>Daegu</v>
          </cell>
          <cell r="E719" t="str">
            <v>김태경</v>
          </cell>
          <cell r="F719" t="str">
            <v>동서주류(자)</v>
          </cell>
        </row>
        <row r="720">
          <cell r="C720">
            <v>34427</v>
          </cell>
          <cell r="D720" t="str">
            <v>Daegu</v>
          </cell>
          <cell r="E720" t="str">
            <v>김태경</v>
          </cell>
          <cell r="F720" t="str">
            <v>동하주류(주)</v>
          </cell>
        </row>
        <row r="721">
          <cell r="C721">
            <v>33763</v>
          </cell>
          <cell r="D721" t="str">
            <v>Daegu</v>
          </cell>
          <cell r="E721" t="str">
            <v>김태경</v>
          </cell>
          <cell r="F721" t="str">
            <v>산동상사(주)</v>
          </cell>
        </row>
        <row r="722">
          <cell r="C722">
            <v>33704</v>
          </cell>
          <cell r="D722" t="str">
            <v>Daegu</v>
          </cell>
          <cell r="E722" t="str">
            <v>김태경</v>
          </cell>
          <cell r="F722" t="str">
            <v>삼익주류판매(주)</v>
          </cell>
        </row>
        <row r="723">
          <cell r="C723">
            <v>33776</v>
          </cell>
          <cell r="D723" t="str">
            <v>Daegu</v>
          </cell>
          <cell r="E723" t="str">
            <v>김태경</v>
          </cell>
          <cell r="F723" t="str">
            <v>영남주류(주)</v>
          </cell>
        </row>
        <row r="724">
          <cell r="C724">
            <v>84068</v>
          </cell>
          <cell r="D724" t="str">
            <v>Daegu</v>
          </cell>
          <cell r="E724" t="str">
            <v>김태경</v>
          </cell>
          <cell r="F724" t="str">
            <v>영남주류_GOLF</v>
          </cell>
        </row>
        <row r="725">
          <cell r="C725">
            <v>33782</v>
          </cell>
          <cell r="D725" t="str">
            <v>Daegu</v>
          </cell>
          <cell r="E725" t="str">
            <v>김태경</v>
          </cell>
          <cell r="F725" t="str">
            <v>창신(주)</v>
          </cell>
        </row>
        <row r="726">
          <cell r="C726">
            <v>33756</v>
          </cell>
          <cell r="D726" t="str">
            <v>Daegu</v>
          </cell>
          <cell r="E726" t="str">
            <v>김태경</v>
          </cell>
          <cell r="F726" t="str">
            <v>태성기업(자)</v>
          </cell>
        </row>
        <row r="727">
          <cell r="C727">
            <v>33767</v>
          </cell>
          <cell r="D727" t="str">
            <v>Daegu</v>
          </cell>
          <cell r="E727" t="str">
            <v>김태경</v>
          </cell>
          <cell r="F727" t="str">
            <v>경일산업(주)</v>
          </cell>
        </row>
        <row r="728">
          <cell r="C728">
            <v>33788</v>
          </cell>
          <cell r="D728" t="str">
            <v>Daegu</v>
          </cell>
          <cell r="E728" t="str">
            <v>김태경</v>
          </cell>
          <cell r="F728" t="str">
            <v>대가(자)</v>
          </cell>
        </row>
        <row r="729">
          <cell r="C729">
            <v>33699</v>
          </cell>
          <cell r="D729" t="str">
            <v>Daegu</v>
          </cell>
          <cell r="E729" t="str">
            <v>김태경</v>
          </cell>
          <cell r="F729" t="str">
            <v>대동상사(주)</v>
          </cell>
        </row>
        <row r="730">
          <cell r="C730">
            <v>36479</v>
          </cell>
          <cell r="D730" t="str">
            <v>Daegu</v>
          </cell>
          <cell r="E730" t="str">
            <v>김태경</v>
          </cell>
          <cell r="F730" t="str">
            <v>대한주류(주)대구</v>
          </cell>
        </row>
        <row r="731">
          <cell r="C731">
            <v>33773</v>
          </cell>
          <cell r="D731" t="str">
            <v>Daegu</v>
          </cell>
          <cell r="E731" t="str">
            <v>김태경</v>
          </cell>
          <cell r="F731" t="str">
            <v>동창기업(주)</v>
          </cell>
        </row>
        <row r="732">
          <cell r="C732">
            <v>33764</v>
          </cell>
          <cell r="D732" t="str">
            <v>Daegu</v>
          </cell>
          <cell r="E732" t="str">
            <v>김태경</v>
          </cell>
          <cell r="F732" t="str">
            <v>세계주류(유)경북</v>
          </cell>
        </row>
        <row r="733">
          <cell r="C733">
            <v>37228</v>
          </cell>
          <cell r="D733" t="str">
            <v>Daegu</v>
          </cell>
          <cell r="E733" t="str">
            <v>김태경</v>
          </cell>
          <cell r="F733" t="str">
            <v>현대종합주류(자)</v>
          </cell>
        </row>
        <row r="734">
          <cell r="C734">
            <v>35842</v>
          </cell>
          <cell r="D734" t="str">
            <v>Daegu</v>
          </cell>
          <cell r="E734" t="str">
            <v>김태경</v>
          </cell>
          <cell r="F734" t="str">
            <v>대상주류(주)</v>
          </cell>
        </row>
        <row r="735">
          <cell r="C735">
            <v>39262</v>
          </cell>
          <cell r="D735" t="str">
            <v>Daegu</v>
          </cell>
          <cell r="E735" t="str">
            <v>김태경</v>
          </cell>
          <cell r="F735" t="str">
            <v>가은기업(유)</v>
          </cell>
        </row>
        <row r="736">
          <cell r="C736">
            <v>39032</v>
          </cell>
          <cell r="D736" t="str">
            <v>Daegu</v>
          </cell>
          <cell r="E736" t="str">
            <v>김태경</v>
          </cell>
          <cell r="F736" t="str">
            <v>청구주류(주)</v>
          </cell>
        </row>
        <row r="737">
          <cell r="C737">
            <v>80493</v>
          </cell>
          <cell r="D737" t="str">
            <v>Daegu</v>
          </cell>
          <cell r="E737" t="str">
            <v>김태경</v>
          </cell>
          <cell r="F737" t="str">
            <v>봉명기업(유)</v>
          </cell>
        </row>
        <row r="738">
          <cell r="C738">
            <v>80590</v>
          </cell>
          <cell r="D738" t="str">
            <v>Daegu</v>
          </cell>
          <cell r="E738" t="str">
            <v>김태경</v>
          </cell>
          <cell r="F738" t="str">
            <v>(유)합동상사</v>
          </cell>
        </row>
        <row r="739">
          <cell r="C739">
            <v>80604</v>
          </cell>
          <cell r="D739" t="str">
            <v>Daegu</v>
          </cell>
          <cell r="E739" t="str">
            <v>김태경</v>
          </cell>
          <cell r="F739" t="str">
            <v>소백주류합자회사</v>
          </cell>
        </row>
        <row r="740">
          <cell r="C740">
            <v>86090</v>
          </cell>
          <cell r="D740" t="str">
            <v>Daegu</v>
          </cell>
          <cell r="E740" t="str">
            <v>김태경</v>
          </cell>
          <cell r="F740" t="str">
            <v>황재주류(주)_BAY CLUB</v>
          </cell>
        </row>
        <row r="741">
          <cell r="C741">
            <v>80526</v>
          </cell>
          <cell r="D741" t="str">
            <v>Daegu</v>
          </cell>
          <cell r="E741" t="str">
            <v>김태경</v>
          </cell>
          <cell r="F741" t="str">
            <v>문경기업(유)</v>
          </cell>
        </row>
        <row r="742">
          <cell r="C742">
            <v>35450</v>
          </cell>
          <cell r="D742" t="str">
            <v>Daegu</v>
          </cell>
          <cell r="E742" t="str">
            <v>김태경</v>
          </cell>
          <cell r="F742" t="str">
            <v>금상종합주류</v>
          </cell>
        </row>
        <row r="743">
          <cell r="C743">
            <v>38208</v>
          </cell>
          <cell r="D743" t="str">
            <v>Daegu</v>
          </cell>
          <cell r="E743" t="str">
            <v>김태경</v>
          </cell>
          <cell r="F743" t="str">
            <v>야성주류(명)</v>
          </cell>
        </row>
        <row r="744">
          <cell r="C744">
            <v>81588</v>
          </cell>
          <cell r="D744" t="str">
            <v>Daegu</v>
          </cell>
          <cell r="E744" t="str">
            <v>김태경</v>
          </cell>
          <cell r="F744" t="str">
            <v>보성주류상사(유)</v>
          </cell>
        </row>
        <row r="745">
          <cell r="C745">
            <v>33724</v>
          </cell>
          <cell r="D745" t="str">
            <v>Daegu</v>
          </cell>
          <cell r="E745" t="str">
            <v>김태경</v>
          </cell>
          <cell r="F745" t="str">
            <v>동서주류(유)</v>
          </cell>
        </row>
        <row r="746">
          <cell r="C746">
            <v>34769</v>
          </cell>
          <cell r="D746" t="str">
            <v>Daegu</v>
          </cell>
          <cell r="E746" t="str">
            <v>김태경</v>
          </cell>
          <cell r="F746" t="str">
            <v>대양산업(주)</v>
          </cell>
        </row>
        <row r="747">
          <cell r="C747">
            <v>33762</v>
          </cell>
          <cell r="D747" t="str">
            <v>Daegu</v>
          </cell>
          <cell r="E747" t="str">
            <v>김태경</v>
          </cell>
          <cell r="F747" t="str">
            <v>안풍산업(주)</v>
          </cell>
        </row>
        <row r="748">
          <cell r="C748">
            <v>33731</v>
          </cell>
          <cell r="D748" t="str">
            <v>Daegu</v>
          </cell>
          <cell r="E748" t="str">
            <v>김태경</v>
          </cell>
          <cell r="F748" t="str">
            <v>영남유통(주)</v>
          </cell>
        </row>
        <row r="749">
          <cell r="C749">
            <v>35380</v>
          </cell>
          <cell r="D749" t="str">
            <v>Daegu</v>
          </cell>
          <cell r="E749" t="str">
            <v>김태경</v>
          </cell>
          <cell r="F749" t="str">
            <v>금탑주류종합상사(자)</v>
          </cell>
        </row>
        <row r="750">
          <cell r="C750">
            <v>37263</v>
          </cell>
          <cell r="D750" t="str">
            <v>Daegu</v>
          </cell>
          <cell r="E750" t="str">
            <v>김태경</v>
          </cell>
          <cell r="F750" t="str">
            <v>경일주류(주)CJ</v>
          </cell>
        </row>
        <row r="751">
          <cell r="C751">
            <v>33761</v>
          </cell>
          <cell r="D751" t="str">
            <v>Daegu</v>
          </cell>
          <cell r="E751" t="str">
            <v>김태경</v>
          </cell>
          <cell r="F751" t="str">
            <v>경동산업(주)경북</v>
          </cell>
        </row>
        <row r="752">
          <cell r="C752">
            <v>33775</v>
          </cell>
          <cell r="D752" t="str">
            <v>Daegu</v>
          </cell>
          <cell r="E752" t="str">
            <v>김태경</v>
          </cell>
          <cell r="F752" t="str">
            <v>신화기업(주)</v>
          </cell>
        </row>
        <row r="753">
          <cell r="C753">
            <v>33759</v>
          </cell>
          <cell r="D753" t="str">
            <v>Daegu</v>
          </cell>
          <cell r="E753" t="str">
            <v>김태경</v>
          </cell>
          <cell r="F753" t="str">
            <v>예천기업(유)</v>
          </cell>
        </row>
        <row r="754">
          <cell r="C754">
            <v>33787</v>
          </cell>
          <cell r="D754" t="str">
            <v>Daegu</v>
          </cell>
          <cell r="E754" t="str">
            <v>김태경</v>
          </cell>
          <cell r="F754" t="str">
            <v>극동주류(주)</v>
          </cell>
        </row>
        <row r="755">
          <cell r="C755">
            <v>33750</v>
          </cell>
          <cell r="D755" t="str">
            <v>Daegu</v>
          </cell>
          <cell r="E755" t="str">
            <v>김태경</v>
          </cell>
          <cell r="F755" t="str">
            <v>동부주류(주)</v>
          </cell>
        </row>
        <row r="756">
          <cell r="C756">
            <v>33726</v>
          </cell>
          <cell r="D756" t="str">
            <v>Daegu</v>
          </cell>
          <cell r="E756" t="str">
            <v>김태경</v>
          </cell>
          <cell r="F756" t="str">
            <v>부강주류(주)</v>
          </cell>
        </row>
        <row r="757">
          <cell r="C757">
            <v>33693</v>
          </cell>
          <cell r="D757" t="str">
            <v>Daegu</v>
          </cell>
          <cell r="E757" t="str">
            <v>김태경</v>
          </cell>
          <cell r="F757" t="str">
            <v>현대주류판매(주)</v>
          </cell>
        </row>
        <row r="758">
          <cell r="C758">
            <v>39245</v>
          </cell>
          <cell r="D758" t="str">
            <v>Daegu</v>
          </cell>
          <cell r="E758" t="str">
            <v>김태경</v>
          </cell>
          <cell r="F758" t="str">
            <v>협신주류(주)</v>
          </cell>
        </row>
        <row r="759">
          <cell r="C759">
            <v>39590</v>
          </cell>
          <cell r="D759" t="str">
            <v>Daegu</v>
          </cell>
          <cell r="E759" t="str">
            <v>김태경</v>
          </cell>
          <cell r="F759" t="str">
            <v>한국주류(자)</v>
          </cell>
        </row>
        <row r="760">
          <cell r="C760">
            <v>36246</v>
          </cell>
          <cell r="D760" t="str">
            <v>Daegu</v>
          </cell>
          <cell r="E760" t="str">
            <v>김태경</v>
          </cell>
          <cell r="F760" t="str">
            <v>대국주류 주식회사</v>
          </cell>
        </row>
        <row r="761">
          <cell r="C761">
            <v>36581</v>
          </cell>
          <cell r="D761" t="str">
            <v>Daegu</v>
          </cell>
          <cell r="E761" t="str">
            <v>김태경</v>
          </cell>
          <cell r="F761" t="str">
            <v>효성주류(주)</v>
          </cell>
        </row>
        <row r="762">
          <cell r="C762">
            <v>80990</v>
          </cell>
          <cell r="D762" t="str">
            <v>Daegu</v>
          </cell>
          <cell r="E762" t="str">
            <v>김태경</v>
          </cell>
          <cell r="F762" t="str">
            <v>수성수입주류 합자회사(대구)</v>
          </cell>
        </row>
        <row r="763">
          <cell r="C763">
            <v>33765</v>
          </cell>
          <cell r="D763" t="str">
            <v>Daegu</v>
          </cell>
          <cell r="E763" t="str">
            <v>김태경</v>
          </cell>
          <cell r="F763" t="str">
            <v>국제주류(주)</v>
          </cell>
        </row>
        <row r="764">
          <cell r="C764">
            <v>33737</v>
          </cell>
          <cell r="D764" t="str">
            <v>Daegu</v>
          </cell>
          <cell r="E764" t="str">
            <v>김태경</v>
          </cell>
          <cell r="F764" t="str">
            <v>대성주류상사(주)</v>
          </cell>
        </row>
        <row r="765">
          <cell r="C765">
            <v>37285</v>
          </cell>
          <cell r="D765" t="str">
            <v>Daegu</v>
          </cell>
          <cell r="E765" t="str">
            <v>김태경</v>
          </cell>
          <cell r="F765" t="str">
            <v>경일주류판매(주)</v>
          </cell>
        </row>
        <row r="766">
          <cell r="C766">
            <v>33760</v>
          </cell>
          <cell r="D766" t="str">
            <v>Daegu</v>
          </cell>
          <cell r="E766" t="str">
            <v>김태경</v>
          </cell>
          <cell r="F766" t="str">
            <v>대동산업(주)</v>
          </cell>
        </row>
        <row r="767">
          <cell r="C767">
            <v>37278</v>
          </cell>
          <cell r="D767" t="str">
            <v>Daegu</v>
          </cell>
          <cell r="E767" t="str">
            <v>김태경</v>
          </cell>
          <cell r="F767" t="str">
            <v>동도주류판매(주)</v>
          </cell>
        </row>
        <row r="768">
          <cell r="C768">
            <v>81863</v>
          </cell>
          <cell r="D768" t="str">
            <v>Daegu</v>
          </cell>
          <cell r="E768" t="str">
            <v>김태경</v>
          </cell>
          <cell r="F768" t="str">
            <v>동도주류판매(주) 이스트힐</v>
          </cell>
        </row>
        <row r="769">
          <cell r="C769">
            <v>33766</v>
          </cell>
          <cell r="D769" t="str">
            <v>Daegu</v>
          </cell>
          <cell r="E769" t="str">
            <v>김태경</v>
          </cell>
          <cell r="F769" t="str">
            <v>삼풍기업(주)</v>
          </cell>
        </row>
        <row r="770">
          <cell r="C770">
            <v>33758</v>
          </cell>
          <cell r="D770" t="str">
            <v>Daegu</v>
          </cell>
          <cell r="E770" t="str">
            <v>김태경</v>
          </cell>
          <cell r="F770" t="str">
            <v>한빛종합주류(유)</v>
          </cell>
        </row>
        <row r="771">
          <cell r="C771">
            <v>33789</v>
          </cell>
          <cell r="D771" t="str">
            <v>Daegu</v>
          </cell>
          <cell r="E771" t="str">
            <v>김태경</v>
          </cell>
          <cell r="F771" t="str">
            <v>영천주류판매(주)</v>
          </cell>
        </row>
        <row r="772">
          <cell r="C772">
            <v>33754</v>
          </cell>
          <cell r="D772" t="str">
            <v>Daegu</v>
          </cell>
          <cell r="E772" t="str">
            <v>김태경</v>
          </cell>
          <cell r="F772" t="str">
            <v>영양기업(자)</v>
          </cell>
        </row>
        <row r="773">
          <cell r="C773">
            <v>33779</v>
          </cell>
          <cell r="D773" t="str">
            <v>Daegu</v>
          </cell>
          <cell r="E773" t="str">
            <v>김태경</v>
          </cell>
          <cell r="F773" t="str">
            <v>대덕주류상사(주)</v>
          </cell>
        </row>
        <row r="774">
          <cell r="C774">
            <v>36002</v>
          </cell>
          <cell r="D774" t="str">
            <v>Daegu</v>
          </cell>
          <cell r="E774" t="str">
            <v>김태경</v>
          </cell>
          <cell r="F774" t="str">
            <v>영덕주류 합명회사</v>
          </cell>
        </row>
        <row r="775">
          <cell r="C775">
            <v>33757</v>
          </cell>
          <cell r="D775" t="str">
            <v>Daegu</v>
          </cell>
          <cell r="E775" t="str">
            <v>김태경</v>
          </cell>
          <cell r="F775" t="str">
            <v>영화주류판매(주)</v>
          </cell>
        </row>
        <row r="776">
          <cell r="C776">
            <v>33783</v>
          </cell>
          <cell r="D776" t="str">
            <v>Daegu</v>
          </cell>
          <cell r="E776" t="str">
            <v>김태경</v>
          </cell>
          <cell r="F776" t="str">
            <v>제일주류(자)</v>
          </cell>
        </row>
        <row r="777">
          <cell r="C777">
            <v>33778</v>
          </cell>
          <cell r="D777" t="str">
            <v>Daegu</v>
          </cell>
          <cell r="E777" t="str">
            <v>김태경</v>
          </cell>
          <cell r="F777" t="str">
            <v>금호주류판매(주)</v>
          </cell>
        </row>
        <row r="778">
          <cell r="C778">
            <v>37279</v>
          </cell>
          <cell r="D778" t="str">
            <v>Daegu</v>
          </cell>
          <cell r="E778" t="str">
            <v>김태경</v>
          </cell>
          <cell r="F778" t="str">
            <v>영일만상사(자)</v>
          </cell>
        </row>
        <row r="779">
          <cell r="C779">
            <v>38210</v>
          </cell>
          <cell r="D779" t="str">
            <v>Daegu</v>
          </cell>
          <cell r="E779" t="str">
            <v>김태경</v>
          </cell>
          <cell r="F779" t="str">
            <v>금오주류(합)</v>
          </cell>
        </row>
        <row r="780">
          <cell r="C780">
            <v>39141</v>
          </cell>
          <cell r="D780" t="str">
            <v>Daegu</v>
          </cell>
          <cell r="E780" t="str">
            <v>김태경</v>
          </cell>
          <cell r="F780" t="str">
            <v>세광상사(합자)</v>
          </cell>
        </row>
        <row r="781">
          <cell r="C781">
            <v>39253</v>
          </cell>
          <cell r="D781" t="str">
            <v>Daegu</v>
          </cell>
          <cell r="E781" t="str">
            <v>김태경</v>
          </cell>
          <cell r="F781" t="str">
            <v>청송기업 합자회사</v>
          </cell>
        </row>
        <row r="782">
          <cell r="C782">
            <v>39033</v>
          </cell>
          <cell r="D782" t="str">
            <v>Daegu</v>
          </cell>
          <cell r="E782" t="str">
            <v>김태경</v>
          </cell>
          <cell r="F782" t="str">
            <v>계림주류판매(주)</v>
          </cell>
        </row>
        <row r="783">
          <cell r="C783">
            <v>80162</v>
          </cell>
          <cell r="D783" t="str">
            <v>Daegu</v>
          </cell>
          <cell r="E783" t="str">
            <v>김태경</v>
          </cell>
          <cell r="F783" t="str">
            <v>현대주류판매(자)</v>
          </cell>
        </row>
        <row r="784">
          <cell r="C784">
            <v>80498</v>
          </cell>
          <cell r="D784" t="str">
            <v>Daegu</v>
          </cell>
          <cell r="E784" t="str">
            <v>김태경</v>
          </cell>
          <cell r="F784" t="str">
            <v>제일실업(자)</v>
          </cell>
        </row>
        <row r="785">
          <cell r="C785">
            <v>80786</v>
          </cell>
          <cell r="D785" t="str">
            <v>Daegu</v>
          </cell>
          <cell r="E785" t="str">
            <v>김태경</v>
          </cell>
          <cell r="F785" t="str">
            <v>대하상사(자)</v>
          </cell>
        </row>
        <row r="786">
          <cell r="C786">
            <v>81385</v>
          </cell>
          <cell r="D786" t="str">
            <v>Daegu</v>
          </cell>
          <cell r="E786" t="str">
            <v>김태경</v>
          </cell>
          <cell r="F786" t="str">
            <v>경주주류판매(주)</v>
          </cell>
        </row>
        <row r="787">
          <cell r="C787">
            <v>81729</v>
          </cell>
          <cell r="D787" t="str">
            <v>Daegu</v>
          </cell>
          <cell r="E787" t="str">
            <v>김태경</v>
          </cell>
          <cell r="F787" t="str">
            <v>합자회사동해종합주류</v>
          </cell>
        </row>
        <row r="788">
          <cell r="C788">
            <v>81835</v>
          </cell>
          <cell r="D788" t="str">
            <v>Daegu</v>
          </cell>
          <cell r="E788" t="str">
            <v>김태경</v>
          </cell>
          <cell r="F788" t="str">
            <v>(합자)남해주류판매</v>
          </cell>
        </row>
        <row r="789">
          <cell r="C789">
            <v>83652</v>
          </cell>
          <cell r="D789" t="str">
            <v>Daegu</v>
          </cell>
          <cell r="E789" t="str">
            <v>김태경</v>
          </cell>
          <cell r="F789" t="str">
            <v>(자)해동산업</v>
          </cell>
        </row>
        <row r="790">
          <cell r="C790">
            <v>83855</v>
          </cell>
          <cell r="D790" t="str">
            <v>Daegu</v>
          </cell>
          <cell r="E790" t="str">
            <v>김태경</v>
          </cell>
          <cell r="F790" t="str">
            <v>(자)서부기업</v>
          </cell>
        </row>
        <row r="791">
          <cell r="C791">
            <v>86036</v>
          </cell>
          <cell r="D791" t="str">
            <v>Daegu</v>
          </cell>
          <cell r="E791" t="str">
            <v>김태경</v>
          </cell>
          <cell r="F791" t="str">
            <v>동양주류(주)_DAEGUFC</v>
          </cell>
        </row>
        <row r="792">
          <cell r="C792">
            <v>84013</v>
          </cell>
          <cell r="D792" t="str">
            <v>Daegu</v>
          </cell>
          <cell r="E792" t="str">
            <v>김태경</v>
          </cell>
          <cell r="F792" t="str">
            <v>(합)보성주류</v>
          </cell>
        </row>
        <row r="793">
          <cell r="C793">
            <v>81743</v>
          </cell>
          <cell r="D793" t="str">
            <v>Daegu</v>
          </cell>
          <cell r="E793" t="str">
            <v>김태경</v>
          </cell>
          <cell r="F793" t="str">
            <v>(합자)남해주류판매</v>
          </cell>
        </row>
        <row r="794">
          <cell r="C794">
            <v>86360</v>
          </cell>
          <cell r="D794" t="str">
            <v>Daegu</v>
          </cell>
          <cell r="E794" t="str">
            <v>김태경</v>
          </cell>
          <cell r="F794" t="str">
            <v>유한회사 에이스주류</v>
          </cell>
        </row>
        <row r="795">
          <cell r="C795">
            <v>33526</v>
          </cell>
          <cell r="D795" t="str">
            <v>Daejeon</v>
          </cell>
          <cell r="E795" t="str">
            <v>양찬모</v>
          </cell>
          <cell r="F795" t="str">
            <v>충청주류상사(주)</v>
          </cell>
        </row>
        <row r="796">
          <cell r="C796">
            <v>33524</v>
          </cell>
          <cell r="D796" t="str">
            <v>Daejeon</v>
          </cell>
          <cell r="E796" t="str">
            <v>양찬모</v>
          </cell>
          <cell r="F796" t="str">
            <v>대광상사(유)</v>
          </cell>
        </row>
        <row r="797">
          <cell r="C797">
            <v>33529</v>
          </cell>
          <cell r="D797" t="str">
            <v>Daejeon</v>
          </cell>
          <cell r="E797" t="str">
            <v>양찬모</v>
          </cell>
          <cell r="F797" t="str">
            <v>대전합동상사(주)</v>
          </cell>
        </row>
        <row r="798">
          <cell r="C798">
            <v>33541</v>
          </cell>
          <cell r="D798" t="str">
            <v>Daejeon</v>
          </cell>
          <cell r="E798" t="str">
            <v>양찬모</v>
          </cell>
          <cell r="F798" t="str">
            <v>세계양주(자)</v>
          </cell>
        </row>
        <row r="799">
          <cell r="C799">
            <v>33533</v>
          </cell>
          <cell r="D799" t="str">
            <v>Daejeon</v>
          </cell>
          <cell r="E799" t="str">
            <v>양찬모</v>
          </cell>
          <cell r="F799" t="str">
            <v>장천주류(주)</v>
          </cell>
        </row>
        <row r="800">
          <cell r="C800">
            <v>33546</v>
          </cell>
          <cell r="D800" t="str">
            <v>Daejeon</v>
          </cell>
          <cell r="E800" t="str">
            <v>양찬모</v>
          </cell>
          <cell r="F800" t="str">
            <v>동서주류상사(자)</v>
          </cell>
        </row>
        <row r="801">
          <cell r="C801">
            <v>33520</v>
          </cell>
          <cell r="D801" t="str">
            <v>Daejeon</v>
          </cell>
          <cell r="E801" t="str">
            <v>양찬모</v>
          </cell>
          <cell r="F801" t="str">
            <v>아성주류상사㈜</v>
          </cell>
        </row>
        <row r="802">
          <cell r="C802">
            <v>33528</v>
          </cell>
          <cell r="D802" t="str">
            <v>Daejeon</v>
          </cell>
          <cell r="E802" t="str">
            <v>양찬모</v>
          </cell>
          <cell r="F802" t="str">
            <v>청원주류상사(합)</v>
          </cell>
        </row>
        <row r="803">
          <cell r="C803">
            <v>33536</v>
          </cell>
          <cell r="D803" t="str">
            <v>Daejeon</v>
          </cell>
          <cell r="E803" t="str">
            <v>양찬모</v>
          </cell>
          <cell r="F803" t="str">
            <v>한밭상사(주)</v>
          </cell>
        </row>
        <row r="804">
          <cell r="C804">
            <v>33486</v>
          </cell>
          <cell r="D804" t="str">
            <v>Daejeon</v>
          </cell>
          <cell r="E804" t="str">
            <v>양찬모</v>
          </cell>
          <cell r="F804" t="str">
            <v>유일상사(주)</v>
          </cell>
        </row>
        <row r="805">
          <cell r="C805">
            <v>33489</v>
          </cell>
          <cell r="D805" t="str">
            <v>Daejeon</v>
          </cell>
          <cell r="E805" t="str">
            <v>양찬모</v>
          </cell>
          <cell r="F805" t="str">
            <v>백락주류상사(주)</v>
          </cell>
        </row>
        <row r="806">
          <cell r="C806">
            <v>33547</v>
          </cell>
          <cell r="D806" t="str">
            <v>Daejeon</v>
          </cell>
          <cell r="E806" t="str">
            <v>양찬모</v>
          </cell>
          <cell r="F806" t="str">
            <v>청호주류합명회사</v>
          </cell>
        </row>
        <row r="807">
          <cell r="C807">
            <v>33579</v>
          </cell>
          <cell r="D807" t="str">
            <v>Daejeon</v>
          </cell>
          <cell r="E807" t="str">
            <v>양찬모</v>
          </cell>
          <cell r="F807" t="str">
            <v>남부상사(유)</v>
          </cell>
        </row>
        <row r="808">
          <cell r="C808">
            <v>33531</v>
          </cell>
          <cell r="D808" t="str">
            <v>Daejeon</v>
          </cell>
          <cell r="E808" t="str">
            <v>양찬모</v>
          </cell>
          <cell r="F808" t="str">
            <v>대덕주류(유)서구</v>
          </cell>
        </row>
        <row r="809">
          <cell r="C809">
            <v>33535</v>
          </cell>
          <cell r="D809" t="str">
            <v>Daejeon</v>
          </cell>
          <cell r="E809" t="str">
            <v>양찬모</v>
          </cell>
          <cell r="F809" t="str">
            <v>대덕상사(주)</v>
          </cell>
        </row>
        <row r="810">
          <cell r="C810">
            <v>33519</v>
          </cell>
          <cell r="D810" t="str">
            <v>Daejeon</v>
          </cell>
          <cell r="E810" t="str">
            <v>양찬모</v>
          </cell>
          <cell r="F810" t="str">
            <v>계룡주류상사(주)</v>
          </cell>
        </row>
        <row r="811">
          <cell r="C811">
            <v>33537</v>
          </cell>
          <cell r="D811" t="str">
            <v>Daejeon</v>
          </cell>
          <cell r="E811" t="str">
            <v>양찬모</v>
          </cell>
          <cell r="F811" t="str">
            <v>대신상사(유)</v>
          </cell>
        </row>
        <row r="812">
          <cell r="C812">
            <v>33532</v>
          </cell>
          <cell r="D812" t="str">
            <v>Daejeon</v>
          </cell>
          <cell r="E812" t="str">
            <v>양찬모</v>
          </cell>
          <cell r="F812" t="str">
            <v>동산주류상사(주)</v>
          </cell>
        </row>
        <row r="813">
          <cell r="C813">
            <v>33542</v>
          </cell>
          <cell r="D813" t="str">
            <v>Daejeon</v>
          </cell>
          <cell r="E813" t="str">
            <v>양찬모</v>
          </cell>
          <cell r="F813" t="str">
            <v>동양합동상사(주)</v>
          </cell>
        </row>
        <row r="814">
          <cell r="C814">
            <v>33521</v>
          </cell>
          <cell r="D814" t="str">
            <v>Daejeon</v>
          </cell>
          <cell r="E814" t="str">
            <v>양찬모</v>
          </cell>
          <cell r="F814" t="str">
            <v>삼사주류(주)</v>
          </cell>
        </row>
        <row r="815">
          <cell r="C815">
            <v>33530</v>
          </cell>
          <cell r="D815" t="str">
            <v>Daejeon</v>
          </cell>
          <cell r="E815" t="str">
            <v>양찬모</v>
          </cell>
          <cell r="F815" t="str">
            <v>삼성주류대전</v>
          </cell>
        </row>
        <row r="816">
          <cell r="C816">
            <v>33523</v>
          </cell>
          <cell r="D816" t="str">
            <v>Daejeon</v>
          </cell>
          <cell r="E816" t="str">
            <v>양찬모</v>
          </cell>
          <cell r="F816" t="str">
            <v>송림주류(주)</v>
          </cell>
        </row>
        <row r="817">
          <cell r="C817">
            <v>33543</v>
          </cell>
          <cell r="D817" t="str">
            <v>Daejeon</v>
          </cell>
          <cell r="E817" t="str">
            <v>양찬모</v>
          </cell>
          <cell r="F817" t="str">
            <v>송원주류(주)</v>
          </cell>
        </row>
        <row r="818">
          <cell r="C818">
            <v>33527</v>
          </cell>
          <cell r="D818" t="str">
            <v>Daejeon</v>
          </cell>
          <cell r="E818" t="str">
            <v>양찬모</v>
          </cell>
          <cell r="F818" t="str">
            <v>아성상사(자)</v>
          </cell>
        </row>
        <row r="819">
          <cell r="C819">
            <v>37323</v>
          </cell>
          <cell r="D819" t="str">
            <v>Daejeon</v>
          </cell>
          <cell r="E819" t="str">
            <v>양찬모</v>
          </cell>
          <cell r="F819" t="str">
            <v>아성상사(자)CJ</v>
          </cell>
        </row>
        <row r="820">
          <cell r="C820">
            <v>81856</v>
          </cell>
          <cell r="D820" t="str">
            <v>Daejeon</v>
          </cell>
          <cell r="E820" t="str">
            <v>양찬모</v>
          </cell>
          <cell r="F820" t="str">
            <v>아성주류상사㈜CJ</v>
          </cell>
        </row>
        <row r="821">
          <cell r="C821">
            <v>33539</v>
          </cell>
          <cell r="D821" t="str">
            <v>Daejeon</v>
          </cell>
          <cell r="E821" t="str">
            <v>양찬모</v>
          </cell>
          <cell r="F821" t="str">
            <v>우리주류상사(대전)</v>
          </cell>
        </row>
        <row r="822">
          <cell r="C822">
            <v>33538</v>
          </cell>
          <cell r="D822" t="str">
            <v>Daejeon</v>
          </cell>
          <cell r="E822" t="str">
            <v>양찬모</v>
          </cell>
          <cell r="F822" t="str">
            <v>하나주류(유)</v>
          </cell>
        </row>
        <row r="823">
          <cell r="C823">
            <v>33534</v>
          </cell>
          <cell r="D823" t="str">
            <v>Daejeon</v>
          </cell>
          <cell r="E823" t="str">
            <v>양찬모</v>
          </cell>
          <cell r="F823" t="str">
            <v>현대주류주식회사</v>
          </cell>
        </row>
        <row r="824">
          <cell r="C824">
            <v>33509</v>
          </cell>
          <cell r="D824" t="str">
            <v>Daejeon</v>
          </cell>
          <cell r="E824" t="str">
            <v>양찬모</v>
          </cell>
          <cell r="F824" t="str">
            <v>삼성주류(주)</v>
          </cell>
        </row>
        <row r="825">
          <cell r="C825">
            <v>33497</v>
          </cell>
          <cell r="D825" t="str">
            <v>Daejeon</v>
          </cell>
          <cell r="E825" t="str">
            <v>양찬모</v>
          </cell>
          <cell r="F825" t="str">
            <v>통일상사(주)</v>
          </cell>
        </row>
        <row r="826">
          <cell r="C826">
            <v>33475</v>
          </cell>
          <cell r="D826" t="str">
            <v>Daejeon</v>
          </cell>
          <cell r="E826" t="str">
            <v>양찬모</v>
          </cell>
          <cell r="F826" t="str">
            <v>공주합동상사(자)</v>
          </cell>
        </row>
        <row r="827">
          <cell r="C827">
            <v>33506</v>
          </cell>
          <cell r="D827" t="str">
            <v>Daejeon</v>
          </cell>
          <cell r="E827" t="str">
            <v>양찬모</v>
          </cell>
          <cell r="F827" t="str">
            <v>광천주류(자)</v>
          </cell>
        </row>
        <row r="828">
          <cell r="C828">
            <v>35894</v>
          </cell>
          <cell r="D828" t="str">
            <v>Daejeon</v>
          </cell>
          <cell r="E828" t="str">
            <v>양찬모</v>
          </cell>
          <cell r="F828" t="str">
            <v>금산주류합동(자)</v>
          </cell>
        </row>
        <row r="829">
          <cell r="C829">
            <v>33515</v>
          </cell>
          <cell r="D829" t="str">
            <v>Daejeon</v>
          </cell>
          <cell r="E829" t="str">
            <v>양찬모</v>
          </cell>
          <cell r="F829" t="str">
            <v>남부주류상사(합)</v>
          </cell>
        </row>
        <row r="830">
          <cell r="C830">
            <v>39242</v>
          </cell>
          <cell r="D830" t="str">
            <v>Daejeon</v>
          </cell>
          <cell r="E830" t="str">
            <v>양찬모</v>
          </cell>
          <cell r="F830" t="str">
            <v>남산주류합동자(자)</v>
          </cell>
        </row>
        <row r="831">
          <cell r="C831">
            <v>39783</v>
          </cell>
          <cell r="D831" t="str">
            <v>Daejeon</v>
          </cell>
          <cell r="E831" t="str">
            <v>양찬모</v>
          </cell>
          <cell r="F831" t="str">
            <v>논산주류합동(자)</v>
          </cell>
        </row>
        <row r="832">
          <cell r="C832">
            <v>33477</v>
          </cell>
          <cell r="D832" t="str">
            <v>Daejeon</v>
          </cell>
          <cell r="E832" t="str">
            <v>양찬모</v>
          </cell>
          <cell r="F832" t="str">
            <v>당진상사(유)</v>
          </cell>
        </row>
        <row r="833">
          <cell r="C833">
            <v>36634</v>
          </cell>
          <cell r="D833" t="str">
            <v>Daejeon</v>
          </cell>
          <cell r="E833" t="str">
            <v>양찬모</v>
          </cell>
          <cell r="F833" t="str">
            <v>대덕상사(자)</v>
          </cell>
        </row>
        <row r="834">
          <cell r="C834">
            <v>35876</v>
          </cell>
          <cell r="D834" t="str">
            <v>Daejeon</v>
          </cell>
          <cell r="E834" t="str">
            <v>양찬모</v>
          </cell>
          <cell r="F834" t="str">
            <v>대두주류상사(합)</v>
          </cell>
        </row>
        <row r="835">
          <cell r="C835">
            <v>33501</v>
          </cell>
          <cell r="D835" t="str">
            <v>Daejeon</v>
          </cell>
          <cell r="E835" t="str">
            <v>양찬모</v>
          </cell>
          <cell r="F835" t="str">
            <v>대명주류상사(유)</v>
          </cell>
        </row>
        <row r="836">
          <cell r="C836">
            <v>33476</v>
          </cell>
          <cell r="D836" t="str">
            <v>Daejeon</v>
          </cell>
          <cell r="E836" t="str">
            <v>양찬모</v>
          </cell>
          <cell r="F836" t="str">
            <v>대한주류상사(유)</v>
          </cell>
        </row>
        <row r="837">
          <cell r="C837">
            <v>33502</v>
          </cell>
          <cell r="D837" t="str">
            <v>Daejeon</v>
          </cell>
          <cell r="E837" t="str">
            <v>양찬모</v>
          </cell>
          <cell r="F837" t="str">
            <v>동양상사(유)</v>
          </cell>
        </row>
        <row r="838">
          <cell r="C838">
            <v>85840</v>
          </cell>
          <cell r="D838" t="str">
            <v>Daejeon</v>
          </cell>
          <cell r="E838" t="str">
            <v>양찬모</v>
          </cell>
          <cell r="F838" t="str">
            <v>동양상사(유)_비체펠리스</v>
          </cell>
        </row>
        <row r="839">
          <cell r="C839">
            <v>39219</v>
          </cell>
          <cell r="D839" t="str">
            <v>Daejeon</v>
          </cell>
          <cell r="E839" t="str">
            <v>양찬모</v>
          </cell>
          <cell r="F839" t="str">
            <v>무한종합주류상사</v>
          </cell>
        </row>
        <row r="840">
          <cell r="C840">
            <v>34445</v>
          </cell>
          <cell r="D840" t="str">
            <v>Daejeon</v>
          </cell>
          <cell r="E840" t="str">
            <v>양찬모</v>
          </cell>
          <cell r="F840" t="str">
            <v>백제주류합동(명)</v>
          </cell>
        </row>
        <row r="841">
          <cell r="C841">
            <v>34443</v>
          </cell>
          <cell r="D841" t="str">
            <v>Daejeon</v>
          </cell>
          <cell r="E841" t="str">
            <v>양찬모</v>
          </cell>
          <cell r="F841" t="str">
            <v>부여군주류합동(명)</v>
          </cell>
        </row>
        <row r="842">
          <cell r="C842">
            <v>38139</v>
          </cell>
          <cell r="D842" t="str">
            <v>Daejeon</v>
          </cell>
          <cell r="E842" t="str">
            <v>양찬모</v>
          </cell>
          <cell r="F842" t="str">
            <v>삼화상사(자)</v>
          </cell>
        </row>
        <row r="843">
          <cell r="C843">
            <v>34766</v>
          </cell>
          <cell r="D843" t="str">
            <v>Daejeon</v>
          </cell>
          <cell r="E843" t="str">
            <v>양찬모</v>
          </cell>
          <cell r="F843" t="str">
            <v>서광주류합동 합자회사</v>
          </cell>
        </row>
        <row r="844">
          <cell r="C844">
            <v>33514</v>
          </cell>
          <cell r="D844" t="str">
            <v>Daejeon</v>
          </cell>
          <cell r="E844" t="str">
            <v>양찬모</v>
          </cell>
          <cell r="F844" t="str">
            <v>서령주류 유한회사</v>
          </cell>
        </row>
        <row r="845">
          <cell r="C845">
            <v>37524</v>
          </cell>
          <cell r="D845" t="str">
            <v>Daejeon</v>
          </cell>
          <cell r="E845" t="str">
            <v>양찬모</v>
          </cell>
          <cell r="F845" t="str">
            <v>서림주류상사(유)</v>
          </cell>
        </row>
        <row r="846">
          <cell r="C846">
            <v>33481</v>
          </cell>
          <cell r="D846" t="str">
            <v>Daejeon</v>
          </cell>
          <cell r="E846" t="str">
            <v>양찬모</v>
          </cell>
          <cell r="F846" t="str">
            <v>서산주류판매(주)</v>
          </cell>
        </row>
        <row r="847">
          <cell r="C847">
            <v>39098</v>
          </cell>
          <cell r="D847" t="str">
            <v>Daejeon</v>
          </cell>
          <cell r="E847" t="str">
            <v>양찬모</v>
          </cell>
          <cell r="F847" t="str">
            <v>서천주류상사(합)</v>
          </cell>
        </row>
        <row r="848">
          <cell r="C848">
            <v>33513</v>
          </cell>
          <cell r="D848" t="str">
            <v>Daejeon</v>
          </cell>
          <cell r="E848" t="str">
            <v>양찬모</v>
          </cell>
          <cell r="F848" t="str">
            <v>서해주류(유)</v>
          </cell>
        </row>
        <row r="849">
          <cell r="C849">
            <v>33479</v>
          </cell>
          <cell r="D849" t="str">
            <v>Daejeon</v>
          </cell>
          <cell r="E849" t="str">
            <v>양찬모</v>
          </cell>
          <cell r="F849" t="str">
            <v>신도(주)충남</v>
          </cell>
        </row>
        <row r="850">
          <cell r="C850">
            <v>33544</v>
          </cell>
          <cell r="D850" t="str">
            <v>Daejeon</v>
          </cell>
          <cell r="E850" t="str">
            <v>양찬모</v>
          </cell>
          <cell r="F850" t="str">
            <v>신도상사 유한회사</v>
          </cell>
        </row>
        <row r="851">
          <cell r="C851">
            <v>34421</v>
          </cell>
          <cell r="D851" t="str">
            <v>Daejeon</v>
          </cell>
          <cell r="E851" t="str">
            <v>양찬모</v>
          </cell>
          <cell r="F851" t="str">
            <v>신진(주)</v>
          </cell>
        </row>
        <row r="852">
          <cell r="C852">
            <v>33499</v>
          </cell>
          <cell r="D852" t="str">
            <v>Daejeon</v>
          </cell>
          <cell r="E852" t="str">
            <v>양찬모</v>
          </cell>
          <cell r="F852" t="str">
            <v>신태산주류합동</v>
          </cell>
        </row>
        <row r="853">
          <cell r="C853">
            <v>34444</v>
          </cell>
          <cell r="D853" t="str">
            <v>Daejeon</v>
          </cell>
          <cell r="E853" t="str">
            <v>양찬모</v>
          </cell>
          <cell r="F853" t="str">
            <v>신한주류 유한회사</v>
          </cell>
        </row>
        <row r="854">
          <cell r="C854">
            <v>33517</v>
          </cell>
          <cell r="D854" t="str">
            <v>Daejeon</v>
          </cell>
          <cell r="E854" t="str">
            <v>양찬모</v>
          </cell>
          <cell r="F854" t="str">
            <v>아성주류 주식회사</v>
          </cell>
        </row>
        <row r="855">
          <cell r="C855">
            <v>33492</v>
          </cell>
          <cell r="D855" t="str">
            <v>Daejeon</v>
          </cell>
          <cell r="E855" t="str">
            <v>양찬모</v>
          </cell>
          <cell r="F855" t="str">
            <v>안면상사(유)</v>
          </cell>
        </row>
        <row r="856">
          <cell r="C856">
            <v>33498</v>
          </cell>
          <cell r="D856" t="str">
            <v>Daejeon</v>
          </cell>
          <cell r="E856" t="str">
            <v>양찬모</v>
          </cell>
          <cell r="F856" t="str">
            <v>예산주류(주)</v>
          </cell>
        </row>
        <row r="857">
          <cell r="C857">
            <v>33507</v>
          </cell>
          <cell r="D857" t="str">
            <v>Daejeon</v>
          </cell>
          <cell r="E857" t="str">
            <v>양찬모</v>
          </cell>
          <cell r="F857" t="str">
            <v>오비상사(유)</v>
          </cell>
        </row>
        <row r="858">
          <cell r="C858">
            <v>33504</v>
          </cell>
          <cell r="D858" t="str">
            <v>Daejeon</v>
          </cell>
          <cell r="E858" t="str">
            <v>양찬모</v>
          </cell>
          <cell r="F858" t="str">
            <v>온양상사(주)</v>
          </cell>
        </row>
        <row r="859">
          <cell r="C859">
            <v>33491</v>
          </cell>
          <cell r="D859" t="str">
            <v>Daejeon</v>
          </cell>
          <cell r="E859" t="str">
            <v>양찬모</v>
          </cell>
          <cell r="F859" t="str">
            <v>우리주류상사(자)</v>
          </cell>
        </row>
        <row r="860">
          <cell r="C860">
            <v>35907</v>
          </cell>
          <cell r="D860" t="str">
            <v>Daejeon</v>
          </cell>
          <cell r="E860" t="str">
            <v>양찬모</v>
          </cell>
          <cell r="F860" t="str">
            <v>전풍상사(자)</v>
          </cell>
        </row>
        <row r="861">
          <cell r="C861">
            <v>33495</v>
          </cell>
          <cell r="D861" t="str">
            <v>Daejeon</v>
          </cell>
          <cell r="E861" t="str">
            <v>양찬모</v>
          </cell>
          <cell r="F861" t="str">
            <v>제일상사(유)(보령)</v>
          </cell>
        </row>
        <row r="862">
          <cell r="C862">
            <v>36366</v>
          </cell>
          <cell r="D862" t="str">
            <v>Daejeon</v>
          </cell>
          <cell r="E862" t="str">
            <v>양찬모</v>
          </cell>
          <cell r="F862" t="str">
            <v>종합주류(합)</v>
          </cell>
        </row>
        <row r="863">
          <cell r="C863">
            <v>33511</v>
          </cell>
          <cell r="D863" t="str">
            <v>Daejeon</v>
          </cell>
          <cell r="E863" t="str">
            <v>양찬모</v>
          </cell>
          <cell r="F863" t="str">
            <v>집합상사(자)</v>
          </cell>
        </row>
        <row r="864">
          <cell r="C864">
            <v>34446</v>
          </cell>
          <cell r="D864" t="str">
            <v>Daejeon</v>
          </cell>
          <cell r="E864" t="str">
            <v>양찬모</v>
          </cell>
          <cell r="F864" t="str">
            <v>창성(주)</v>
          </cell>
        </row>
        <row r="865">
          <cell r="C865">
            <v>33490</v>
          </cell>
          <cell r="D865" t="str">
            <v>Daejeon</v>
          </cell>
          <cell r="E865" t="str">
            <v>양찬모</v>
          </cell>
          <cell r="F865" t="str">
            <v>천안상사(주)</v>
          </cell>
        </row>
        <row r="866">
          <cell r="C866">
            <v>33485</v>
          </cell>
          <cell r="D866" t="str">
            <v>Daejeon</v>
          </cell>
          <cell r="E866" t="str">
            <v>양찬모</v>
          </cell>
          <cell r="F866" t="str">
            <v>천안종합주류상사(자)</v>
          </cell>
        </row>
        <row r="867">
          <cell r="C867">
            <v>33488</v>
          </cell>
          <cell r="D867" t="str">
            <v>Daejeon</v>
          </cell>
          <cell r="E867" t="str">
            <v>양찬모</v>
          </cell>
          <cell r="F867" t="str">
            <v>천원합동(자)</v>
          </cell>
        </row>
        <row r="868">
          <cell r="C868">
            <v>33510</v>
          </cell>
          <cell r="D868" t="str">
            <v>Daejeon</v>
          </cell>
          <cell r="E868" t="str">
            <v>양찬모</v>
          </cell>
          <cell r="F868" t="str">
            <v>청마주류(주)</v>
          </cell>
        </row>
        <row r="869">
          <cell r="C869">
            <v>33518</v>
          </cell>
          <cell r="D869" t="str">
            <v>Daejeon</v>
          </cell>
          <cell r="E869" t="str">
            <v>양찬모</v>
          </cell>
          <cell r="F869" t="str">
            <v>청양주류(유)</v>
          </cell>
        </row>
        <row r="870">
          <cell r="C870">
            <v>33482</v>
          </cell>
          <cell r="D870" t="str">
            <v>Daejeon</v>
          </cell>
          <cell r="E870" t="str">
            <v>양찬모</v>
          </cell>
          <cell r="F870" t="str">
            <v>충무상사(자)</v>
          </cell>
        </row>
        <row r="871">
          <cell r="C871">
            <v>33496</v>
          </cell>
          <cell r="D871" t="str">
            <v>Daejeon</v>
          </cell>
          <cell r="E871" t="str">
            <v>양찬모</v>
          </cell>
          <cell r="F871" t="str">
            <v>태산주류합동 유한회사</v>
          </cell>
        </row>
        <row r="872">
          <cell r="C872">
            <v>33493</v>
          </cell>
          <cell r="D872" t="str">
            <v>Daejeon</v>
          </cell>
          <cell r="E872" t="str">
            <v>양찬모</v>
          </cell>
          <cell r="F872" t="str">
            <v>태안주류판매(자)</v>
          </cell>
        </row>
        <row r="873">
          <cell r="C873">
            <v>33483</v>
          </cell>
          <cell r="D873" t="str">
            <v>Daejeon</v>
          </cell>
          <cell r="E873" t="str">
            <v>양찬모</v>
          </cell>
          <cell r="F873" t="str">
            <v>태왕상사(자)</v>
          </cell>
        </row>
        <row r="874">
          <cell r="C874">
            <v>33484</v>
          </cell>
          <cell r="D874" t="str">
            <v>Daejeon</v>
          </cell>
          <cell r="E874" t="str">
            <v>양찬모</v>
          </cell>
          <cell r="F874" t="str">
            <v>태창상사(자)</v>
          </cell>
        </row>
        <row r="875">
          <cell r="C875">
            <v>33480</v>
          </cell>
          <cell r="D875" t="str">
            <v>Daejeon</v>
          </cell>
          <cell r="E875" t="str">
            <v>양찬모</v>
          </cell>
          <cell r="F875" t="str">
            <v>평화상사(유)</v>
          </cell>
        </row>
        <row r="876">
          <cell r="C876">
            <v>33503</v>
          </cell>
          <cell r="D876" t="str">
            <v>Daejeon</v>
          </cell>
          <cell r="E876" t="str">
            <v>양찬모</v>
          </cell>
          <cell r="F876" t="str">
            <v>한길상사(자)</v>
          </cell>
        </row>
        <row r="877">
          <cell r="C877">
            <v>33505</v>
          </cell>
          <cell r="D877" t="str">
            <v>Daejeon</v>
          </cell>
          <cell r="E877" t="str">
            <v>양찬모</v>
          </cell>
          <cell r="F877" t="str">
            <v>합덕주류상사(합)</v>
          </cell>
        </row>
        <row r="878">
          <cell r="C878">
            <v>33508</v>
          </cell>
          <cell r="D878" t="str">
            <v>Daejeon</v>
          </cell>
          <cell r="E878" t="str">
            <v>양찬모</v>
          </cell>
          <cell r="F878" t="str">
            <v>현대주류상사(자)</v>
          </cell>
        </row>
        <row r="879">
          <cell r="C879">
            <v>33494</v>
          </cell>
          <cell r="D879" t="str">
            <v>Daejeon</v>
          </cell>
          <cell r="E879" t="str">
            <v>양찬모</v>
          </cell>
          <cell r="F879" t="str">
            <v>홍성주류합자회사</v>
          </cell>
        </row>
        <row r="880">
          <cell r="C880">
            <v>35139</v>
          </cell>
          <cell r="D880" t="str">
            <v>Daejeon</v>
          </cell>
          <cell r="E880" t="str">
            <v>양찬모</v>
          </cell>
          <cell r="F880" t="str">
            <v>황산종합주류 합자회사</v>
          </cell>
        </row>
        <row r="881">
          <cell r="C881">
            <v>83636</v>
          </cell>
          <cell r="D881" t="str">
            <v>Daejeon</v>
          </cell>
          <cell r="E881" t="str">
            <v>양찬모</v>
          </cell>
          <cell r="F881" t="str">
            <v>(유)세종주류</v>
          </cell>
        </row>
        <row r="882">
          <cell r="C882">
            <v>35034</v>
          </cell>
          <cell r="D882" t="str">
            <v>Daejeon</v>
          </cell>
          <cell r="E882" t="str">
            <v>양찬모</v>
          </cell>
          <cell r="F882" t="str">
            <v>제일주류합동(주)옥천</v>
          </cell>
        </row>
        <row r="883">
          <cell r="C883">
            <v>33549</v>
          </cell>
          <cell r="D883" t="str">
            <v>Daejeon</v>
          </cell>
          <cell r="E883" t="str">
            <v>양찬모</v>
          </cell>
          <cell r="F883" t="str">
            <v>하나종합주류주식회사</v>
          </cell>
        </row>
        <row r="884">
          <cell r="C884">
            <v>33554</v>
          </cell>
          <cell r="D884" t="str">
            <v>Daejeon</v>
          </cell>
          <cell r="E884" t="str">
            <v>양찬모</v>
          </cell>
          <cell r="F884" t="str">
            <v>성원주류(유)</v>
          </cell>
        </row>
        <row r="885">
          <cell r="C885">
            <v>33577</v>
          </cell>
          <cell r="D885" t="str">
            <v>Daejeon</v>
          </cell>
          <cell r="E885" t="str">
            <v>양찬모</v>
          </cell>
          <cell r="F885" t="str">
            <v>광성합동상사(자)</v>
          </cell>
        </row>
        <row r="886">
          <cell r="C886">
            <v>33584</v>
          </cell>
          <cell r="D886" t="str">
            <v>Daejeon</v>
          </cell>
          <cell r="E886" t="str">
            <v>양찬모</v>
          </cell>
          <cell r="F886" t="str">
            <v>괴산주류합동(자)</v>
          </cell>
        </row>
        <row r="887">
          <cell r="C887">
            <v>33562</v>
          </cell>
          <cell r="D887" t="str">
            <v>Daejeon</v>
          </cell>
          <cell r="E887" t="str">
            <v>양찬모</v>
          </cell>
          <cell r="F887" t="str">
            <v>국원주류합동(자)</v>
          </cell>
        </row>
        <row r="888">
          <cell r="C888">
            <v>39835</v>
          </cell>
          <cell r="D888" t="str">
            <v>Daejeon</v>
          </cell>
          <cell r="E888" t="str">
            <v>양찬모</v>
          </cell>
          <cell r="F888" t="str">
            <v>대광(자)</v>
          </cell>
        </row>
        <row r="889">
          <cell r="C889">
            <v>33548</v>
          </cell>
          <cell r="D889" t="str">
            <v>Daejeon</v>
          </cell>
          <cell r="E889" t="str">
            <v>양찬모</v>
          </cell>
          <cell r="F889" t="str">
            <v>대광주류합동상사(자)</v>
          </cell>
        </row>
        <row r="890">
          <cell r="C890">
            <v>33566</v>
          </cell>
          <cell r="D890" t="str">
            <v>Daejeon</v>
          </cell>
          <cell r="E890" t="str">
            <v>양찬모</v>
          </cell>
          <cell r="F890" t="str">
            <v>대성종합주류(유)</v>
          </cell>
        </row>
        <row r="891">
          <cell r="C891">
            <v>34422</v>
          </cell>
          <cell r="D891" t="str">
            <v>Daejeon</v>
          </cell>
          <cell r="E891" t="str">
            <v>양찬모</v>
          </cell>
          <cell r="F891" t="str">
            <v>대양물산(주)</v>
          </cell>
        </row>
        <row r="892">
          <cell r="C892">
            <v>33564</v>
          </cell>
          <cell r="D892" t="str">
            <v>Daejeon</v>
          </cell>
          <cell r="E892" t="str">
            <v>양찬모</v>
          </cell>
          <cell r="F892" t="str">
            <v>대원종합주류(명)</v>
          </cell>
        </row>
        <row r="893">
          <cell r="C893">
            <v>33558</v>
          </cell>
          <cell r="D893" t="str">
            <v>Daejeon</v>
          </cell>
          <cell r="E893" t="str">
            <v>양찬모</v>
          </cell>
          <cell r="F893" t="str">
            <v>국제수입주류합자회사</v>
          </cell>
        </row>
        <row r="894">
          <cell r="C894">
            <v>33574</v>
          </cell>
          <cell r="D894" t="str">
            <v>Daejeon</v>
          </cell>
          <cell r="E894" t="str">
            <v>양찬모</v>
          </cell>
          <cell r="F894" t="str">
            <v>대진종합주류(유)</v>
          </cell>
        </row>
        <row r="895">
          <cell r="C895">
            <v>33563</v>
          </cell>
          <cell r="D895" t="str">
            <v>Daejeon</v>
          </cell>
          <cell r="E895" t="str">
            <v>양찬모</v>
          </cell>
          <cell r="F895" t="str">
            <v>대청종합주류상사(유)</v>
          </cell>
        </row>
        <row r="896">
          <cell r="C896">
            <v>34765</v>
          </cell>
          <cell r="D896" t="str">
            <v>Daejeon</v>
          </cell>
          <cell r="E896" t="str">
            <v>양찬모</v>
          </cell>
          <cell r="F896" t="str">
            <v>동부주류합동(자)</v>
          </cell>
        </row>
        <row r="897">
          <cell r="C897">
            <v>35112</v>
          </cell>
          <cell r="D897" t="str">
            <v>Daejeon</v>
          </cell>
          <cell r="E897" t="str">
            <v>양찬모</v>
          </cell>
          <cell r="F897" t="str">
            <v>보은주류합동(자)</v>
          </cell>
        </row>
        <row r="898">
          <cell r="C898">
            <v>33559</v>
          </cell>
          <cell r="D898" t="str">
            <v>Daejeon</v>
          </cell>
          <cell r="E898" t="str">
            <v>양찬모</v>
          </cell>
          <cell r="F898" t="str">
            <v>삼화상사(주)</v>
          </cell>
        </row>
        <row r="899">
          <cell r="C899">
            <v>33555</v>
          </cell>
          <cell r="D899" t="str">
            <v>Daejeon</v>
          </cell>
          <cell r="E899" t="str">
            <v>양찬모</v>
          </cell>
          <cell r="F899" t="str">
            <v>새한물산(주)</v>
          </cell>
        </row>
        <row r="900">
          <cell r="C900">
            <v>33572</v>
          </cell>
          <cell r="D900" t="str">
            <v>Daejeon</v>
          </cell>
          <cell r="E900" t="str">
            <v>양찬모</v>
          </cell>
          <cell r="F900" t="str">
            <v>서원주류상사(유)</v>
          </cell>
        </row>
        <row r="901">
          <cell r="C901">
            <v>33567</v>
          </cell>
          <cell r="D901" t="str">
            <v>Daejeon</v>
          </cell>
          <cell r="E901" t="str">
            <v>양찬모</v>
          </cell>
          <cell r="F901" t="str">
            <v>성림상사(주)</v>
          </cell>
        </row>
        <row r="902">
          <cell r="C902">
            <v>35298</v>
          </cell>
          <cell r="D902" t="str">
            <v>Daejeon</v>
          </cell>
          <cell r="E902" t="str">
            <v>양찬모</v>
          </cell>
          <cell r="F902" t="str">
            <v>영동주류합동(유)</v>
          </cell>
        </row>
        <row r="903">
          <cell r="C903">
            <v>33581</v>
          </cell>
          <cell r="D903" t="str">
            <v>Daejeon</v>
          </cell>
          <cell r="E903" t="str">
            <v>양찬모</v>
          </cell>
          <cell r="F903" t="str">
            <v>영신주류판매상사(유)</v>
          </cell>
        </row>
        <row r="904">
          <cell r="C904">
            <v>33576</v>
          </cell>
          <cell r="D904" t="str">
            <v>Daejeon</v>
          </cell>
          <cell r="E904" t="str">
            <v>양찬모</v>
          </cell>
          <cell r="F904" t="str">
            <v>예성주류합동(자)</v>
          </cell>
        </row>
        <row r="905">
          <cell r="C905">
            <v>33551</v>
          </cell>
          <cell r="D905" t="str">
            <v>Daejeon</v>
          </cell>
          <cell r="E905" t="str">
            <v>양찬모</v>
          </cell>
          <cell r="F905" t="str">
            <v>우리주류(주)</v>
          </cell>
        </row>
        <row r="906">
          <cell r="C906">
            <v>33573</v>
          </cell>
          <cell r="D906" t="str">
            <v>Daejeon</v>
          </cell>
          <cell r="E906" t="str">
            <v>양찬모</v>
          </cell>
          <cell r="F906" t="str">
            <v>우진상사(자)</v>
          </cell>
        </row>
        <row r="907">
          <cell r="C907">
            <v>33556</v>
          </cell>
          <cell r="D907" t="str">
            <v>Daejeon</v>
          </cell>
          <cell r="E907" t="str">
            <v>양찬모</v>
          </cell>
          <cell r="F907" t="str">
            <v>원진주류(주)</v>
          </cell>
        </row>
        <row r="908">
          <cell r="C908">
            <v>33570</v>
          </cell>
          <cell r="D908" t="str">
            <v>Daejeon</v>
          </cell>
          <cell r="E908" t="str">
            <v>양찬모</v>
          </cell>
          <cell r="F908" t="str">
            <v>음성상사(주)</v>
          </cell>
        </row>
        <row r="909">
          <cell r="C909">
            <v>33583</v>
          </cell>
          <cell r="D909" t="str">
            <v>Daejeon</v>
          </cell>
          <cell r="E909" t="str">
            <v>양찬모</v>
          </cell>
          <cell r="F909" t="str">
            <v>음성합동상사(자)</v>
          </cell>
        </row>
        <row r="910">
          <cell r="C910">
            <v>33553</v>
          </cell>
          <cell r="D910" t="str">
            <v>Daejeon</v>
          </cell>
          <cell r="E910" t="str">
            <v>양찬모</v>
          </cell>
          <cell r="F910" t="str">
            <v>제일상사(유)(청주)</v>
          </cell>
        </row>
        <row r="911">
          <cell r="C911">
            <v>80579</v>
          </cell>
          <cell r="D911" t="str">
            <v>Daejeon</v>
          </cell>
          <cell r="E911" t="str">
            <v>양찬모</v>
          </cell>
          <cell r="F911" t="str">
            <v>중앙주류(유)</v>
          </cell>
        </row>
        <row r="912">
          <cell r="C912">
            <v>33561</v>
          </cell>
          <cell r="D912" t="str">
            <v>Daejeon</v>
          </cell>
          <cell r="E912" t="str">
            <v>양찬모</v>
          </cell>
          <cell r="F912" t="str">
            <v>중원주류상사(명)</v>
          </cell>
        </row>
        <row r="913">
          <cell r="C913">
            <v>34764</v>
          </cell>
          <cell r="D913" t="str">
            <v>Daejeon</v>
          </cell>
          <cell r="E913" t="str">
            <v>양찬모</v>
          </cell>
          <cell r="F913" t="str">
            <v>진천주류합동상사(자)</v>
          </cell>
        </row>
        <row r="914">
          <cell r="C914">
            <v>33552</v>
          </cell>
          <cell r="D914" t="str">
            <v>Daejeon</v>
          </cell>
          <cell r="E914" t="str">
            <v>양찬모</v>
          </cell>
          <cell r="F914" t="str">
            <v>청남주류(자)</v>
          </cell>
        </row>
        <row r="915">
          <cell r="C915">
            <v>33565</v>
          </cell>
          <cell r="D915" t="str">
            <v>Daejeon</v>
          </cell>
          <cell r="E915" t="str">
            <v>양찬모</v>
          </cell>
          <cell r="F915" t="str">
            <v>청원주류상사(유)</v>
          </cell>
        </row>
        <row r="916">
          <cell r="C916">
            <v>33568</v>
          </cell>
          <cell r="D916" t="str">
            <v>Daejeon</v>
          </cell>
          <cell r="E916" t="str">
            <v>양찬모</v>
          </cell>
          <cell r="F916" t="str">
            <v>청주주류상사(유)</v>
          </cell>
        </row>
        <row r="917">
          <cell r="C917">
            <v>33560</v>
          </cell>
          <cell r="D917" t="str">
            <v>Daejeon</v>
          </cell>
          <cell r="E917" t="str">
            <v>양찬모</v>
          </cell>
          <cell r="F917" t="str">
            <v>충북종합주류(주)</v>
          </cell>
        </row>
        <row r="918">
          <cell r="C918">
            <v>33557</v>
          </cell>
          <cell r="D918" t="str">
            <v>Daejeon</v>
          </cell>
          <cell r="E918" t="str">
            <v>양찬모</v>
          </cell>
          <cell r="F918" t="str">
            <v>충청주류(자)</v>
          </cell>
        </row>
        <row r="919">
          <cell r="C919">
            <v>33578</v>
          </cell>
          <cell r="D919" t="str">
            <v>Daejeon</v>
          </cell>
          <cell r="E919" t="str">
            <v>양찬모</v>
          </cell>
          <cell r="F919" t="str">
            <v>탄금합동(명)</v>
          </cell>
        </row>
        <row r="920">
          <cell r="C920">
            <v>33575</v>
          </cell>
          <cell r="D920" t="str">
            <v>Daejeon</v>
          </cell>
          <cell r="E920" t="str">
            <v>양찬모</v>
          </cell>
          <cell r="F920" t="str">
            <v>한국주류 합자회사</v>
          </cell>
        </row>
        <row r="921">
          <cell r="C921">
            <v>83797</v>
          </cell>
          <cell r="D921" t="str">
            <v>Daejeon</v>
          </cell>
          <cell r="E921" t="str">
            <v>양찬모</v>
          </cell>
          <cell r="F921" t="str">
            <v>합자회사 엔에스주류</v>
          </cell>
        </row>
        <row r="922">
          <cell r="C922">
            <v>85971</v>
          </cell>
          <cell r="D922" t="str">
            <v>Daejeon</v>
          </cell>
          <cell r="E922" t="str">
            <v>양찬모</v>
          </cell>
          <cell r="F922" t="str">
            <v>금성종합주류상사(주)</v>
          </cell>
        </row>
        <row r="923">
          <cell r="C923">
            <v>85829</v>
          </cell>
          <cell r="D923" t="str">
            <v>Daejeon</v>
          </cell>
          <cell r="E923" t="str">
            <v>양찬모</v>
          </cell>
          <cell r="F923" t="str">
            <v>에어로케이항공(주)</v>
          </cell>
        </row>
        <row r="924">
          <cell r="C924">
            <v>86019</v>
          </cell>
          <cell r="D924" t="str">
            <v>Daejeon</v>
          </cell>
          <cell r="E924" t="str">
            <v>양찬모</v>
          </cell>
          <cell r="F924" t="str">
            <v>에어로케이항공(주)_DF</v>
          </cell>
        </row>
        <row r="925">
          <cell r="C925">
            <v>86224</v>
          </cell>
          <cell r="D925" t="str">
            <v>Daejeon</v>
          </cell>
          <cell r="E925" t="str">
            <v>양찬모</v>
          </cell>
          <cell r="F925" t="str">
            <v>신태산주류합동(유)_프린세스CC</v>
          </cell>
        </row>
        <row r="926">
          <cell r="C926">
            <v>86186</v>
          </cell>
          <cell r="D926" t="str">
            <v>Daejeon</v>
          </cell>
          <cell r="E926" t="str">
            <v>양찬모</v>
          </cell>
          <cell r="F926" t="str">
            <v>공릉동 원조 멸치국수</v>
          </cell>
        </row>
        <row r="927">
          <cell r="C927">
            <v>86287</v>
          </cell>
          <cell r="D927" t="str">
            <v>Daejeon</v>
          </cell>
          <cell r="E927" t="str">
            <v>양찬모</v>
          </cell>
          <cell r="F927" t="str">
            <v>동산주류상사(주)_유성CC</v>
          </cell>
        </row>
        <row r="928">
          <cell r="C928">
            <v>33284</v>
          </cell>
          <cell r="D928" t="str">
            <v>Seoul</v>
          </cell>
          <cell r="E928" t="str">
            <v>채영한</v>
          </cell>
          <cell r="F928" t="str">
            <v>산수주류 유한회사</v>
          </cell>
        </row>
        <row r="929">
          <cell r="C929">
            <v>84189</v>
          </cell>
          <cell r="D929" t="str">
            <v>Seoul</v>
          </cell>
          <cell r="E929" t="str">
            <v>김성원</v>
          </cell>
          <cell r="F929" t="str">
            <v>(주)서울랜드_쌈이맛</v>
          </cell>
        </row>
        <row r="930">
          <cell r="C930">
            <v>83863</v>
          </cell>
          <cell r="D930" t="str">
            <v>Seoul</v>
          </cell>
          <cell r="E930" t="str">
            <v>오진환</v>
          </cell>
          <cell r="F930" t="str">
            <v>(주)밸류플러스</v>
          </cell>
        </row>
        <row r="931">
          <cell r="C931">
            <v>33969</v>
          </cell>
          <cell r="D931" t="str">
            <v>Gwangju</v>
          </cell>
          <cell r="E931" t="str">
            <v>변재영</v>
          </cell>
          <cell r="F931" t="str">
            <v>고창주류(유)</v>
          </cell>
        </row>
        <row r="932">
          <cell r="C932">
            <v>33955</v>
          </cell>
          <cell r="D932" t="str">
            <v>Gwangju</v>
          </cell>
          <cell r="E932" t="str">
            <v>변재영</v>
          </cell>
          <cell r="F932" t="str">
            <v>가든주류(유)</v>
          </cell>
        </row>
        <row r="933">
          <cell r="C933">
            <v>33966</v>
          </cell>
          <cell r="D933" t="str">
            <v>Gwangju</v>
          </cell>
          <cell r="E933" t="str">
            <v>변재영</v>
          </cell>
          <cell r="F933" t="str">
            <v>강남종합광주</v>
          </cell>
        </row>
        <row r="934">
          <cell r="C934">
            <v>33952</v>
          </cell>
          <cell r="D934" t="str">
            <v>Gwangju</v>
          </cell>
          <cell r="E934" t="str">
            <v>변재영</v>
          </cell>
          <cell r="F934" t="str">
            <v>우진주류(주)</v>
          </cell>
        </row>
        <row r="935">
          <cell r="C935">
            <v>33961</v>
          </cell>
          <cell r="D935" t="str">
            <v>Gwangju</v>
          </cell>
          <cell r="E935" t="str">
            <v>변재영</v>
          </cell>
          <cell r="F935" t="str">
            <v>동양상사광주</v>
          </cell>
        </row>
        <row r="936">
          <cell r="C936">
            <v>33956</v>
          </cell>
          <cell r="D936" t="str">
            <v>Gwangju</v>
          </cell>
          <cell r="E936" t="str">
            <v>변재영</v>
          </cell>
          <cell r="F936" t="str">
            <v>동화상사광주</v>
          </cell>
        </row>
        <row r="937">
          <cell r="C937">
            <v>33949</v>
          </cell>
          <cell r="D937" t="str">
            <v>Gwangju</v>
          </cell>
          <cell r="E937" t="str">
            <v>변재영</v>
          </cell>
          <cell r="F937" t="str">
            <v>오비상사(유)</v>
          </cell>
        </row>
        <row r="938">
          <cell r="C938">
            <v>33954</v>
          </cell>
          <cell r="D938" t="str">
            <v>Gwangju</v>
          </cell>
          <cell r="E938" t="str">
            <v>변재영</v>
          </cell>
          <cell r="F938" t="str">
            <v>광주맥주판매</v>
          </cell>
        </row>
        <row r="939">
          <cell r="C939">
            <v>33948</v>
          </cell>
          <cell r="D939" t="str">
            <v>Gwangju</v>
          </cell>
          <cell r="E939" t="str">
            <v>변재영</v>
          </cell>
          <cell r="F939" t="str">
            <v>동서주류광주</v>
          </cell>
        </row>
        <row r="940">
          <cell r="C940">
            <v>33905</v>
          </cell>
          <cell r="D940" t="str">
            <v>Gwangju</v>
          </cell>
          <cell r="E940" t="str">
            <v>변재영</v>
          </cell>
          <cell r="F940" t="str">
            <v>화순주류합동(자)</v>
          </cell>
        </row>
        <row r="941">
          <cell r="C941">
            <v>33912</v>
          </cell>
          <cell r="D941" t="str">
            <v>Gwangju</v>
          </cell>
          <cell r="E941" t="str">
            <v>변재영</v>
          </cell>
          <cell r="F941" t="str">
            <v>아시아주류상</v>
          </cell>
        </row>
        <row r="942">
          <cell r="C942">
            <v>33957</v>
          </cell>
          <cell r="D942" t="str">
            <v>Gwangju</v>
          </cell>
          <cell r="E942" t="str">
            <v>변재영</v>
          </cell>
          <cell r="F942" t="str">
            <v>부성상사(주)</v>
          </cell>
        </row>
        <row r="943">
          <cell r="C943">
            <v>33904</v>
          </cell>
          <cell r="D943" t="str">
            <v>Gwangju</v>
          </cell>
          <cell r="E943" t="str">
            <v>변재영</v>
          </cell>
          <cell r="F943" t="str">
            <v>제일주류화순</v>
          </cell>
        </row>
        <row r="944">
          <cell r="C944">
            <v>33944</v>
          </cell>
          <cell r="D944" t="str">
            <v>Gwangju</v>
          </cell>
          <cell r="E944" t="str">
            <v>변재영</v>
          </cell>
          <cell r="F944" t="str">
            <v>진광상사(유)</v>
          </cell>
        </row>
        <row r="945">
          <cell r="C945">
            <v>33950</v>
          </cell>
          <cell r="D945" t="str">
            <v>Gwangju</v>
          </cell>
          <cell r="E945" t="str">
            <v>변재영</v>
          </cell>
          <cell r="F945" t="str">
            <v>호남상사광주</v>
          </cell>
        </row>
        <row r="946">
          <cell r="C946">
            <v>33878</v>
          </cell>
          <cell r="D946" t="str">
            <v>Gwangju</v>
          </cell>
          <cell r="E946" t="str">
            <v>변재영</v>
          </cell>
          <cell r="F946" t="str">
            <v>한일상사전남</v>
          </cell>
        </row>
        <row r="947">
          <cell r="C947">
            <v>33880</v>
          </cell>
          <cell r="D947" t="str">
            <v>Gwangju</v>
          </cell>
          <cell r="E947" t="str">
            <v>변재영</v>
          </cell>
          <cell r="F947" t="str">
            <v>성왕상사전남</v>
          </cell>
        </row>
        <row r="948">
          <cell r="C948">
            <v>37294</v>
          </cell>
          <cell r="D948" t="str">
            <v>Gwangju</v>
          </cell>
          <cell r="E948" t="str">
            <v>변재영</v>
          </cell>
          <cell r="F948" t="str">
            <v>성왕상사(명)CJ</v>
          </cell>
        </row>
        <row r="949">
          <cell r="C949">
            <v>33881</v>
          </cell>
          <cell r="D949" t="str">
            <v>Gwangju</v>
          </cell>
          <cell r="E949" t="str">
            <v>변재영</v>
          </cell>
          <cell r="F949" t="str">
            <v>신세계주류상사(유)전</v>
          </cell>
        </row>
        <row r="950">
          <cell r="C950">
            <v>33945</v>
          </cell>
          <cell r="D950" t="str">
            <v>Gwangju</v>
          </cell>
          <cell r="E950" t="str">
            <v>변재영</v>
          </cell>
          <cell r="F950" t="str">
            <v>진성주류합동(창업)</v>
          </cell>
        </row>
        <row r="951">
          <cell r="C951">
            <v>33947</v>
          </cell>
          <cell r="D951" t="str">
            <v>Gwangju</v>
          </cell>
          <cell r="E951" t="str">
            <v>변재영</v>
          </cell>
          <cell r="F951" t="str">
            <v>협심상사(자)</v>
          </cell>
        </row>
        <row r="952">
          <cell r="C952">
            <v>33960</v>
          </cell>
          <cell r="D952" t="str">
            <v>Gwangju</v>
          </cell>
          <cell r="E952" t="str">
            <v>변재영</v>
          </cell>
          <cell r="F952" t="str">
            <v>청수주류광주</v>
          </cell>
        </row>
        <row r="953">
          <cell r="C953">
            <v>33922</v>
          </cell>
          <cell r="D953" t="str">
            <v>Gwangju</v>
          </cell>
          <cell r="E953" t="str">
            <v>변재영</v>
          </cell>
          <cell r="F953" t="str">
            <v>대운주류전남</v>
          </cell>
        </row>
        <row r="954">
          <cell r="C954">
            <v>33913</v>
          </cell>
          <cell r="D954" t="str">
            <v>Gwangju</v>
          </cell>
          <cell r="E954" t="str">
            <v>변재영</v>
          </cell>
          <cell r="F954" t="str">
            <v>현대상사전남</v>
          </cell>
        </row>
        <row r="955">
          <cell r="C955">
            <v>33958</v>
          </cell>
          <cell r="D955" t="str">
            <v>Gwangju</v>
          </cell>
          <cell r="E955" t="str">
            <v>변재영</v>
          </cell>
          <cell r="F955" t="str">
            <v>무등상사(주)</v>
          </cell>
        </row>
        <row r="956">
          <cell r="C956">
            <v>33963</v>
          </cell>
          <cell r="D956" t="str">
            <v>Gwangju</v>
          </cell>
          <cell r="E956" t="str">
            <v>변재영</v>
          </cell>
          <cell r="F956" t="str">
            <v>광산주류판매</v>
          </cell>
        </row>
        <row r="957">
          <cell r="C957">
            <v>33959</v>
          </cell>
          <cell r="D957" t="str">
            <v>Gwangju</v>
          </cell>
          <cell r="E957" t="str">
            <v>변재영</v>
          </cell>
          <cell r="F957" t="str">
            <v>금광상사(자)</v>
          </cell>
        </row>
        <row r="958">
          <cell r="C958">
            <v>33879</v>
          </cell>
          <cell r="D958" t="str">
            <v>Gwangju</v>
          </cell>
          <cell r="E958" t="str">
            <v>변재영</v>
          </cell>
          <cell r="F958" t="str">
            <v>금천주류전남</v>
          </cell>
        </row>
        <row r="959">
          <cell r="C959">
            <v>33962</v>
          </cell>
          <cell r="D959" t="str">
            <v>Gwangju</v>
          </cell>
          <cell r="E959" t="str">
            <v>변재영</v>
          </cell>
          <cell r="F959" t="str">
            <v>대광(주)</v>
          </cell>
        </row>
        <row r="960">
          <cell r="C960">
            <v>33901</v>
          </cell>
          <cell r="D960" t="str">
            <v>Gwangju</v>
          </cell>
          <cell r="E960" t="str">
            <v>변재영</v>
          </cell>
          <cell r="F960" t="str">
            <v>장성합신상사</v>
          </cell>
        </row>
        <row r="961">
          <cell r="C961">
            <v>33902</v>
          </cell>
          <cell r="D961" t="str">
            <v>Gwangju</v>
          </cell>
          <cell r="E961" t="str">
            <v>변재영</v>
          </cell>
          <cell r="F961" t="str">
            <v>황룡주류상사</v>
          </cell>
        </row>
        <row r="962">
          <cell r="C962">
            <v>33951</v>
          </cell>
          <cell r="D962" t="str">
            <v>Gwangju</v>
          </cell>
          <cell r="E962" t="str">
            <v>변재영</v>
          </cell>
          <cell r="F962" t="str">
            <v>광주상사(자)</v>
          </cell>
        </row>
        <row r="963">
          <cell r="C963">
            <v>33965</v>
          </cell>
          <cell r="D963" t="str">
            <v>Gwangju</v>
          </cell>
          <cell r="E963" t="str">
            <v>변재영</v>
          </cell>
          <cell r="F963" t="str">
            <v>광일종합광산</v>
          </cell>
        </row>
        <row r="964">
          <cell r="C964">
            <v>33967</v>
          </cell>
          <cell r="D964" t="str">
            <v>Gwangju</v>
          </cell>
          <cell r="E964" t="str">
            <v>변재영</v>
          </cell>
          <cell r="F964" t="str">
            <v>국진상사광주</v>
          </cell>
        </row>
        <row r="965">
          <cell r="C965">
            <v>33964</v>
          </cell>
          <cell r="D965" t="str">
            <v>Gwangju</v>
          </cell>
          <cell r="E965" t="str">
            <v>변재영</v>
          </cell>
          <cell r="F965" t="str">
            <v>신우주류광주</v>
          </cell>
        </row>
        <row r="966">
          <cell r="C966">
            <v>33928</v>
          </cell>
          <cell r="D966" t="str">
            <v>Gwangju</v>
          </cell>
          <cell r="E966" t="str">
            <v>변재영</v>
          </cell>
          <cell r="F966" t="str">
            <v>합동상사전남</v>
          </cell>
        </row>
        <row r="967">
          <cell r="C967">
            <v>33946</v>
          </cell>
          <cell r="D967" t="str">
            <v>Gwangju</v>
          </cell>
          <cell r="E967" t="str">
            <v>변재영</v>
          </cell>
          <cell r="F967" t="str">
            <v>해동상사광주</v>
          </cell>
        </row>
        <row r="968">
          <cell r="C968">
            <v>36492</v>
          </cell>
          <cell r="D968" t="str">
            <v>Gwangju</v>
          </cell>
          <cell r="E968" t="str">
            <v>변재영</v>
          </cell>
          <cell r="F968" t="str">
            <v>담양주류합동(주)</v>
          </cell>
        </row>
        <row r="969">
          <cell r="C969">
            <v>33987</v>
          </cell>
          <cell r="D969" t="str">
            <v>Gwangju</v>
          </cell>
          <cell r="E969" t="str">
            <v>변재영</v>
          </cell>
          <cell r="F969" t="str">
            <v>전주호남주류</v>
          </cell>
        </row>
        <row r="970">
          <cell r="C970">
            <v>33989</v>
          </cell>
          <cell r="D970" t="str">
            <v>Gwangju</v>
          </cell>
          <cell r="E970" t="str">
            <v>변재영</v>
          </cell>
          <cell r="F970" t="str">
            <v>전주유통(주)</v>
          </cell>
        </row>
        <row r="971">
          <cell r="C971">
            <v>33975</v>
          </cell>
          <cell r="D971" t="str">
            <v>Gwangju</v>
          </cell>
          <cell r="E971" t="str">
            <v>변재영</v>
          </cell>
          <cell r="F971" t="str">
            <v>제일주류전북</v>
          </cell>
        </row>
        <row r="972">
          <cell r="C972">
            <v>33991</v>
          </cell>
          <cell r="D972" t="str">
            <v>Gwangju</v>
          </cell>
          <cell r="E972" t="str">
            <v>변재영</v>
          </cell>
          <cell r="F972" t="str">
            <v>동아상사전북</v>
          </cell>
        </row>
        <row r="973">
          <cell r="C973">
            <v>34018</v>
          </cell>
          <cell r="D973" t="str">
            <v>Gwangju</v>
          </cell>
          <cell r="E973" t="str">
            <v>변재영</v>
          </cell>
          <cell r="F973" t="str">
            <v>전북종합주류</v>
          </cell>
        </row>
        <row r="974">
          <cell r="C974">
            <v>33977</v>
          </cell>
          <cell r="D974" t="str">
            <v>Gwangju</v>
          </cell>
          <cell r="E974" t="str">
            <v>변재영</v>
          </cell>
          <cell r="F974" t="str">
            <v>신진종합주류</v>
          </cell>
        </row>
        <row r="975">
          <cell r="C975">
            <v>34014</v>
          </cell>
          <cell r="D975" t="str">
            <v>Gwangju</v>
          </cell>
          <cell r="E975" t="str">
            <v>변재영</v>
          </cell>
          <cell r="F975" t="str">
            <v>신정주류익산</v>
          </cell>
        </row>
        <row r="976">
          <cell r="C976">
            <v>33996</v>
          </cell>
          <cell r="D976" t="str">
            <v>Gwangju</v>
          </cell>
          <cell r="E976" t="str">
            <v>변재영</v>
          </cell>
          <cell r="F976" t="str">
            <v>백화양주상사</v>
          </cell>
        </row>
        <row r="977">
          <cell r="C977">
            <v>33972</v>
          </cell>
          <cell r="D977" t="str">
            <v>Gwangju</v>
          </cell>
          <cell r="E977" t="str">
            <v>변재영</v>
          </cell>
          <cell r="F977" t="str">
            <v>군산주류군산</v>
          </cell>
        </row>
        <row r="978">
          <cell r="C978">
            <v>34436</v>
          </cell>
          <cell r="D978" t="str">
            <v>Gwangju</v>
          </cell>
          <cell r="E978" t="str">
            <v>변재영</v>
          </cell>
          <cell r="F978" t="str">
            <v>샘물종합주류</v>
          </cell>
        </row>
        <row r="979">
          <cell r="C979">
            <v>33988</v>
          </cell>
          <cell r="D979" t="str">
            <v>Gwangju</v>
          </cell>
          <cell r="E979" t="str">
            <v>변재영</v>
          </cell>
          <cell r="F979" t="str">
            <v>송민체인유한</v>
          </cell>
        </row>
        <row r="980">
          <cell r="C980">
            <v>33995</v>
          </cell>
          <cell r="D980" t="str">
            <v>Gwangju</v>
          </cell>
          <cell r="E980" t="str">
            <v>변재영</v>
          </cell>
          <cell r="F980" t="str">
            <v>성원상사전북</v>
          </cell>
        </row>
        <row r="981">
          <cell r="C981">
            <v>33994</v>
          </cell>
          <cell r="D981" t="str">
            <v>Gwangju</v>
          </cell>
          <cell r="E981" t="str">
            <v>변재영</v>
          </cell>
          <cell r="F981" t="str">
            <v>신일상사전북</v>
          </cell>
        </row>
        <row r="982">
          <cell r="C982">
            <v>34007</v>
          </cell>
          <cell r="D982" t="str">
            <v>Gwangju</v>
          </cell>
          <cell r="E982" t="str">
            <v>변재영</v>
          </cell>
          <cell r="F982" t="str">
            <v>변산주류전북</v>
          </cell>
        </row>
        <row r="983">
          <cell r="C983">
            <v>33973</v>
          </cell>
          <cell r="D983" t="str">
            <v>Gwangju</v>
          </cell>
          <cell r="E983" t="str">
            <v>변재영</v>
          </cell>
          <cell r="F983" t="str">
            <v>조일주류상사</v>
          </cell>
        </row>
        <row r="984">
          <cell r="C984">
            <v>33974</v>
          </cell>
          <cell r="D984" t="str">
            <v>Gwangju</v>
          </cell>
          <cell r="E984" t="str">
            <v>변재영</v>
          </cell>
          <cell r="F984" t="str">
            <v>군장종합주류</v>
          </cell>
        </row>
        <row r="985">
          <cell r="C985">
            <v>33997</v>
          </cell>
          <cell r="D985" t="str">
            <v>Gwangju</v>
          </cell>
          <cell r="E985" t="str">
            <v>변재영</v>
          </cell>
          <cell r="F985" t="str">
            <v>서해주류전북</v>
          </cell>
        </row>
        <row r="986">
          <cell r="C986">
            <v>33976</v>
          </cell>
          <cell r="D986" t="str">
            <v>Gwangju</v>
          </cell>
          <cell r="E986" t="str">
            <v>변재영</v>
          </cell>
          <cell r="F986" t="str">
            <v>한일주류상사</v>
          </cell>
        </row>
        <row r="987">
          <cell r="C987">
            <v>33983</v>
          </cell>
          <cell r="D987" t="str">
            <v>Gwangju</v>
          </cell>
          <cell r="E987" t="str">
            <v>변재영</v>
          </cell>
          <cell r="F987" t="str">
            <v>천마주류상사</v>
          </cell>
        </row>
        <row r="988">
          <cell r="C988">
            <v>33971</v>
          </cell>
          <cell r="D988" t="str">
            <v>Gwangju</v>
          </cell>
          <cell r="E988" t="str">
            <v>변재영</v>
          </cell>
          <cell r="F988" t="str">
            <v>현대주류군산</v>
          </cell>
        </row>
        <row r="989">
          <cell r="C989">
            <v>34023</v>
          </cell>
          <cell r="D989" t="str">
            <v>Gwangju</v>
          </cell>
          <cell r="E989" t="str">
            <v>변재영</v>
          </cell>
          <cell r="F989" t="str">
            <v>우리주류전북</v>
          </cell>
        </row>
        <row r="990">
          <cell r="C990">
            <v>33998</v>
          </cell>
          <cell r="D990" t="str">
            <v>Gwangju</v>
          </cell>
          <cell r="E990" t="str">
            <v>변재영</v>
          </cell>
          <cell r="F990" t="str">
            <v>종합주류전북</v>
          </cell>
        </row>
        <row r="991">
          <cell r="C991">
            <v>33982</v>
          </cell>
          <cell r="D991" t="str">
            <v>Gwangju</v>
          </cell>
          <cell r="E991" t="str">
            <v>변재영</v>
          </cell>
          <cell r="F991" t="str">
            <v>합동전북</v>
          </cell>
        </row>
        <row r="992">
          <cell r="C992">
            <v>33970</v>
          </cell>
          <cell r="D992" t="str">
            <v>Gwangju</v>
          </cell>
          <cell r="E992" t="str">
            <v>변재영</v>
          </cell>
          <cell r="F992" t="str">
            <v>옥구상사(유)</v>
          </cell>
        </row>
        <row r="993">
          <cell r="C993">
            <v>33990</v>
          </cell>
          <cell r="D993" t="str">
            <v>Gwangju</v>
          </cell>
          <cell r="E993" t="str">
            <v>변재영</v>
          </cell>
          <cell r="F993" t="str">
            <v>한국주류전주</v>
          </cell>
        </row>
        <row r="994">
          <cell r="C994">
            <v>34022</v>
          </cell>
          <cell r="D994" t="str">
            <v>Gwangju</v>
          </cell>
          <cell r="E994" t="str">
            <v>변재영</v>
          </cell>
          <cell r="F994" t="str">
            <v>협신상사전북</v>
          </cell>
        </row>
        <row r="995">
          <cell r="C995">
            <v>34021</v>
          </cell>
          <cell r="D995" t="str">
            <v>Gwangju</v>
          </cell>
          <cell r="E995" t="str">
            <v>변재영</v>
          </cell>
          <cell r="F995" t="str">
            <v>대광상사전북</v>
          </cell>
        </row>
        <row r="996">
          <cell r="C996">
            <v>33999</v>
          </cell>
          <cell r="D996" t="str">
            <v>Gwangju</v>
          </cell>
          <cell r="E996" t="str">
            <v>변재영</v>
          </cell>
          <cell r="F996" t="str">
            <v>부안주류전북</v>
          </cell>
        </row>
        <row r="997">
          <cell r="C997">
            <v>33981</v>
          </cell>
          <cell r="D997" t="str">
            <v>Gwangju</v>
          </cell>
          <cell r="E997" t="str">
            <v>변재영</v>
          </cell>
          <cell r="F997" t="str">
            <v>번영주류(유)</v>
          </cell>
        </row>
        <row r="998">
          <cell r="C998">
            <v>33980</v>
          </cell>
          <cell r="D998" t="str">
            <v>Gwangju</v>
          </cell>
          <cell r="E998" t="str">
            <v>변재영</v>
          </cell>
          <cell r="F998" t="str">
            <v>근양주류전북</v>
          </cell>
        </row>
        <row r="999">
          <cell r="C999">
            <v>33992</v>
          </cell>
          <cell r="D999" t="str">
            <v>Gwangju</v>
          </cell>
          <cell r="E999" t="str">
            <v>변재영</v>
          </cell>
          <cell r="F999" t="str">
            <v>샘물주류(유)</v>
          </cell>
        </row>
        <row r="1000">
          <cell r="C1000">
            <v>34004</v>
          </cell>
          <cell r="D1000" t="str">
            <v>Gwangju</v>
          </cell>
          <cell r="E1000" t="str">
            <v>변재영</v>
          </cell>
          <cell r="F1000" t="str">
            <v>동보종합주류전주</v>
          </cell>
        </row>
        <row r="1001">
          <cell r="C1001">
            <v>34002</v>
          </cell>
          <cell r="D1001" t="str">
            <v>Gwangju</v>
          </cell>
          <cell r="E1001" t="str">
            <v>변재영</v>
          </cell>
          <cell r="F1001" t="str">
            <v>동양상사전북</v>
          </cell>
        </row>
        <row r="1002">
          <cell r="C1002">
            <v>34005</v>
          </cell>
          <cell r="D1002" t="str">
            <v>Gwangju</v>
          </cell>
          <cell r="E1002" t="str">
            <v>변재영</v>
          </cell>
          <cell r="F1002" t="str">
            <v>마한주류익산</v>
          </cell>
        </row>
        <row r="1003">
          <cell r="C1003">
            <v>34008</v>
          </cell>
          <cell r="D1003" t="str">
            <v>Gwangju</v>
          </cell>
          <cell r="E1003" t="str">
            <v>변재영</v>
          </cell>
          <cell r="F1003" t="str">
            <v>승화주류전북</v>
          </cell>
        </row>
        <row r="1004">
          <cell r="C1004">
            <v>33978</v>
          </cell>
          <cell r="D1004" t="str">
            <v>Gwangju</v>
          </cell>
          <cell r="E1004" t="str">
            <v>변재영</v>
          </cell>
          <cell r="F1004" t="str">
            <v>영진주류전북</v>
          </cell>
        </row>
        <row r="1005">
          <cell r="C1005">
            <v>33984</v>
          </cell>
          <cell r="D1005" t="str">
            <v>Gwangju</v>
          </cell>
          <cell r="E1005" t="str">
            <v>변재영</v>
          </cell>
          <cell r="F1005" t="str">
            <v>전주양주합동</v>
          </cell>
        </row>
        <row r="1006">
          <cell r="C1006">
            <v>34011</v>
          </cell>
          <cell r="D1006" t="str">
            <v>Gwangju</v>
          </cell>
          <cell r="E1006" t="str">
            <v>변재영</v>
          </cell>
          <cell r="F1006" t="str">
            <v>조은주류전북</v>
          </cell>
        </row>
        <row r="1007">
          <cell r="C1007">
            <v>35083</v>
          </cell>
          <cell r="D1007" t="str">
            <v>Gwangju</v>
          </cell>
          <cell r="E1007" t="str">
            <v>변재영</v>
          </cell>
          <cell r="F1007" t="str">
            <v>협동상사장수</v>
          </cell>
        </row>
        <row r="1008">
          <cell r="C1008">
            <v>34020</v>
          </cell>
          <cell r="D1008" t="str">
            <v>Gwangju</v>
          </cell>
          <cell r="E1008" t="str">
            <v>변재영</v>
          </cell>
          <cell r="F1008" t="str">
            <v>백제주류전북</v>
          </cell>
        </row>
        <row r="1009">
          <cell r="C1009">
            <v>34012</v>
          </cell>
          <cell r="D1009" t="str">
            <v>Gwangju</v>
          </cell>
          <cell r="E1009" t="str">
            <v>변재영</v>
          </cell>
          <cell r="F1009" t="str">
            <v>정읍주류판매(현진종합)</v>
          </cell>
        </row>
        <row r="1010">
          <cell r="C1010">
            <v>33979</v>
          </cell>
          <cell r="D1010" t="str">
            <v>Gwangju</v>
          </cell>
          <cell r="E1010" t="str">
            <v>변재영</v>
          </cell>
          <cell r="F1010" t="str">
            <v>우리주류합동상사(유)</v>
          </cell>
        </row>
        <row r="1011">
          <cell r="C1011">
            <v>34006</v>
          </cell>
          <cell r="D1011" t="str">
            <v>Gwangju</v>
          </cell>
          <cell r="E1011" t="str">
            <v>변재영</v>
          </cell>
          <cell r="F1011" t="str">
            <v>무진상사전북</v>
          </cell>
        </row>
        <row r="1012">
          <cell r="C1012">
            <v>34016</v>
          </cell>
          <cell r="D1012" t="str">
            <v>Gwangju</v>
          </cell>
          <cell r="E1012" t="str">
            <v>변재영</v>
          </cell>
          <cell r="F1012" t="str">
            <v>신라상사전북</v>
          </cell>
        </row>
        <row r="1013">
          <cell r="C1013">
            <v>34017</v>
          </cell>
          <cell r="D1013" t="str">
            <v>Gwangju</v>
          </cell>
          <cell r="E1013" t="str">
            <v>변재영</v>
          </cell>
          <cell r="F1013" t="str">
            <v>익산주류전북</v>
          </cell>
        </row>
        <row r="1014">
          <cell r="C1014">
            <v>34001</v>
          </cell>
          <cell r="D1014" t="str">
            <v>Gwangju</v>
          </cell>
          <cell r="E1014" t="str">
            <v>변재영</v>
          </cell>
          <cell r="F1014" t="str">
            <v>전주상사전주</v>
          </cell>
        </row>
        <row r="1015">
          <cell r="C1015">
            <v>34010</v>
          </cell>
          <cell r="D1015" t="str">
            <v>Gwangju</v>
          </cell>
          <cell r="E1015" t="str">
            <v>변재영</v>
          </cell>
          <cell r="F1015" t="str">
            <v>정일주류전북</v>
          </cell>
        </row>
        <row r="1016">
          <cell r="C1016">
            <v>34003</v>
          </cell>
          <cell r="D1016" t="str">
            <v>Gwangju</v>
          </cell>
          <cell r="E1016" t="str">
            <v>변재영</v>
          </cell>
          <cell r="F1016" t="str">
            <v>주류통합공사</v>
          </cell>
        </row>
        <row r="1017">
          <cell r="C1017">
            <v>34015</v>
          </cell>
          <cell r="D1017" t="str">
            <v>Gwangju</v>
          </cell>
          <cell r="E1017" t="str">
            <v>변재영</v>
          </cell>
          <cell r="F1017" t="str">
            <v>통합상사무주</v>
          </cell>
        </row>
        <row r="1018">
          <cell r="C1018">
            <v>34019</v>
          </cell>
          <cell r="D1018" t="str">
            <v>Gwangju</v>
          </cell>
          <cell r="E1018" t="str">
            <v>변재영</v>
          </cell>
          <cell r="F1018" t="str">
            <v>남원제이주류</v>
          </cell>
        </row>
        <row r="1019">
          <cell r="C1019">
            <v>34643</v>
          </cell>
          <cell r="D1019" t="str">
            <v>Gwangju</v>
          </cell>
          <cell r="E1019" t="str">
            <v>변재영</v>
          </cell>
          <cell r="F1019" t="str">
            <v>제일주류임실</v>
          </cell>
        </row>
        <row r="1020">
          <cell r="C1020">
            <v>35288</v>
          </cell>
          <cell r="D1020" t="str">
            <v>Gwangju</v>
          </cell>
          <cell r="E1020" t="str">
            <v>변재영</v>
          </cell>
          <cell r="F1020" t="str">
            <v>대방주류남원</v>
          </cell>
        </row>
        <row r="1021">
          <cell r="C1021">
            <v>36572</v>
          </cell>
          <cell r="D1021" t="str">
            <v>Gwangju</v>
          </cell>
          <cell r="E1021" t="str">
            <v>변재영</v>
          </cell>
          <cell r="F1021" t="str">
            <v>무주주류 합동상사(유)</v>
          </cell>
        </row>
        <row r="1022">
          <cell r="C1022">
            <v>36667</v>
          </cell>
          <cell r="D1022" t="str">
            <v>Gwangju</v>
          </cell>
          <cell r="E1022" t="str">
            <v>변재영</v>
          </cell>
          <cell r="F1022" t="str">
            <v>세계종합주류(유)</v>
          </cell>
        </row>
        <row r="1023">
          <cell r="C1023">
            <v>37236</v>
          </cell>
          <cell r="D1023" t="str">
            <v>Gwangju</v>
          </cell>
          <cell r="E1023" t="str">
            <v>변재영</v>
          </cell>
          <cell r="F1023" t="str">
            <v>호남상사(유)</v>
          </cell>
        </row>
        <row r="1024">
          <cell r="C1024">
            <v>37303</v>
          </cell>
          <cell r="D1024" t="str">
            <v>Gwangju</v>
          </cell>
          <cell r="E1024" t="str">
            <v>변재영</v>
          </cell>
          <cell r="F1024" t="str">
            <v>동남주류(유)</v>
          </cell>
        </row>
        <row r="1025">
          <cell r="C1025">
            <v>37617</v>
          </cell>
          <cell r="D1025" t="str">
            <v>Gwangju</v>
          </cell>
          <cell r="E1025" t="str">
            <v>변재영</v>
          </cell>
          <cell r="F1025" t="str">
            <v>해동주류상사(유)</v>
          </cell>
        </row>
        <row r="1026">
          <cell r="C1026">
            <v>37295</v>
          </cell>
          <cell r="D1026" t="str">
            <v>Gwangju</v>
          </cell>
          <cell r="E1026" t="str">
            <v>변재영</v>
          </cell>
          <cell r="F1026" t="str">
            <v>전주종합주류 유한회사</v>
          </cell>
        </row>
        <row r="1027">
          <cell r="C1027">
            <v>35043</v>
          </cell>
          <cell r="D1027" t="str">
            <v>Gwangju</v>
          </cell>
          <cell r="E1027" t="str">
            <v>변재영</v>
          </cell>
          <cell r="F1027" t="str">
            <v>월드주류</v>
          </cell>
        </row>
        <row r="1028">
          <cell r="C1028">
            <v>81454</v>
          </cell>
          <cell r="D1028" t="str">
            <v>Gwangju</v>
          </cell>
          <cell r="E1028" t="str">
            <v>변재영</v>
          </cell>
          <cell r="F1028" t="str">
            <v>삼원상사(유)</v>
          </cell>
        </row>
        <row r="1029">
          <cell r="C1029">
            <v>81584</v>
          </cell>
          <cell r="D1029" t="str">
            <v>Gwangju</v>
          </cell>
          <cell r="E1029" t="str">
            <v>변재영</v>
          </cell>
          <cell r="F1029" t="str">
            <v>한빛종합주류(유)</v>
          </cell>
        </row>
        <row r="1030">
          <cell r="C1030">
            <v>34957</v>
          </cell>
          <cell r="D1030" t="str">
            <v>Gwangju</v>
          </cell>
          <cell r="E1030" t="str">
            <v>변재영</v>
          </cell>
          <cell r="F1030" t="str">
            <v>삼우상사익산</v>
          </cell>
        </row>
        <row r="1031">
          <cell r="C1031">
            <v>33917</v>
          </cell>
          <cell r="D1031" t="str">
            <v>Gwangju</v>
          </cell>
          <cell r="E1031" t="str">
            <v>변재영</v>
          </cell>
          <cell r="F1031" t="str">
            <v>대성주류순천(신세계순천)</v>
          </cell>
        </row>
        <row r="1032">
          <cell r="C1032">
            <v>33930</v>
          </cell>
          <cell r="D1032" t="str">
            <v>Gwangju</v>
          </cell>
          <cell r="E1032" t="str">
            <v>변재영</v>
          </cell>
          <cell r="F1032" t="str">
            <v>태흥물산전남</v>
          </cell>
        </row>
        <row r="1033">
          <cell r="C1033">
            <v>33892</v>
          </cell>
          <cell r="D1033" t="str">
            <v>Gwangju</v>
          </cell>
          <cell r="E1033" t="str">
            <v>변재영</v>
          </cell>
          <cell r="F1033" t="str">
            <v>대일주류전남</v>
          </cell>
        </row>
        <row r="1034">
          <cell r="C1034">
            <v>33935</v>
          </cell>
          <cell r="D1034" t="str">
            <v>Gwangju</v>
          </cell>
          <cell r="E1034" t="str">
            <v>변재영</v>
          </cell>
          <cell r="F1034" t="str">
            <v>한국주류전남</v>
          </cell>
        </row>
        <row r="1035">
          <cell r="C1035">
            <v>33893</v>
          </cell>
          <cell r="D1035" t="str">
            <v>Gwangju</v>
          </cell>
          <cell r="E1035" t="str">
            <v>변재영</v>
          </cell>
          <cell r="F1035" t="str">
            <v>여수맥주여수</v>
          </cell>
        </row>
        <row r="1036">
          <cell r="C1036">
            <v>33882</v>
          </cell>
          <cell r="D1036" t="str">
            <v>Gwangju</v>
          </cell>
          <cell r="E1036" t="str">
            <v>변재영</v>
          </cell>
          <cell r="F1036" t="str">
            <v>목포주류전남</v>
          </cell>
        </row>
        <row r="1037">
          <cell r="C1037">
            <v>33874</v>
          </cell>
          <cell r="D1037" t="str">
            <v>Gwangju</v>
          </cell>
          <cell r="E1037" t="str">
            <v>변재영</v>
          </cell>
          <cell r="F1037" t="str">
            <v>보광주류전남</v>
          </cell>
        </row>
        <row r="1038">
          <cell r="C1038">
            <v>33895</v>
          </cell>
          <cell r="D1038" t="str">
            <v>Gwangju</v>
          </cell>
          <cell r="E1038" t="str">
            <v>변재영</v>
          </cell>
          <cell r="F1038" t="str">
            <v>오복상사전남</v>
          </cell>
        </row>
        <row r="1039">
          <cell r="C1039">
            <v>33900</v>
          </cell>
          <cell r="D1039" t="str">
            <v>Gwangju</v>
          </cell>
          <cell r="E1039" t="str">
            <v>변재영</v>
          </cell>
          <cell r="F1039" t="str">
            <v>영진주류전남</v>
          </cell>
        </row>
        <row r="1040">
          <cell r="C1040">
            <v>33883</v>
          </cell>
          <cell r="D1040" t="str">
            <v>Gwangju</v>
          </cell>
          <cell r="E1040" t="str">
            <v>변재영</v>
          </cell>
          <cell r="F1040" t="str">
            <v>남해상사전남</v>
          </cell>
        </row>
        <row r="1041">
          <cell r="C1041">
            <v>33889</v>
          </cell>
          <cell r="D1041" t="str">
            <v>Gwangju</v>
          </cell>
          <cell r="E1041" t="str">
            <v>변재영</v>
          </cell>
          <cell r="F1041" t="str">
            <v>미래주류(자)</v>
          </cell>
        </row>
        <row r="1042">
          <cell r="C1042">
            <v>33898</v>
          </cell>
          <cell r="D1042" t="str">
            <v>Gwangju</v>
          </cell>
          <cell r="E1042" t="str">
            <v>변재영</v>
          </cell>
          <cell r="F1042" t="str">
            <v>대한상사전남</v>
          </cell>
        </row>
        <row r="1043">
          <cell r="C1043">
            <v>33923</v>
          </cell>
          <cell r="D1043" t="str">
            <v>Gwangju</v>
          </cell>
          <cell r="E1043" t="str">
            <v>변재영</v>
          </cell>
          <cell r="F1043" t="str">
            <v>소천주류전남</v>
          </cell>
        </row>
        <row r="1044">
          <cell r="C1044">
            <v>33899</v>
          </cell>
          <cell r="D1044" t="str">
            <v>Gwangju</v>
          </cell>
          <cell r="E1044" t="str">
            <v>변재영</v>
          </cell>
          <cell r="F1044" t="str">
            <v>전남종합주류</v>
          </cell>
        </row>
        <row r="1045">
          <cell r="C1045">
            <v>33942</v>
          </cell>
          <cell r="D1045" t="str">
            <v>Gwangju</v>
          </cell>
          <cell r="E1045" t="str">
            <v>변재영</v>
          </cell>
          <cell r="F1045" t="str">
            <v>한성종합전남</v>
          </cell>
        </row>
        <row r="1046">
          <cell r="C1046">
            <v>33894</v>
          </cell>
          <cell r="D1046" t="str">
            <v>Gwangju</v>
          </cell>
          <cell r="E1046" t="str">
            <v>변재영</v>
          </cell>
          <cell r="F1046" t="str">
            <v>오대양주류</v>
          </cell>
        </row>
        <row r="1047">
          <cell r="C1047">
            <v>33885</v>
          </cell>
          <cell r="D1047" t="str">
            <v>Gwangju</v>
          </cell>
          <cell r="E1047" t="str">
            <v>변재영</v>
          </cell>
          <cell r="F1047" t="str">
            <v>청도주류상사</v>
          </cell>
        </row>
        <row r="1048">
          <cell r="C1048">
            <v>33926</v>
          </cell>
          <cell r="D1048" t="str">
            <v>Gwangju</v>
          </cell>
          <cell r="E1048" t="str">
            <v>변재영</v>
          </cell>
          <cell r="F1048" t="str">
            <v>곡성주류전남</v>
          </cell>
        </row>
        <row r="1049">
          <cell r="C1049">
            <v>33939</v>
          </cell>
          <cell r="D1049" t="str">
            <v>Gwangju</v>
          </cell>
          <cell r="E1049" t="str">
            <v>변재영</v>
          </cell>
          <cell r="F1049" t="str">
            <v>대신주류보성</v>
          </cell>
        </row>
        <row r="1050">
          <cell r="C1050">
            <v>33877</v>
          </cell>
          <cell r="D1050" t="str">
            <v>Gwangju</v>
          </cell>
          <cell r="E1050" t="str">
            <v>변재영</v>
          </cell>
          <cell r="F1050" t="str">
            <v>히트주류상사</v>
          </cell>
        </row>
        <row r="1051">
          <cell r="C1051">
            <v>33876</v>
          </cell>
          <cell r="D1051" t="str">
            <v>Gwangju</v>
          </cell>
          <cell r="E1051" t="str">
            <v>변재영</v>
          </cell>
          <cell r="F1051" t="str">
            <v>우리주류전남</v>
          </cell>
        </row>
        <row r="1052">
          <cell r="C1052">
            <v>33919</v>
          </cell>
          <cell r="D1052" t="str">
            <v>Gwangju</v>
          </cell>
          <cell r="E1052" t="str">
            <v>변재영</v>
          </cell>
          <cell r="F1052" t="str">
            <v>순천주류전남</v>
          </cell>
        </row>
        <row r="1053">
          <cell r="C1053">
            <v>33890</v>
          </cell>
          <cell r="D1053" t="str">
            <v>Gwangju</v>
          </cell>
          <cell r="E1053" t="str">
            <v>변재영</v>
          </cell>
          <cell r="F1053" t="str">
            <v>팔마주류상사</v>
          </cell>
        </row>
        <row r="1054">
          <cell r="C1054">
            <v>33891</v>
          </cell>
          <cell r="D1054" t="str">
            <v>Gwangju</v>
          </cell>
          <cell r="E1054" t="str">
            <v>변재영</v>
          </cell>
          <cell r="F1054" t="str">
            <v>하나주류전남</v>
          </cell>
        </row>
        <row r="1055">
          <cell r="C1055">
            <v>33896</v>
          </cell>
          <cell r="D1055" t="str">
            <v>Gwangju</v>
          </cell>
          <cell r="E1055" t="str">
            <v>변재영</v>
          </cell>
          <cell r="F1055" t="str">
            <v>여수주류전남</v>
          </cell>
        </row>
        <row r="1056">
          <cell r="C1056">
            <v>34855</v>
          </cell>
          <cell r="D1056" t="str">
            <v>Gwangju</v>
          </cell>
          <cell r="E1056" t="str">
            <v>변재영</v>
          </cell>
          <cell r="F1056" t="str">
            <v>문성상사해남</v>
          </cell>
        </row>
        <row r="1057">
          <cell r="C1057">
            <v>34435</v>
          </cell>
          <cell r="D1057" t="str">
            <v>Gwangju</v>
          </cell>
          <cell r="E1057" t="str">
            <v>변재영</v>
          </cell>
          <cell r="F1057" t="str">
            <v>강진주류전남</v>
          </cell>
        </row>
        <row r="1058">
          <cell r="C1058">
            <v>33938</v>
          </cell>
          <cell r="D1058" t="str">
            <v>Gwangju</v>
          </cell>
          <cell r="E1058" t="str">
            <v>변재영</v>
          </cell>
          <cell r="F1058" t="str">
            <v>중앙상사곡성</v>
          </cell>
        </row>
        <row r="1059">
          <cell r="C1059">
            <v>33897</v>
          </cell>
          <cell r="D1059" t="str">
            <v>Gwangju</v>
          </cell>
          <cell r="E1059" t="str">
            <v>변재영</v>
          </cell>
          <cell r="F1059" t="str">
            <v>한려주류서광</v>
          </cell>
        </row>
        <row r="1060">
          <cell r="C1060">
            <v>33908</v>
          </cell>
          <cell r="D1060" t="str">
            <v>Gwangju</v>
          </cell>
          <cell r="E1060" t="str">
            <v>변재영</v>
          </cell>
          <cell r="F1060" t="str">
            <v>금호주류전남</v>
          </cell>
        </row>
        <row r="1061">
          <cell r="C1061">
            <v>33906</v>
          </cell>
          <cell r="D1061" t="str">
            <v>Gwangju</v>
          </cell>
          <cell r="E1061" t="str">
            <v>변재영</v>
          </cell>
          <cell r="F1061" t="str">
            <v>남부유통전남</v>
          </cell>
        </row>
        <row r="1062">
          <cell r="C1062">
            <v>33918</v>
          </cell>
          <cell r="D1062" t="str">
            <v>Gwangju</v>
          </cell>
          <cell r="E1062" t="str">
            <v>변재영</v>
          </cell>
          <cell r="F1062" t="str">
            <v>대화주류전남</v>
          </cell>
        </row>
        <row r="1063">
          <cell r="C1063">
            <v>33875</v>
          </cell>
          <cell r="D1063" t="str">
            <v>Gwangju</v>
          </cell>
          <cell r="E1063" t="str">
            <v>변재영</v>
          </cell>
          <cell r="F1063" t="str">
            <v>덕성상사광양</v>
          </cell>
        </row>
        <row r="1064">
          <cell r="C1064">
            <v>33920</v>
          </cell>
          <cell r="D1064" t="str">
            <v>Gwangju</v>
          </cell>
          <cell r="E1064" t="str">
            <v>변재영</v>
          </cell>
          <cell r="F1064" t="str">
            <v>동부주류전남</v>
          </cell>
        </row>
        <row r="1065">
          <cell r="C1065">
            <v>33910</v>
          </cell>
          <cell r="D1065" t="str">
            <v>Gwangju</v>
          </cell>
          <cell r="E1065" t="str">
            <v>변재영</v>
          </cell>
          <cell r="F1065" t="str">
            <v>삼산주류전남</v>
          </cell>
        </row>
        <row r="1066">
          <cell r="C1066">
            <v>33929</v>
          </cell>
          <cell r="D1066" t="str">
            <v>Gwangju</v>
          </cell>
          <cell r="E1066" t="str">
            <v>변재영</v>
          </cell>
          <cell r="F1066" t="str">
            <v>상운주류전남</v>
          </cell>
        </row>
        <row r="1067">
          <cell r="C1067">
            <v>33921</v>
          </cell>
          <cell r="D1067" t="str">
            <v>Gwangju</v>
          </cell>
          <cell r="E1067" t="str">
            <v>변재영</v>
          </cell>
          <cell r="F1067" t="str">
            <v>서남주류전남</v>
          </cell>
        </row>
        <row r="1068">
          <cell r="C1068">
            <v>34434</v>
          </cell>
          <cell r="D1068" t="str">
            <v>Gwangju</v>
          </cell>
          <cell r="E1068" t="str">
            <v>변재영</v>
          </cell>
          <cell r="F1068" t="str">
            <v>성실상사전남</v>
          </cell>
        </row>
        <row r="1069">
          <cell r="C1069">
            <v>33907</v>
          </cell>
          <cell r="D1069" t="str">
            <v>Gwangju</v>
          </cell>
          <cell r="E1069" t="str">
            <v>변재영</v>
          </cell>
          <cell r="F1069" t="str">
            <v>신성주류전남</v>
          </cell>
        </row>
        <row r="1070">
          <cell r="C1070">
            <v>33937</v>
          </cell>
          <cell r="D1070" t="str">
            <v>Gwangju</v>
          </cell>
          <cell r="E1070" t="str">
            <v>변재영</v>
          </cell>
          <cell r="F1070" t="str">
            <v>천보상사여수</v>
          </cell>
        </row>
        <row r="1071">
          <cell r="C1071">
            <v>33903</v>
          </cell>
          <cell r="D1071" t="str">
            <v>Gwangju</v>
          </cell>
          <cell r="E1071" t="str">
            <v>변재영</v>
          </cell>
          <cell r="F1071" t="str">
            <v>한신주류전남</v>
          </cell>
        </row>
        <row r="1072">
          <cell r="C1072">
            <v>33925</v>
          </cell>
          <cell r="D1072" t="str">
            <v>Gwangju</v>
          </cell>
          <cell r="E1072" t="str">
            <v>변재영</v>
          </cell>
          <cell r="F1072" t="str">
            <v>호남제일주류</v>
          </cell>
        </row>
        <row r="1073">
          <cell r="C1073">
            <v>33931</v>
          </cell>
          <cell r="D1073" t="str">
            <v>Gwangju</v>
          </cell>
          <cell r="E1073" t="str">
            <v>변재영</v>
          </cell>
          <cell r="F1073" t="str">
            <v>영동주류전남</v>
          </cell>
        </row>
        <row r="1074">
          <cell r="C1074">
            <v>33924</v>
          </cell>
          <cell r="D1074" t="str">
            <v>Gwangju</v>
          </cell>
          <cell r="E1074" t="str">
            <v>변재영</v>
          </cell>
          <cell r="F1074" t="str">
            <v>승달주류전남</v>
          </cell>
        </row>
        <row r="1075">
          <cell r="C1075">
            <v>33886</v>
          </cell>
          <cell r="D1075" t="str">
            <v>Gwangju</v>
          </cell>
          <cell r="E1075" t="str">
            <v>변재영</v>
          </cell>
          <cell r="F1075" t="str">
            <v>신봉황(합자)</v>
          </cell>
        </row>
        <row r="1076">
          <cell r="C1076">
            <v>35124</v>
          </cell>
          <cell r="D1076" t="str">
            <v>Gwangju</v>
          </cell>
          <cell r="E1076" t="str">
            <v>변재영</v>
          </cell>
          <cell r="F1076" t="str">
            <v>봉황주류고흥</v>
          </cell>
        </row>
        <row r="1077">
          <cell r="C1077">
            <v>33887</v>
          </cell>
          <cell r="D1077" t="str">
            <v>Gwangju</v>
          </cell>
          <cell r="E1077" t="str">
            <v>변재영</v>
          </cell>
          <cell r="F1077" t="str">
            <v>거산주류보성</v>
          </cell>
        </row>
        <row r="1078">
          <cell r="C1078">
            <v>33915</v>
          </cell>
          <cell r="D1078" t="str">
            <v>Gwangju</v>
          </cell>
          <cell r="E1078" t="str">
            <v>변재영</v>
          </cell>
          <cell r="F1078" t="str">
            <v>건국주류전남</v>
          </cell>
        </row>
        <row r="1079">
          <cell r="C1079">
            <v>33916</v>
          </cell>
          <cell r="D1079" t="str">
            <v>Gwangju</v>
          </cell>
          <cell r="E1079" t="str">
            <v>변재영</v>
          </cell>
          <cell r="F1079" t="str">
            <v>낭주상사전남</v>
          </cell>
        </row>
        <row r="1080">
          <cell r="C1080">
            <v>33909</v>
          </cell>
          <cell r="D1080" t="str">
            <v>Gwangju</v>
          </cell>
          <cell r="E1080" t="str">
            <v>변재영</v>
          </cell>
          <cell r="F1080" t="str">
            <v>대동주류전남</v>
          </cell>
        </row>
        <row r="1081">
          <cell r="C1081">
            <v>33934</v>
          </cell>
          <cell r="D1081" t="str">
            <v>Gwangju</v>
          </cell>
          <cell r="E1081" t="str">
            <v>변재영</v>
          </cell>
          <cell r="F1081" t="str">
            <v>마로현주류(자)</v>
          </cell>
        </row>
        <row r="1082">
          <cell r="C1082">
            <v>33933</v>
          </cell>
          <cell r="D1082" t="str">
            <v>Gwangju</v>
          </cell>
          <cell r="E1082" t="str">
            <v>변재영</v>
          </cell>
          <cell r="F1082" t="str">
            <v>영산주류전남</v>
          </cell>
        </row>
        <row r="1083">
          <cell r="C1083">
            <v>33943</v>
          </cell>
          <cell r="D1083" t="str">
            <v>Gwangju</v>
          </cell>
          <cell r="E1083" t="str">
            <v>변재영</v>
          </cell>
          <cell r="F1083" t="str">
            <v>유달상사전남</v>
          </cell>
        </row>
        <row r="1084">
          <cell r="C1084">
            <v>33940</v>
          </cell>
          <cell r="D1084" t="str">
            <v>Gwangju</v>
          </cell>
          <cell r="E1084" t="str">
            <v>변재영</v>
          </cell>
          <cell r="F1084" t="str">
            <v>진남주류여수</v>
          </cell>
        </row>
        <row r="1085">
          <cell r="C1085">
            <v>35082</v>
          </cell>
          <cell r="D1085" t="str">
            <v>Gwangju</v>
          </cell>
          <cell r="E1085" t="str">
            <v>변재영</v>
          </cell>
          <cell r="F1085" t="str">
            <v>해일주류상사</v>
          </cell>
        </row>
        <row r="1086">
          <cell r="C1086">
            <v>34818</v>
          </cell>
          <cell r="D1086" t="str">
            <v>Gwangju</v>
          </cell>
          <cell r="E1086" t="str">
            <v>변재영</v>
          </cell>
          <cell r="F1086" t="str">
            <v>옥주주류상사</v>
          </cell>
        </row>
        <row r="1087">
          <cell r="C1087">
            <v>35138</v>
          </cell>
          <cell r="D1087" t="str">
            <v>Gwangju</v>
          </cell>
          <cell r="E1087" t="str">
            <v>변재영</v>
          </cell>
          <cell r="F1087" t="str">
            <v>삼보상사</v>
          </cell>
        </row>
        <row r="1088">
          <cell r="C1088">
            <v>35287</v>
          </cell>
          <cell r="D1088" t="str">
            <v>Gwangju</v>
          </cell>
          <cell r="E1088" t="str">
            <v>변재영</v>
          </cell>
          <cell r="F1088" t="str">
            <v>영광판매전남</v>
          </cell>
        </row>
        <row r="1089">
          <cell r="C1089">
            <v>35382</v>
          </cell>
          <cell r="D1089" t="str">
            <v>Gwangju</v>
          </cell>
          <cell r="E1089" t="str">
            <v>변재영</v>
          </cell>
          <cell r="F1089" t="str">
            <v>제일주류해남</v>
          </cell>
        </row>
        <row r="1090">
          <cell r="C1090">
            <v>35416</v>
          </cell>
          <cell r="D1090" t="str">
            <v>Gwangju</v>
          </cell>
          <cell r="E1090" t="str">
            <v>변재영</v>
          </cell>
          <cell r="F1090" t="str">
            <v>해남주류판매(주)</v>
          </cell>
        </row>
        <row r="1091">
          <cell r="C1091">
            <v>35535</v>
          </cell>
          <cell r="D1091" t="str">
            <v>Gwangju</v>
          </cell>
          <cell r="E1091" t="str">
            <v>변재영</v>
          </cell>
          <cell r="F1091" t="str">
            <v>옥당주류판매(명)</v>
          </cell>
        </row>
        <row r="1092">
          <cell r="C1092">
            <v>36355</v>
          </cell>
          <cell r="D1092" t="str">
            <v>Gwangju</v>
          </cell>
          <cell r="E1092" t="str">
            <v>변재영</v>
          </cell>
          <cell r="F1092" t="str">
            <v>금강주류판매(자)</v>
          </cell>
        </row>
        <row r="1093">
          <cell r="C1093">
            <v>36554</v>
          </cell>
          <cell r="D1093" t="str">
            <v>Gwangju</v>
          </cell>
          <cell r="E1093" t="str">
            <v>변재영</v>
          </cell>
          <cell r="F1093" t="str">
            <v>유성주류상사 합자회사</v>
          </cell>
        </row>
        <row r="1094">
          <cell r="C1094">
            <v>36397</v>
          </cell>
          <cell r="D1094" t="str">
            <v>Gwangju</v>
          </cell>
          <cell r="E1094" t="str">
            <v>변재영</v>
          </cell>
          <cell r="F1094" t="str">
            <v>순광주류상사(합명)</v>
          </cell>
        </row>
        <row r="1095">
          <cell r="C1095">
            <v>36393</v>
          </cell>
          <cell r="D1095" t="str">
            <v>Gwangju</v>
          </cell>
          <cell r="E1095" t="str">
            <v>변재영</v>
          </cell>
          <cell r="F1095" t="str">
            <v>백산주류</v>
          </cell>
        </row>
        <row r="1096">
          <cell r="C1096">
            <v>36733</v>
          </cell>
          <cell r="D1096" t="str">
            <v>Gwangju</v>
          </cell>
          <cell r="E1096" t="str">
            <v>변재영</v>
          </cell>
          <cell r="F1096" t="str">
            <v>광양연합주류상사(명)</v>
          </cell>
        </row>
        <row r="1097">
          <cell r="C1097">
            <v>39639</v>
          </cell>
          <cell r="D1097" t="str">
            <v>Gwangju</v>
          </cell>
          <cell r="E1097" t="str">
            <v>변재영</v>
          </cell>
          <cell r="F1097" t="str">
            <v>문암상사(유한)</v>
          </cell>
        </row>
        <row r="1098">
          <cell r="C1098">
            <v>34293</v>
          </cell>
          <cell r="D1098" t="str">
            <v>Gwangju</v>
          </cell>
          <cell r="E1098" t="str">
            <v>변재영</v>
          </cell>
          <cell r="F1098" t="str">
            <v>보해물산(유)</v>
          </cell>
        </row>
        <row r="1099">
          <cell r="C1099">
            <v>80253</v>
          </cell>
          <cell r="D1099" t="str">
            <v>Gwangju</v>
          </cell>
          <cell r="E1099" t="str">
            <v>변재영</v>
          </cell>
          <cell r="F1099" t="str">
            <v>녹동주류(자)</v>
          </cell>
        </row>
        <row r="1100">
          <cell r="C1100">
            <v>80280</v>
          </cell>
          <cell r="D1100" t="str">
            <v>Gwangju</v>
          </cell>
          <cell r="E1100" t="str">
            <v>변재영</v>
          </cell>
          <cell r="F1100" t="str">
            <v>대성주류 유한회사</v>
          </cell>
        </row>
        <row r="1101">
          <cell r="C1101">
            <v>80304</v>
          </cell>
          <cell r="D1101" t="str">
            <v>Gwangju</v>
          </cell>
          <cell r="E1101" t="str">
            <v>변재영</v>
          </cell>
          <cell r="F1101" t="str">
            <v>우성상사(명)</v>
          </cell>
        </row>
        <row r="1102">
          <cell r="C1102">
            <v>80955</v>
          </cell>
          <cell r="D1102" t="str">
            <v>Gwangju</v>
          </cell>
          <cell r="E1102" t="str">
            <v>변재영</v>
          </cell>
          <cell r="F1102" t="str">
            <v>나로주류(합명)</v>
          </cell>
        </row>
        <row r="1103">
          <cell r="C1103">
            <v>34819</v>
          </cell>
          <cell r="D1103" t="str">
            <v>Gwangju</v>
          </cell>
          <cell r="E1103" t="str">
            <v>변재영</v>
          </cell>
          <cell r="F1103" t="str">
            <v>진로주류상사(자)</v>
          </cell>
        </row>
        <row r="1104">
          <cell r="C1104">
            <v>39066</v>
          </cell>
          <cell r="D1104" t="str">
            <v>Gwangju</v>
          </cell>
          <cell r="E1104" t="str">
            <v>변재영</v>
          </cell>
          <cell r="F1104" t="str">
            <v>진도주류상사(유)</v>
          </cell>
        </row>
        <row r="1105">
          <cell r="C1105">
            <v>80303</v>
          </cell>
          <cell r="D1105" t="str">
            <v>Gwangju</v>
          </cell>
          <cell r="E1105" t="str">
            <v>변재영</v>
          </cell>
          <cell r="F1105" t="str">
            <v>소안주류합동판매상사(명)</v>
          </cell>
        </row>
        <row r="1106">
          <cell r="C1106">
            <v>33941</v>
          </cell>
          <cell r="D1106" t="str">
            <v>Gwangju</v>
          </cell>
          <cell r="E1106" t="str">
            <v>변재영</v>
          </cell>
          <cell r="F1106" t="str">
            <v>장흥주류</v>
          </cell>
        </row>
        <row r="1107">
          <cell r="C1107">
            <v>81909</v>
          </cell>
          <cell r="D1107" t="str">
            <v>Gwangju</v>
          </cell>
          <cell r="E1107" t="str">
            <v>변재영</v>
          </cell>
          <cell r="F1107" t="str">
            <v>바른주류</v>
          </cell>
        </row>
        <row r="1108">
          <cell r="C1108">
            <v>83676</v>
          </cell>
          <cell r="D1108" t="str">
            <v>Gwangju</v>
          </cell>
          <cell r="E1108" t="str">
            <v>변재영</v>
          </cell>
          <cell r="F1108" t="str">
            <v>(합)고금주류</v>
          </cell>
        </row>
        <row r="1109">
          <cell r="C1109">
            <v>83791</v>
          </cell>
          <cell r="D1109" t="str">
            <v>Gwangju</v>
          </cell>
          <cell r="E1109" t="str">
            <v>변재영</v>
          </cell>
          <cell r="F1109" t="str">
            <v>(자)완도군주류판매공사</v>
          </cell>
        </row>
        <row r="1110">
          <cell r="C1110">
            <v>85507</v>
          </cell>
          <cell r="D1110" t="str">
            <v>Gwangju</v>
          </cell>
          <cell r="E1110" t="str">
            <v>변재영</v>
          </cell>
          <cell r="F1110" t="str">
            <v>합명회사천지주류</v>
          </cell>
        </row>
        <row r="1111">
          <cell r="C1111">
            <v>83947</v>
          </cell>
          <cell r="D1111" t="str">
            <v>Gwangju</v>
          </cell>
          <cell r="E1111" t="str">
            <v>변재영</v>
          </cell>
          <cell r="F1111" t="str">
            <v>성실주류판매(자)</v>
          </cell>
        </row>
        <row r="1112">
          <cell r="C1112">
            <v>86022</v>
          </cell>
          <cell r="D1112" t="str">
            <v>Gwangju</v>
          </cell>
          <cell r="E1112" t="str">
            <v>변재영</v>
          </cell>
          <cell r="F1112" t="str">
            <v>(유)디오니_스포츠</v>
          </cell>
        </row>
        <row r="1113">
          <cell r="C1113">
            <v>83952</v>
          </cell>
          <cell r="D1113" t="str">
            <v>Gwangju</v>
          </cell>
          <cell r="E1113" t="str">
            <v>변재영</v>
          </cell>
          <cell r="F1113" t="str">
            <v>주식회사 다담리테일</v>
          </cell>
        </row>
        <row r="1114">
          <cell r="C1114">
            <v>85491</v>
          </cell>
          <cell r="D1114" t="str">
            <v>Gwangju</v>
          </cell>
          <cell r="E1114" t="str">
            <v>변재영</v>
          </cell>
          <cell r="F1114" t="str">
            <v>주식회사 풍년종합상사</v>
          </cell>
        </row>
        <row r="1115">
          <cell r="C1115">
            <v>83875</v>
          </cell>
          <cell r="D1115" t="str">
            <v>Gwangju</v>
          </cell>
          <cell r="E1115" t="str">
            <v>변재영</v>
          </cell>
          <cell r="F1115" t="str">
            <v>일신중국주류</v>
          </cell>
        </row>
        <row r="1116">
          <cell r="C1116">
            <v>33066</v>
          </cell>
          <cell r="D1116" t="str">
            <v>Seoul</v>
          </cell>
          <cell r="E1116" t="str">
            <v>정구영</v>
          </cell>
          <cell r="F1116" t="str">
            <v>일호물산(주)</v>
          </cell>
        </row>
        <row r="1117">
          <cell r="C1117">
            <v>83891</v>
          </cell>
          <cell r="D1117" t="str">
            <v>Busan</v>
          </cell>
          <cell r="E1117" t="str">
            <v>김환성</v>
          </cell>
          <cell r="F1117" t="str">
            <v>주식회사 부산종합유통</v>
          </cell>
        </row>
        <row r="1118">
          <cell r="C1118">
            <v>83793</v>
          </cell>
          <cell r="D1118" t="str">
            <v>Daejeon</v>
          </cell>
          <cell r="E1118" t="str">
            <v>양찬모</v>
          </cell>
          <cell r="F1118" t="str">
            <v>(주)종로맥가</v>
          </cell>
        </row>
        <row r="1119">
          <cell r="C1119">
            <v>38099</v>
          </cell>
          <cell r="D1119" t="str">
            <v>Seoul</v>
          </cell>
          <cell r="E1119" t="str">
            <v>박건영</v>
          </cell>
          <cell r="F1119" t="str">
            <v>제일주류판매(주)</v>
          </cell>
        </row>
        <row r="1120">
          <cell r="C1120">
            <v>33238</v>
          </cell>
          <cell r="D1120" t="str">
            <v>Seoul</v>
          </cell>
          <cell r="E1120" t="str">
            <v>채영한</v>
          </cell>
          <cell r="F1120" t="str">
            <v>원창상사(유)</v>
          </cell>
        </row>
        <row r="1121">
          <cell r="C1121">
            <v>33389</v>
          </cell>
          <cell r="D1121" t="str">
            <v>Seoul</v>
          </cell>
          <cell r="E1121" t="str">
            <v>오진환</v>
          </cell>
          <cell r="F1121" t="str">
            <v>보천상사(유한)</v>
          </cell>
        </row>
        <row r="1122">
          <cell r="C1122">
            <v>33312</v>
          </cell>
          <cell r="D1122" t="str">
            <v>Seoul</v>
          </cell>
          <cell r="E1122" t="str">
            <v>모정호</v>
          </cell>
          <cell r="F1122" t="str">
            <v>시화주류(유)</v>
          </cell>
        </row>
        <row r="1123">
          <cell r="C1123">
            <v>86318</v>
          </cell>
          <cell r="D1123" t="str">
            <v>Seoul</v>
          </cell>
          <cell r="E1123" t="str">
            <v>오진환</v>
          </cell>
          <cell r="F1123" t="str">
            <v>논홉</v>
          </cell>
        </row>
        <row r="1124">
          <cell r="C1124">
            <v>84083</v>
          </cell>
          <cell r="D1124" t="str">
            <v>Seoul</v>
          </cell>
          <cell r="E1124" t="str">
            <v>오진환</v>
          </cell>
          <cell r="F1124" t="str">
            <v>(주)이반유통</v>
          </cell>
        </row>
        <row r="1125">
          <cell r="C1125">
            <v>85470</v>
          </cell>
          <cell r="D1125" t="str">
            <v>Seoul</v>
          </cell>
          <cell r="E1125" t="str">
            <v>오진환</v>
          </cell>
          <cell r="F1125" t="str">
            <v>엠디워크스</v>
          </cell>
        </row>
        <row r="1126">
          <cell r="C1126">
            <v>85743</v>
          </cell>
          <cell r="D1126" t="str">
            <v>Seoul</v>
          </cell>
          <cell r="E1126" t="str">
            <v>김성원</v>
          </cell>
          <cell r="F1126" t="str">
            <v>트레이드제이</v>
          </cell>
        </row>
        <row r="1127">
          <cell r="C1127">
            <v>85748</v>
          </cell>
          <cell r="D1127" t="str">
            <v>Seoul</v>
          </cell>
          <cell r="E1127" t="str">
            <v>김성원</v>
          </cell>
          <cell r="F1127" t="str">
            <v>교촌필방</v>
          </cell>
        </row>
        <row r="1128">
          <cell r="C1128">
            <v>85820</v>
          </cell>
          <cell r="D1128" t="str">
            <v>Seoul</v>
          </cell>
          <cell r="E1128" t="str">
            <v>김성원</v>
          </cell>
          <cell r="F1128" t="str">
            <v>아모제푸드(주)_테르메덴</v>
          </cell>
        </row>
        <row r="1129">
          <cell r="C1129">
            <v>86268</v>
          </cell>
          <cell r="D1129" t="str">
            <v>Seoul</v>
          </cell>
          <cell r="E1129" t="str">
            <v>박상일</v>
          </cell>
          <cell r="F1129" t="str">
            <v>대영주류(주)_갓잇</v>
          </cell>
        </row>
        <row r="1130">
          <cell r="C1130">
            <v>33049</v>
          </cell>
          <cell r="D1130" t="str">
            <v>Seoul</v>
          </cell>
          <cell r="E1130" t="str">
            <v>박상일</v>
          </cell>
          <cell r="F1130" t="str">
            <v>서초식품(주)</v>
          </cell>
        </row>
        <row r="1131">
          <cell r="C1131">
            <v>81982</v>
          </cell>
          <cell r="D1131" t="str">
            <v>Seoul</v>
          </cell>
          <cell r="E1131" t="str">
            <v>박상일</v>
          </cell>
          <cell r="F1131" t="str">
            <v>(주)계벽삼주</v>
          </cell>
        </row>
        <row r="1132">
          <cell r="C1132">
            <v>83675</v>
          </cell>
          <cell r="D1132" t="str">
            <v>Seoul</v>
          </cell>
          <cell r="E1132" t="str">
            <v>오진환</v>
          </cell>
          <cell r="F1132" t="str">
            <v>한국쥬맥스(주)</v>
          </cell>
        </row>
        <row r="1133">
          <cell r="C1133">
            <v>83854</v>
          </cell>
          <cell r="D1133" t="str">
            <v>Seoul</v>
          </cell>
          <cell r="E1133" t="str">
            <v>오진환</v>
          </cell>
          <cell r="F1133" t="str">
            <v>주식회사글로벌제너레이션</v>
          </cell>
        </row>
        <row r="1134">
          <cell r="C1134">
            <v>83917</v>
          </cell>
          <cell r="D1134" t="str">
            <v>Seoul</v>
          </cell>
          <cell r="E1134" t="str">
            <v>김성원</v>
          </cell>
          <cell r="F1134" t="str">
            <v>주식회사 송정디앤비</v>
          </cell>
        </row>
        <row r="1135">
          <cell r="C1135">
            <v>83942</v>
          </cell>
          <cell r="D1135" t="str">
            <v>Seoul</v>
          </cell>
          <cell r="E1135" t="str">
            <v>김성원</v>
          </cell>
          <cell r="F1135" t="str">
            <v>(주)오늘연구소</v>
          </cell>
        </row>
        <row r="1136">
          <cell r="C1136">
            <v>84127</v>
          </cell>
          <cell r="D1136" t="str">
            <v>Seoul</v>
          </cell>
          <cell r="E1136" t="str">
            <v>정구영</v>
          </cell>
          <cell r="F1136" t="str">
            <v>아람주류주식회사</v>
          </cell>
        </row>
        <row r="1137">
          <cell r="C1137">
            <v>84159</v>
          </cell>
          <cell r="D1137" t="str">
            <v>Seoul</v>
          </cell>
          <cell r="E1137" t="str">
            <v>김성원</v>
          </cell>
          <cell r="F1137" t="str">
            <v>대일주류합자회사</v>
          </cell>
        </row>
        <row r="1138">
          <cell r="C1138">
            <v>85446</v>
          </cell>
          <cell r="D1138" t="str">
            <v>Seoul</v>
          </cell>
          <cell r="E1138" t="str">
            <v>김성원</v>
          </cell>
          <cell r="F1138" t="str">
            <v>제논 컴퍼니</v>
          </cell>
        </row>
        <row r="1139">
          <cell r="C1139">
            <v>85638</v>
          </cell>
          <cell r="D1139" t="str">
            <v>Seoul</v>
          </cell>
          <cell r="E1139" t="str">
            <v>오진환</v>
          </cell>
          <cell r="F1139" t="str">
            <v>주식회사 엠에스컴퍼니</v>
          </cell>
        </row>
        <row r="1140">
          <cell r="C1140">
            <v>85825</v>
          </cell>
          <cell r="D1140" t="str">
            <v>Seoul</v>
          </cell>
          <cell r="E1140" t="str">
            <v>김성원</v>
          </cell>
          <cell r="F1140" t="str">
            <v>서유통</v>
          </cell>
        </row>
        <row r="1141">
          <cell r="C1141">
            <v>84160</v>
          </cell>
          <cell r="D1141" t="str">
            <v>Seoul</v>
          </cell>
          <cell r="E1141" t="str">
            <v>오진환</v>
          </cell>
          <cell r="F1141" t="str">
            <v>에스디마켓</v>
          </cell>
        </row>
        <row r="1142">
          <cell r="C1142">
            <v>86172</v>
          </cell>
          <cell r="D1142" t="str">
            <v>Seoul</v>
          </cell>
          <cell r="E1142" t="str">
            <v>오진환</v>
          </cell>
          <cell r="F1142" t="str">
            <v>씨제이프레시웨이주식회사</v>
          </cell>
        </row>
        <row r="1143">
          <cell r="C1143">
            <v>83874</v>
          </cell>
          <cell r="D1143" t="str">
            <v>Jeju</v>
          </cell>
          <cell r="E1143" t="str">
            <v>김태현</v>
          </cell>
          <cell r="F1143" t="str">
            <v>플러스월드(주)</v>
          </cell>
        </row>
        <row r="1144">
          <cell r="C1144">
            <v>83857</v>
          </cell>
          <cell r="D1144" t="str">
            <v>Daegu</v>
          </cell>
          <cell r="E1144" t="str">
            <v>김태경</v>
          </cell>
          <cell r="F1144" t="str">
            <v>월드 에프앤비</v>
          </cell>
        </row>
        <row r="1145">
          <cell r="C1145">
            <v>33820</v>
          </cell>
          <cell r="D1145" t="str">
            <v>Busan</v>
          </cell>
          <cell r="E1145" t="str">
            <v>김태훈</v>
          </cell>
          <cell r="F1145" t="str">
            <v>한일주류(유)</v>
          </cell>
        </row>
        <row r="1146">
          <cell r="C1146">
            <v>33794</v>
          </cell>
          <cell r="D1146" t="str">
            <v>Busan</v>
          </cell>
          <cell r="E1146" t="str">
            <v>김태훈</v>
          </cell>
          <cell r="F1146" t="str">
            <v>금성주류(합명)</v>
          </cell>
        </row>
        <row r="1147">
          <cell r="C1147">
            <v>33810</v>
          </cell>
          <cell r="D1147" t="str">
            <v>Busan</v>
          </cell>
          <cell r="E1147" t="str">
            <v>김태훈</v>
          </cell>
          <cell r="F1147" t="str">
            <v>한마음주류(명)</v>
          </cell>
        </row>
        <row r="1148">
          <cell r="C1148">
            <v>34432</v>
          </cell>
          <cell r="D1148" t="str">
            <v>Busan</v>
          </cell>
          <cell r="E1148" t="str">
            <v>김태훈</v>
          </cell>
          <cell r="F1148" t="str">
            <v>대성주류판매(주)</v>
          </cell>
        </row>
        <row r="1149">
          <cell r="C1149">
            <v>33868</v>
          </cell>
          <cell r="D1149" t="str">
            <v>Busan</v>
          </cell>
          <cell r="E1149" t="str">
            <v>김태훈</v>
          </cell>
          <cell r="F1149" t="str">
            <v>광신주류(주)</v>
          </cell>
        </row>
        <row r="1150">
          <cell r="C1150">
            <v>35271</v>
          </cell>
          <cell r="D1150" t="str">
            <v>Busan</v>
          </cell>
          <cell r="E1150" t="str">
            <v>김태훈</v>
          </cell>
          <cell r="F1150" t="str">
            <v>신흥주류(유)</v>
          </cell>
        </row>
        <row r="1151">
          <cell r="C1151">
            <v>33817</v>
          </cell>
          <cell r="D1151" t="str">
            <v>Busan</v>
          </cell>
          <cell r="E1151" t="str">
            <v>김태훈</v>
          </cell>
          <cell r="F1151" t="str">
            <v>와룡주류(유)</v>
          </cell>
        </row>
        <row r="1152">
          <cell r="C1152">
            <v>33808</v>
          </cell>
          <cell r="D1152" t="str">
            <v>Busan</v>
          </cell>
          <cell r="E1152" t="str">
            <v>김태훈</v>
          </cell>
          <cell r="F1152" t="str">
            <v>진산주류(주)</v>
          </cell>
        </row>
        <row r="1153">
          <cell r="C1153">
            <v>34433</v>
          </cell>
          <cell r="D1153" t="str">
            <v>Busan</v>
          </cell>
          <cell r="E1153" t="str">
            <v>김태훈</v>
          </cell>
          <cell r="F1153" t="str">
            <v>경성주류(유)</v>
          </cell>
        </row>
        <row r="1154">
          <cell r="C1154">
            <v>35326</v>
          </cell>
          <cell r="D1154" t="str">
            <v>Busan</v>
          </cell>
          <cell r="E1154" t="str">
            <v>김태훈</v>
          </cell>
          <cell r="F1154" t="str">
            <v>금산주류판매(명)</v>
          </cell>
        </row>
        <row r="1155">
          <cell r="C1155">
            <v>37656</v>
          </cell>
          <cell r="D1155" t="str">
            <v>Busan</v>
          </cell>
          <cell r="E1155" t="str">
            <v>김태훈</v>
          </cell>
          <cell r="F1155" t="str">
            <v>현대주류판매상사(명)</v>
          </cell>
        </row>
        <row r="1156">
          <cell r="C1156">
            <v>33807</v>
          </cell>
          <cell r="D1156" t="str">
            <v>Busan</v>
          </cell>
          <cell r="E1156" t="str">
            <v>김태훈</v>
          </cell>
          <cell r="F1156" t="str">
            <v>통일주류판매상사(유)</v>
          </cell>
        </row>
        <row r="1157">
          <cell r="C1157">
            <v>39157</v>
          </cell>
          <cell r="D1157" t="str">
            <v>Busan</v>
          </cell>
          <cell r="E1157" t="str">
            <v>김태훈</v>
          </cell>
          <cell r="F1157" t="str">
            <v>경남주류판매(주)</v>
          </cell>
        </row>
        <row r="1158">
          <cell r="C1158">
            <v>37518</v>
          </cell>
          <cell r="D1158" t="str">
            <v>Busan</v>
          </cell>
          <cell r="E1158" t="str">
            <v>김태훈</v>
          </cell>
          <cell r="F1158" t="str">
            <v>동아주류판매상사(유)</v>
          </cell>
        </row>
        <row r="1159">
          <cell r="C1159">
            <v>34430</v>
          </cell>
          <cell r="D1159" t="str">
            <v>Busan</v>
          </cell>
          <cell r="E1159" t="str">
            <v>김태훈</v>
          </cell>
          <cell r="F1159" t="str">
            <v>금성주류판매(주)</v>
          </cell>
        </row>
        <row r="1160">
          <cell r="C1160">
            <v>80126</v>
          </cell>
          <cell r="D1160" t="str">
            <v>Busan</v>
          </cell>
          <cell r="E1160" t="str">
            <v>김태훈</v>
          </cell>
          <cell r="F1160" t="str">
            <v>신양상사(자)</v>
          </cell>
        </row>
        <row r="1161">
          <cell r="C1161">
            <v>33826</v>
          </cell>
          <cell r="D1161" t="str">
            <v>Busan</v>
          </cell>
          <cell r="E1161" t="str">
            <v>김태훈</v>
          </cell>
          <cell r="F1161" t="str">
            <v>회원(주)</v>
          </cell>
        </row>
        <row r="1162">
          <cell r="C1162">
            <v>33839</v>
          </cell>
          <cell r="D1162" t="str">
            <v>Busan</v>
          </cell>
          <cell r="E1162" t="str">
            <v>김태훈</v>
          </cell>
          <cell r="F1162" t="str">
            <v>진주주류판매(주)</v>
          </cell>
        </row>
        <row r="1163">
          <cell r="C1163">
            <v>34283</v>
          </cell>
          <cell r="D1163" t="str">
            <v>Busan</v>
          </cell>
          <cell r="E1163" t="str">
            <v>김태훈</v>
          </cell>
          <cell r="F1163" t="str">
            <v>아시아주류 합명회사</v>
          </cell>
        </row>
        <row r="1164">
          <cell r="C1164">
            <v>34992</v>
          </cell>
          <cell r="D1164" t="str">
            <v>Busan</v>
          </cell>
          <cell r="E1164" t="str">
            <v>김태훈</v>
          </cell>
          <cell r="F1164" t="str">
            <v>가람주류(유)</v>
          </cell>
        </row>
        <row r="1165">
          <cell r="C1165">
            <v>35325</v>
          </cell>
          <cell r="D1165" t="str">
            <v>Busan</v>
          </cell>
          <cell r="E1165" t="str">
            <v>김태훈</v>
          </cell>
          <cell r="F1165" t="str">
            <v>서부상사(자)</v>
          </cell>
        </row>
        <row r="1166">
          <cell r="C1166">
            <v>33809</v>
          </cell>
          <cell r="D1166" t="str">
            <v>Busan</v>
          </cell>
          <cell r="E1166" t="str">
            <v>김태훈</v>
          </cell>
          <cell r="F1166" t="str">
            <v>대양주류판매(주)</v>
          </cell>
        </row>
        <row r="1167">
          <cell r="C1167">
            <v>33864</v>
          </cell>
          <cell r="D1167" t="str">
            <v>Busan</v>
          </cell>
          <cell r="E1167" t="str">
            <v>김태훈</v>
          </cell>
          <cell r="F1167" t="str">
            <v>진양주류(주)</v>
          </cell>
        </row>
        <row r="1168">
          <cell r="C1168">
            <v>84035</v>
          </cell>
          <cell r="D1168" t="str">
            <v>Busan</v>
          </cell>
          <cell r="E1168" t="str">
            <v>김태훈</v>
          </cell>
          <cell r="F1168" t="str">
            <v>(유)합동상사</v>
          </cell>
        </row>
        <row r="1169">
          <cell r="C1169">
            <v>83651</v>
          </cell>
          <cell r="D1169" t="str">
            <v>Busan</v>
          </cell>
          <cell r="E1169" t="str">
            <v>김태훈</v>
          </cell>
          <cell r="F1169" t="str">
            <v>광신주류㈜_클럽디</v>
          </cell>
        </row>
        <row r="1170">
          <cell r="C1170">
            <v>35767</v>
          </cell>
          <cell r="D1170" t="str">
            <v>Busan</v>
          </cell>
          <cell r="E1170" t="str">
            <v>김환성</v>
          </cell>
          <cell r="F1170" t="str">
            <v>원수입주류 합자회사</v>
          </cell>
        </row>
        <row r="1171">
          <cell r="C1171">
            <v>33664</v>
          </cell>
          <cell r="D1171" t="str">
            <v>Busan</v>
          </cell>
          <cell r="E1171" t="str">
            <v>김환성</v>
          </cell>
          <cell r="F1171" t="str">
            <v>청설주류(자)</v>
          </cell>
        </row>
        <row r="1172">
          <cell r="C1172">
            <v>33677</v>
          </cell>
          <cell r="D1172" t="str">
            <v>Busan</v>
          </cell>
          <cell r="E1172" t="str">
            <v>김환성</v>
          </cell>
          <cell r="F1172" t="str">
            <v>삼성양주(합)</v>
          </cell>
        </row>
        <row r="1173">
          <cell r="C1173">
            <v>33672</v>
          </cell>
          <cell r="D1173" t="str">
            <v>Busan</v>
          </cell>
          <cell r="E1173" t="str">
            <v>김환성</v>
          </cell>
          <cell r="F1173" t="str">
            <v>울주주류판매상사(주)</v>
          </cell>
        </row>
        <row r="1174">
          <cell r="C1174">
            <v>34423</v>
          </cell>
          <cell r="D1174" t="str">
            <v>Busan</v>
          </cell>
          <cell r="E1174" t="str">
            <v>김환성</v>
          </cell>
          <cell r="F1174" t="str">
            <v>복성상사(주)</v>
          </cell>
        </row>
        <row r="1175">
          <cell r="C1175">
            <v>33679</v>
          </cell>
          <cell r="D1175" t="str">
            <v>Busan</v>
          </cell>
          <cell r="E1175" t="str">
            <v>김환성</v>
          </cell>
          <cell r="F1175" t="str">
            <v>신정주류(명)</v>
          </cell>
        </row>
        <row r="1176">
          <cell r="C1176">
            <v>33675</v>
          </cell>
          <cell r="D1176" t="str">
            <v>Busan</v>
          </cell>
          <cell r="E1176" t="str">
            <v>김환성</v>
          </cell>
          <cell r="F1176" t="str">
            <v>삼원주류판매상사(주)</v>
          </cell>
        </row>
        <row r="1177">
          <cell r="C1177">
            <v>34754</v>
          </cell>
          <cell r="D1177" t="str">
            <v>Busan</v>
          </cell>
          <cell r="E1177" t="str">
            <v>김환성</v>
          </cell>
          <cell r="F1177" t="str">
            <v>신세계주류판매주식회사</v>
          </cell>
        </row>
        <row r="1178">
          <cell r="C1178">
            <v>33680</v>
          </cell>
          <cell r="D1178" t="str">
            <v>Busan</v>
          </cell>
          <cell r="E1178" t="str">
            <v>김환성</v>
          </cell>
          <cell r="F1178" t="str">
            <v>울산주판(명)</v>
          </cell>
        </row>
        <row r="1179">
          <cell r="C1179">
            <v>33678</v>
          </cell>
          <cell r="D1179" t="str">
            <v>Busan</v>
          </cell>
          <cell r="E1179" t="str">
            <v>김환성</v>
          </cell>
          <cell r="F1179" t="str">
            <v>동인주류(주)</v>
          </cell>
        </row>
        <row r="1180">
          <cell r="C1180">
            <v>33667</v>
          </cell>
          <cell r="D1180" t="str">
            <v>Busan</v>
          </cell>
          <cell r="E1180" t="str">
            <v>김환성</v>
          </cell>
          <cell r="F1180" t="str">
            <v>한국주류(주)</v>
          </cell>
        </row>
        <row r="1181">
          <cell r="C1181">
            <v>33666</v>
          </cell>
          <cell r="D1181" t="str">
            <v>Busan</v>
          </cell>
          <cell r="E1181" t="str">
            <v>김환성</v>
          </cell>
          <cell r="F1181" t="str">
            <v>신진주류(주)</v>
          </cell>
        </row>
        <row r="1182">
          <cell r="C1182">
            <v>34425</v>
          </cell>
          <cell r="D1182" t="str">
            <v>Busan</v>
          </cell>
          <cell r="E1182" t="str">
            <v>김환성</v>
          </cell>
          <cell r="F1182" t="str">
            <v>남송종합주류</v>
          </cell>
        </row>
        <row r="1183">
          <cell r="C1183">
            <v>33682</v>
          </cell>
          <cell r="D1183" t="str">
            <v>Busan</v>
          </cell>
          <cell r="E1183" t="str">
            <v>김환성</v>
          </cell>
          <cell r="F1183" t="str">
            <v>국제주류판매상사(명)</v>
          </cell>
        </row>
        <row r="1184">
          <cell r="C1184">
            <v>33681</v>
          </cell>
          <cell r="D1184" t="str">
            <v>Busan</v>
          </cell>
          <cell r="E1184" t="str">
            <v>김환성</v>
          </cell>
          <cell r="F1184" t="str">
            <v>모든주류 유한회사</v>
          </cell>
        </row>
        <row r="1185">
          <cell r="C1185">
            <v>34424</v>
          </cell>
          <cell r="D1185" t="str">
            <v>Busan</v>
          </cell>
          <cell r="E1185" t="str">
            <v>김환성</v>
          </cell>
          <cell r="F1185" t="str">
            <v>동평주류합자회사</v>
          </cell>
        </row>
        <row r="1186">
          <cell r="C1186">
            <v>36088</v>
          </cell>
          <cell r="D1186" t="str">
            <v>Busan</v>
          </cell>
          <cell r="E1186" t="str">
            <v>김환성</v>
          </cell>
          <cell r="F1186" t="str">
            <v>유한회사 금성종합주류</v>
          </cell>
        </row>
        <row r="1187">
          <cell r="C1187">
            <v>33671</v>
          </cell>
          <cell r="D1187" t="str">
            <v>Busan</v>
          </cell>
          <cell r="E1187" t="str">
            <v>김환성</v>
          </cell>
          <cell r="F1187" t="str">
            <v>태화주류(주)</v>
          </cell>
        </row>
        <row r="1188">
          <cell r="C1188">
            <v>86269</v>
          </cell>
          <cell r="D1188" t="str">
            <v>Busan</v>
          </cell>
          <cell r="E1188" t="str">
            <v>김환성</v>
          </cell>
          <cell r="F1188" t="str">
            <v>비에스 주식회사</v>
          </cell>
        </row>
        <row r="1189">
          <cell r="C1189">
            <v>34980</v>
          </cell>
          <cell r="D1189" t="str">
            <v>Seoul</v>
          </cell>
          <cell r="E1189" t="str">
            <v>김민석</v>
          </cell>
          <cell r="F1189" t="str">
            <v xml:space="preserve">티웨이항공(주) </v>
          </cell>
        </row>
        <row r="1190">
          <cell r="C1190">
            <v>84200</v>
          </cell>
          <cell r="D1190" t="str">
            <v>Seoul</v>
          </cell>
          <cell r="E1190" t="str">
            <v>김민석</v>
          </cell>
          <cell r="F1190" t="str">
            <v>티웨이항공(주)_청주</v>
          </cell>
        </row>
        <row r="1191">
          <cell r="C1191">
            <v>33663</v>
          </cell>
          <cell r="D1191" t="str">
            <v>Busan</v>
          </cell>
          <cell r="E1191" t="str">
            <v>김환성</v>
          </cell>
          <cell r="F1191" t="str">
            <v>우주상사주식회사</v>
          </cell>
        </row>
        <row r="1192">
          <cell r="C1192">
            <v>86275</v>
          </cell>
          <cell r="D1192" t="str">
            <v>Seoul</v>
          </cell>
          <cell r="E1192" t="str">
            <v>정구영</v>
          </cell>
          <cell r="F1192" t="str">
            <v>대진주류(주)_Hotel</v>
          </cell>
        </row>
        <row r="1193">
          <cell r="C1193">
            <v>33806</v>
          </cell>
          <cell r="D1193" t="str">
            <v>Busan</v>
          </cell>
          <cell r="E1193" t="str">
            <v>김환성</v>
          </cell>
          <cell r="F1193" t="str">
            <v>대한주류판매상사(명)</v>
          </cell>
        </row>
        <row r="1194">
          <cell r="C1194">
            <v>33269</v>
          </cell>
          <cell r="D1194" t="str">
            <v>Seoul</v>
          </cell>
          <cell r="E1194" t="str">
            <v>모정호</v>
          </cell>
          <cell r="F1194" t="str">
            <v>아람종합종류</v>
          </cell>
        </row>
        <row r="1195">
          <cell r="C1195">
            <v>84040</v>
          </cell>
          <cell r="D1195" t="str">
            <v>Seoul</v>
          </cell>
          <cell r="E1195" t="str">
            <v>김성원</v>
          </cell>
          <cell r="F1195" t="str">
            <v>씨엘소다</v>
          </cell>
        </row>
        <row r="1196">
          <cell r="C1196">
            <v>86032</v>
          </cell>
          <cell r="D1196" t="str">
            <v>Seoul</v>
          </cell>
          <cell r="E1196" t="str">
            <v>김성원</v>
          </cell>
          <cell r="F1196" t="str">
            <v>대성음료</v>
          </cell>
        </row>
        <row r="1197">
          <cell r="C1197">
            <v>83754</v>
          </cell>
          <cell r="D1197" t="str">
            <v>Seoul</v>
          </cell>
          <cell r="E1197" t="str">
            <v>채영한</v>
          </cell>
          <cell r="F1197" t="str">
            <v>(주)엠케이펍</v>
          </cell>
        </row>
        <row r="1198">
          <cell r="C1198">
            <v>86365</v>
          </cell>
          <cell r="D1198" t="str">
            <v>Jeju</v>
          </cell>
          <cell r="E1198" t="str">
            <v>김태현</v>
          </cell>
          <cell r="F1198" t="str">
            <v>주식회사 판다주류제주</v>
          </cell>
        </row>
        <row r="1199">
          <cell r="C1199">
            <v>86368</v>
          </cell>
          <cell r="D1199" t="str">
            <v>Seoul</v>
          </cell>
          <cell r="E1199" t="str">
            <v>김민석</v>
          </cell>
          <cell r="F1199" t="str">
            <v>춘파(합자)</v>
          </cell>
        </row>
        <row r="1200">
          <cell r="C1200">
            <v>86363</v>
          </cell>
          <cell r="D1200" t="str">
            <v>Seoul</v>
          </cell>
          <cell r="E1200" t="str">
            <v>정구영</v>
          </cell>
          <cell r="F1200" t="str">
            <v>서린주류주식회사_모닝</v>
          </cell>
        </row>
        <row r="1201">
          <cell r="C1201">
            <v>86411</v>
          </cell>
          <cell r="D1201" t="str">
            <v>Daejeon</v>
          </cell>
          <cell r="E1201" t="str">
            <v>양찬모</v>
          </cell>
          <cell r="F1201" t="str">
            <v>대명주류상사(유)_한림용인cc</v>
          </cell>
        </row>
        <row r="1202">
          <cell r="C1202">
            <v>86409</v>
          </cell>
          <cell r="D1202" t="str">
            <v>Seoul</v>
          </cell>
          <cell r="E1202" t="str">
            <v>채영한</v>
          </cell>
          <cell r="F1202" t="str">
            <v>우성식품(주)_페스티벌</v>
          </cell>
        </row>
        <row r="1203">
          <cell r="C1203">
            <v>33338</v>
          </cell>
          <cell r="D1203" t="str">
            <v>Seoul</v>
          </cell>
          <cell r="E1203" t="str">
            <v>김민석</v>
          </cell>
          <cell r="F1203" t="str">
            <v>태정종합주류상사유한</v>
          </cell>
        </row>
        <row r="1204">
          <cell r="C1204">
            <v>80372</v>
          </cell>
          <cell r="D1204" t="str">
            <v>Seoul</v>
          </cell>
          <cell r="E1204" t="str">
            <v>채영한</v>
          </cell>
          <cell r="F1204" t="str">
            <v>동광주류판매(주)</v>
          </cell>
        </row>
        <row r="1205">
          <cell r="C1205">
            <v>36580</v>
          </cell>
          <cell r="D1205" t="str">
            <v>Seoul</v>
          </cell>
          <cell r="E1205" t="str">
            <v>박성민</v>
          </cell>
          <cell r="F1205" t="str">
            <v>원천종합주류(유)인천공항</v>
          </cell>
        </row>
        <row r="1206">
          <cell r="C1206">
            <v>86424</v>
          </cell>
          <cell r="D1206" t="str">
            <v>Seoul</v>
          </cell>
          <cell r="E1206" t="str">
            <v>홍건석</v>
          </cell>
          <cell r="F1206" t="str">
            <v>세계주류(주)춘천_ALSM</v>
          </cell>
        </row>
        <row r="1207">
          <cell r="C1207">
            <v>86442</v>
          </cell>
          <cell r="D1207" t="str">
            <v>Seoul</v>
          </cell>
          <cell r="E1207" t="str">
            <v>박상일</v>
          </cell>
          <cell r="F1207" t="str">
            <v>정현종합주류주식회사_프랜차이즈</v>
          </cell>
        </row>
        <row r="1208">
          <cell r="C1208">
            <v>86425</v>
          </cell>
          <cell r="D1208" t="str">
            <v>Daegu</v>
          </cell>
          <cell r="E1208" t="str">
            <v>김태경</v>
          </cell>
          <cell r="F1208" t="str">
            <v>주식회사 태양수입주류</v>
          </cell>
        </row>
        <row r="1209">
          <cell r="C1209">
            <v>86464</v>
          </cell>
          <cell r="D1209" t="str">
            <v>Seoul</v>
          </cell>
          <cell r="E1209" t="str">
            <v>채영한</v>
          </cell>
          <cell r="F1209" t="str">
            <v>엠케이펍(MKPUB)</v>
          </cell>
        </row>
        <row r="1210">
          <cell r="C1210">
            <v>86468</v>
          </cell>
          <cell r="D1210" t="str">
            <v>Daejeon</v>
          </cell>
          <cell r="E1210" t="str">
            <v>양찬모</v>
          </cell>
          <cell r="F1210" t="str">
            <v>유일상사(주)_MacFries</v>
          </cell>
        </row>
        <row r="1211">
          <cell r="C1211">
            <v>86484</v>
          </cell>
          <cell r="D1211" t="str">
            <v>Seoul</v>
          </cell>
          <cell r="E1211" t="str">
            <v>정구영</v>
          </cell>
          <cell r="F1211" t="str">
            <v>명성주류(주)</v>
          </cell>
        </row>
        <row r="1212">
          <cell r="C1212">
            <v>86486</v>
          </cell>
          <cell r="D1212" t="str">
            <v>Seoul</v>
          </cell>
          <cell r="E1212" t="str">
            <v>박상일</v>
          </cell>
          <cell r="F1212" t="str">
            <v>주식회사 위펀풀필먼트</v>
          </cell>
        </row>
        <row r="1213">
          <cell r="C1213">
            <v>86459</v>
          </cell>
          <cell r="D1213" t="str">
            <v>Daejeon</v>
          </cell>
          <cell r="E1213" t="str">
            <v>양찬모</v>
          </cell>
          <cell r="F1213" t="str">
            <v>대덕상사(주)_Thursday Party</v>
          </cell>
        </row>
        <row r="1214">
          <cell r="C1214">
            <v>33105</v>
          </cell>
          <cell r="D1214" t="str">
            <v>Seoul</v>
          </cell>
          <cell r="E1214" t="str">
            <v>채영한</v>
          </cell>
          <cell r="F1214" t="str">
            <v>성북칠성(주)</v>
          </cell>
        </row>
        <row r="1215">
          <cell r="C1215">
            <v>86463</v>
          </cell>
          <cell r="D1215" t="str">
            <v>Daejeon</v>
          </cell>
          <cell r="E1215" t="str">
            <v>양찬모</v>
          </cell>
          <cell r="F1215" t="str">
            <v>주식회사 파라타항공</v>
          </cell>
        </row>
        <row r="1216">
          <cell r="C1216">
            <v>86500</v>
          </cell>
          <cell r="D1216" t="str">
            <v>Seoul</v>
          </cell>
          <cell r="E1216" t="str">
            <v>모정호</v>
          </cell>
          <cell r="F1216" t="str">
            <v>서영주류판매(유)_CLUB</v>
          </cell>
        </row>
        <row r="1217">
          <cell r="C1217">
            <v>86546</v>
          </cell>
          <cell r="D1217" t="str">
            <v>Seoul</v>
          </cell>
          <cell r="E1217" t="str">
            <v>채영한</v>
          </cell>
          <cell r="F1217" t="str">
            <v>주식회사 세정종합주류</v>
          </cell>
        </row>
        <row r="1218">
          <cell r="C1218">
            <v>86469</v>
          </cell>
          <cell r="D1218" t="str">
            <v>Daejeon</v>
          </cell>
          <cell r="E1218" t="str">
            <v>양찬모</v>
          </cell>
          <cell r="F1218" t="str">
            <v>바다주류(주)_브릭클럽</v>
          </cell>
        </row>
        <row r="1219">
          <cell r="C1219">
            <v>86531</v>
          </cell>
          <cell r="D1219" t="str">
            <v>Busan</v>
          </cell>
          <cell r="E1219" t="str">
            <v>김환성</v>
          </cell>
          <cell r="F1219" t="str">
            <v>(명) 삼화주판</v>
          </cell>
        </row>
        <row r="1220">
          <cell r="C1220">
            <v>86560</v>
          </cell>
          <cell r="D1220" t="str">
            <v>Seoul</v>
          </cell>
          <cell r="E1220" t="str">
            <v>박상일</v>
          </cell>
          <cell r="F1220" t="str">
            <v>주식회사 대정_호텔</v>
          </cell>
        </row>
        <row r="1221">
          <cell r="C1221" t="str">
            <v>86581</v>
          </cell>
          <cell r="D1221" t="str">
            <v>Seoul</v>
          </cell>
          <cell r="E1221" t="str">
            <v>홍건석</v>
          </cell>
          <cell r="F1221" t="str">
            <v>(명)평창주류합동</v>
          </cell>
        </row>
        <row r="1222">
          <cell r="C1222">
            <v>86199</v>
          </cell>
          <cell r="D1222" t="str">
            <v>Seoul</v>
          </cell>
          <cell r="E1222" t="str">
            <v>김성원</v>
          </cell>
          <cell r="F1222" t="str">
            <v>알에이크리에이티브</v>
          </cell>
        </row>
        <row r="1223">
          <cell r="C1223">
            <v>86392</v>
          </cell>
          <cell r="D1223" t="str">
            <v>Daegu</v>
          </cell>
          <cell r="E1223" t="str">
            <v>김태경</v>
          </cell>
          <cell r="F1223" t="str">
            <v>청호주류합명회사_디아너스CC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79998168889431442"/>
  </sheetPr>
  <dimension ref="B1:AI546"/>
  <sheetViews>
    <sheetView showGridLines="0" tabSelected="1" topLeftCell="I1" zoomScaleNormal="100" workbookViewId="0">
      <selection activeCell="I19" sqref="I19"/>
    </sheetView>
  </sheetViews>
  <sheetFormatPr defaultRowHeight="17" outlineLevelCol="1"/>
  <cols>
    <col min="2" max="2" width="6.25" style="17" bestFit="1" customWidth="1"/>
    <col min="3" max="3" width="6.5" style="20" bestFit="1" customWidth="1"/>
    <col min="4" max="4" width="7.08203125" style="18" bestFit="1" customWidth="1"/>
    <col min="5" max="5" width="22.75" style="18" bestFit="1" customWidth="1"/>
    <col min="6" max="6" width="48.83203125" style="20" bestFit="1" customWidth="1"/>
    <col min="7" max="7" width="15.08203125" style="39" customWidth="1"/>
    <col min="8" max="8" width="11" style="20" bestFit="1" customWidth="1" outlineLevel="1"/>
    <col min="9" max="9" width="14.83203125" style="20" bestFit="1" customWidth="1" outlineLevel="1"/>
    <col min="10" max="10" width="54.25" style="20" bestFit="1" customWidth="1" outlineLevel="1"/>
    <col min="11" max="21" width="9" style="32"/>
    <col min="22" max="22" width="9" style="33"/>
    <col min="23" max="23" width="9" style="30"/>
    <col min="24" max="24" width="9" style="31"/>
    <col min="25" max="34" width="9" style="32"/>
    <col min="35" max="35" width="9" style="33"/>
  </cols>
  <sheetData>
    <row r="1" spans="2:35">
      <c r="B1" s="58"/>
      <c r="C1"/>
      <c r="D1" s="58"/>
      <c r="E1" s="58"/>
      <c r="F1"/>
      <c r="G1" s="1"/>
      <c r="H1"/>
      <c r="I1"/>
      <c r="J1"/>
      <c r="K1" s="101" t="s">
        <v>2315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/>
      <c r="X1" s="104" t="s">
        <v>2316</v>
      </c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6"/>
    </row>
    <row r="2" spans="2:35">
      <c r="B2" s="14" t="s">
        <v>1158</v>
      </c>
      <c r="C2" s="15" t="s">
        <v>0</v>
      </c>
      <c r="D2" s="16" t="s">
        <v>2313</v>
      </c>
      <c r="E2" s="16" t="s">
        <v>1</v>
      </c>
      <c r="F2" s="15" t="s">
        <v>2314</v>
      </c>
      <c r="G2" s="15" t="s">
        <v>17</v>
      </c>
      <c r="H2" s="15" t="s">
        <v>14</v>
      </c>
      <c r="I2" s="15" t="s">
        <v>15</v>
      </c>
      <c r="J2" s="22" t="s">
        <v>16</v>
      </c>
      <c r="K2" s="24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25" t="s">
        <v>7</v>
      </c>
      <c r="Q2" s="25" t="s">
        <v>8</v>
      </c>
      <c r="R2" s="25" t="s">
        <v>9</v>
      </c>
      <c r="S2" s="25" t="s">
        <v>10</v>
      </c>
      <c r="T2" s="25" t="s">
        <v>11</v>
      </c>
      <c r="U2" s="25" t="s">
        <v>12</v>
      </c>
      <c r="V2" s="26" t="s">
        <v>13</v>
      </c>
      <c r="W2"/>
      <c r="X2" s="24" t="s">
        <v>2</v>
      </c>
      <c r="Y2" s="25" t="s">
        <v>3</v>
      </c>
      <c r="Z2" s="25" t="s">
        <v>4</v>
      </c>
      <c r="AA2" s="25" t="s">
        <v>5</v>
      </c>
      <c r="AB2" s="25" t="s">
        <v>6</v>
      </c>
      <c r="AC2" s="25" t="s">
        <v>7</v>
      </c>
      <c r="AD2" s="25" t="s">
        <v>8</v>
      </c>
      <c r="AE2" s="25" t="s">
        <v>9</v>
      </c>
      <c r="AF2" s="25" t="s">
        <v>10</v>
      </c>
      <c r="AG2" s="25" t="s">
        <v>11</v>
      </c>
      <c r="AH2" s="25" t="s">
        <v>12</v>
      </c>
      <c r="AI2" s="26" t="s">
        <v>13</v>
      </c>
    </row>
    <row r="3" spans="2:35">
      <c r="B3" s="17" t="str">
        <f>IFERROR(VLOOKUP(C3,[1]Sheet2!$C$3:$F$1223,2,0),"")</f>
        <v>Seoul</v>
      </c>
      <c r="C3" s="3">
        <v>33161</v>
      </c>
      <c r="D3" s="18" t="str">
        <f>IFERROR(VLOOKUP(C3,[1]Sheet2!$C$1:$F$1223,3,0),"")</f>
        <v>모정호</v>
      </c>
      <c r="E3" s="18" t="str">
        <f>IFERROR(VLOOKUP(C3,[1]Sheet2!$C$1:$F$1223,4,0),"")</f>
        <v>정방주류(주)</v>
      </c>
      <c r="F3" s="2" t="s">
        <v>25</v>
      </c>
      <c r="G3" s="3" t="s">
        <v>3814</v>
      </c>
      <c r="H3" s="4" t="s">
        <v>21</v>
      </c>
      <c r="I3" s="4" t="s">
        <v>26</v>
      </c>
      <c r="J3" s="23" t="s">
        <v>27</v>
      </c>
      <c r="K3" s="27"/>
      <c r="L3" s="28"/>
      <c r="M3" s="28"/>
      <c r="N3" s="28">
        <v>2</v>
      </c>
      <c r="O3" s="28"/>
      <c r="P3" s="28">
        <v>2</v>
      </c>
      <c r="Q3" s="28"/>
      <c r="R3" s="28">
        <v>2</v>
      </c>
      <c r="S3" s="28">
        <v>2</v>
      </c>
      <c r="T3" s="28"/>
      <c r="U3" s="28"/>
      <c r="V3" s="29"/>
      <c r="Y3" s="32">
        <v>2</v>
      </c>
    </row>
    <row r="4" spans="2:35">
      <c r="B4" s="17" t="str">
        <f>IFERROR(VLOOKUP(C4,[1]Sheet2!$C$3:$F$1223,2,0),"")</f>
        <v>Seoul</v>
      </c>
      <c r="C4" s="3">
        <v>33161</v>
      </c>
      <c r="D4" s="18" t="str">
        <f>IFERROR(VLOOKUP(C4,[1]Sheet2!$C$1:$F$1223,3,0),"")</f>
        <v>모정호</v>
      </c>
      <c r="E4" s="18" t="str">
        <f>IFERROR(VLOOKUP(C4,[1]Sheet2!$C$1:$F$1223,4,0),"")</f>
        <v>정방주류(주)</v>
      </c>
      <c r="F4" s="2" t="s">
        <v>37</v>
      </c>
      <c r="G4" s="3" t="s">
        <v>18</v>
      </c>
      <c r="H4" s="4" t="s">
        <v>21</v>
      </c>
      <c r="I4" s="4" t="s">
        <v>38</v>
      </c>
      <c r="J4" s="23" t="s">
        <v>39</v>
      </c>
      <c r="K4" s="27"/>
      <c r="L4" s="28"/>
      <c r="M4" s="28"/>
      <c r="N4" s="28"/>
      <c r="O4" s="28">
        <v>1</v>
      </c>
      <c r="P4" s="28"/>
      <c r="Q4" s="28"/>
      <c r="R4" s="28"/>
      <c r="S4" s="28"/>
      <c r="T4" s="28"/>
      <c r="U4" s="28"/>
      <c r="V4" s="29"/>
    </row>
    <row r="5" spans="2:35">
      <c r="B5" s="17" t="str">
        <f>IFERROR(VLOOKUP(C5,[1]Sheet2!$C$3:$F$1223,2,0),"")</f>
        <v>Seoul</v>
      </c>
      <c r="C5" s="3">
        <v>33161</v>
      </c>
      <c r="D5" s="18" t="str">
        <f>IFERROR(VLOOKUP(C5,[1]Sheet2!$C$1:$F$1223,3,0),"")</f>
        <v>모정호</v>
      </c>
      <c r="E5" s="18" t="str">
        <f>IFERROR(VLOOKUP(C5,[1]Sheet2!$C$1:$F$1223,4,0),"")</f>
        <v>정방주류(주)</v>
      </c>
      <c r="F5" s="2" t="s">
        <v>40</v>
      </c>
      <c r="G5" s="3" t="s">
        <v>3814</v>
      </c>
      <c r="H5" s="4" t="s">
        <v>21</v>
      </c>
      <c r="I5" s="4" t="s">
        <v>41</v>
      </c>
      <c r="J5" s="23" t="s">
        <v>42</v>
      </c>
      <c r="K5" s="27"/>
      <c r="L5" s="28"/>
      <c r="M5" s="28"/>
      <c r="N5" s="28"/>
      <c r="O5" s="28">
        <v>1</v>
      </c>
      <c r="P5" s="28"/>
      <c r="Q5" s="28"/>
      <c r="R5" s="28"/>
      <c r="S5" s="28"/>
      <c r="T5" s="28"/>
      <c r="U5" s="28"/>
      <c r="V5" s="29"/>
    </row>
    <row r="6" spans="2:35">
      <c r="B6" s="17" t="str">
        <f>IFERROR(VLOOKUP(C6,[1]Sheet2!$C$3:$F$1223,2,0),"")</f>
        <v>Seoul</v>
      </c>
      <c r="C6" s="3">
        <v>80475</v>
      </c>
      <c r="D6" s="18" t="str">
        <f>IFERROR(VLOOKUP(C6,[1]Sheet2!$C$1:$F$1223,3,0),"")</f>
        <v>모정호</v>
      </c>
      <c r="E6" s="18" t="str">
        <f>IFERROR(VLOOKUP(C6,[1]Sheet2!$C$1:$F$1223,4,0),"")</f>
        <v>주당(주)</v>
      </c>
      <c r="F6" s="2" t="s">
        <v>43</v>
      </c>
      <c r="G6" s="3" t="s">
        <v>18</v>
      </c>
      <c r="H6" s="4" t="s">
        <v>21</v>
      </c>
      <c r="I6" s="4" t="s">
        <v>38</v>
      </c>
      <c r="J6" s="23" t="s">
        <v>44</v>
      </c>
      <c r="K6" s="27"/>
      <c r="L6" s="28"/>
      <c r="M6" s="28"/>
      <c r="N6" s="28"/>
      <c r="O6" s="28">
        <v>5</v>
      </c>
      <c r="P6" s="28"/>
      <c r="Q6" s="28"/>
      <c r="R6" s="28">
        <v>3</v>
      </c>
      <c r="S6" s="28">
        <v>2</v>
      </c>
      <c r="T6" s="28"/>
      <c r="U6" s="28"/>
      <c r="V6" s="29"/>
    </row>
    <row r="7" spans="2:35">
      <c r="B7" s="17" t="str">
        <f>IFERROR(VLOOKUP(C7,[1]Sheet2!$C$3:$F$1223,2,0),"")</f>
        <v>Seoul</v>
      </c>
      <c r="C7" s="3">
        <v>80475</v>
      </c>
      <c r="D7" s="18" t="str">
        <f>IFERROR(VLOOKUP(C7,[1]Sheet2!$C$1:$F$1223,3,0),"")</f>
        <v>모정호</v>
      </c>
      <c r="E7" s="18" t="str">
        <f>IFERROR(VLOOKUP(C7,[1]Sheet2!$C$1:$F$1223,4,0),"")</f>
        <v>주당(주)</v>
      </c>
      <c r="F7" s="2" t="s">
        <v>52</v>
      </c>
      <c r="G7" s="3" t="s">
        <v>18</v>
      </c>
      <c r="H7" s="4" t="s">
        <v>21</v>
      </c>
      <c r="I7" s="4" t="s">
        <v>38</v>
      </c>
      <c r="J7" s="23" t="s">
        <v>53</v>
      </c>
      <c r="K7" s="27"/>
      <c r="L7" s="28"/>
      <c r="M7" s="28"/>
      <c r="N7" s="28"/>
      <c r="O7" s="28"/>
      <c r="P7" s="28">
        <v>2</v>
      </c>
      <c r="Q7" s="28">
        <v>2</v>
      </c>
      <c r="R7" s="28">
        <v>2</v>
      </c>
      <c r="S7" s="28">
        <v>2</v>
      </c>
      <c r="T7" s="28">
        <v>2</v>
      </c>
      <c r="U7" s="28">
        <v>2</v>
      </c>
      <c r="V7" s="29">
        <v>2</v>
      </c>
    </row>
    <row r="8" spans="2:35">
      <c r="B8" s="17" t="str">
        <f>IFERROR(VLOOKUP(C8,[1]Sheet2!$C$3:$F$1223,2,0),"")</f>
        <v>Seoul</v>
      </c>
      <c r="C8" s="3">
        <v>80475</v>
      </c>
      <c r="D8" s="18" t="str">
        <f>IFERROR(VLOOKUP(C8,[1]Sheet2!$C$1:$F$1223,3,0),"")</f>
        <v>모정호</v>
      </c>
      <c r="E8" s="18" t="str">
        <f>IFERROR(VLOOKUP(C8,[1]Sheet2!$C$1:$F$1223,4,0),"")</f>
        <v>주당(주)</v>
      </c>
      <c r="F8" s="2" t="s">
        <v>59</v>
      </c>
      <c r="G8" s="3" t="s">
        <v>18</v>
      </c>
      <c r="H8" s="4" t="s">
        <v>21</v>
      </c>
      <c r="I8" s="4" t="s">
        <v>38</v>
      </c>
      <c r="J8" s="23" t="s">
        <v>60</v>
      </c>
      <c r="K8" s="27"/>
      <c r="L8" s="28"/>
      <c r="M8" s="28"/>
      <c r="N8" s="28"/>
      <c r="O8" s="28"/>
      <c r="P8" s="28">
        <v>1</v>
      </c>
      <c r="Q8" s="28"/>
      <c r="R8" s="28"/>
      <c r="S8" s="28"/>
      <c r="T8" s="28"/>
      <c r="U8" s="28"/>
      <c r="V8" s="29"/>
    </row>
    <row r="9" spans="2:35">
      <c r="B9" s="17" t="str">
        <f>IFERROR(VLOOKUP(C9,[1]Sheet2!$C$3:$F$1223,2,0),"")</f>
        <v>Seoul</v>
      </c>
      <c r="C9" s="3">
        <v>33239</v>
      </c>
      <c r="D9" s="18" t="str">
        <f>IFERROR(VLOOKUP(C9,[1]Sheet2!$C$1:$F$1223,3,0),"")</f>
        <v>모정호</v>
      </c>
      <c r="E9" s="18" t="str">
        <f>IFERROR(VLOOKUP(C9,[1]Sheet2!$C$1:$F$1223,4,0),"")</f>
        <v>석송주류(유)</v>
      </c>
      <c r="F9" s="2" t="s">
        <v>64</v>
      </c>
      <c r="G9" s="3" t="s">
        <v>3814</v>
      </c>
      <c r="H9" s="4" t="s">
        <v>21</v>
      </c>
      <c r="I9" s="4" t="s">
        <v>65</v>
      </c>
      <c r="J9" s="23" t="s">
        <v>66</v>
      </c>
      <c r="K9" s="27"/>
      <c r="L9" s="28"/>
      <c r="M9" s="28"/>
      <c r="N9" s="28"/>
      <c r="O9" s="28"/>
      <c r="P9" s="28"/>
      <c r="Q9" s="28">
        <v>3</v>
      </c>
      <c r="R9" s="28">
        <v>2</v>
      </c>
      <c r="S9" s="28"/>
      <c r="T9" s="28">
        <v>2</v>
      </c>
      <c r="U9" s="28">
        <v>2</v>
      </c>
      <c r="V9" s="29"/>
    </row>
    <row r="10" spans="2:35">
      <c r="B10" s="17" t="str">
        <f>IFERROR(VLOOKUP(C10,[1]Sheet2!$C$3:$F$1223,2,0),"")</f>
        <v>Seoul</v>
      </c>
      <c r="C10" s="3">
        <v>33065</v>
      </c>
      <c r="D10" s="18" t="str">
        <f>IFERROR(VLOOKUP(C10,[1]Sheet2!$C$1:$F$1223,3,0),"")</f>
        <v>채영한</v>
      </c>
      <c r="E10" s="18" t="str">
        <f>IFERROR(VLOOKUP(C10,[1]Sheet2!$C$1:$F$1223,4,0),"")</f>
        <v>만두유통(유)</v>
      </c>
      <c r="F10" s="2" t="s">
        <v>78</v>
      </c>
      <c r="G10" s="3" t="s">
        <v>3814</v>
      </c>
      <c r="H10" s="4" t="s">
        <v>21</v>
      </c>
      <c r="I10" s="4" t="s">
        <v>79</v>
      </c>
      <c r="J10" s="23" t="s">
        <v>80</v>
      </c>
      <c r="K10" s="27"/>
      <c r="L10" s="28"/>
      <c r="M10" s="28"/>
      <c r="N10" s="28"/>
      <c r="O10" s="28"/>
      <c r="P10" s="28"/>
      <c r="Q10" s="28">
        <v>2</v>
      </c>
      <c r="R10" s="28">
        <v>3</v>
      </c>
      <c r="S10" s="28">
        <v>2</v>
      </c>
      <c r="T10" s="28"/>
      <c r="U10" s="28">
        <v>2</v>
      </c>
      <c r="V10" s="29">
        <v>1</v>
      </c>
      <c r="X10" s="31">
        <v>2</v>
      </c>
    </row>
    <row r="11" spans="2:35">
      <c r="B11" s="17" t="str">
        <f>IFERROR(VLOOKUP(C11,[1]Sheet2!$C$3:$F$1223,2,0),"")</f>
        <v>Seoul</v>
      </c>
      <c r="C11" s="3">
        <v>33065</v>
      </c>
      <c r="D11" s="18" t="str">
        <f>IFERROR(VLOOKUP(C11,[1]Sheet2!$C$1:$F$1223,3,0),"")</f>
        <v>채영한</v>
      </c>
      <c r="E11" s="18" t="str">
        <f>IFERROR(VLOOKUP(C11,[1]Sheet2!$C$1:$F$1223,4,0),"")</f>
        <v>만두유통(유)</v>
      </c>
      <c r="F11" s="2" t="s">
        <v>81</v>
      </c>
      <c r="G11" s="3" t="s">
        <v>3814</v>
      </c>
      <c r="H11" s="4" t="s">
        <v>21</v>
      </c>
      <c r="I11" s="4" t="s">
        <v>79</v>
      </c>
      <c r="J11" s="23" t="s">
        <v>82</v>
      </c>
      <c r="K11" s="27"/>
      <c r="L11" s="28"/>
      <c r="M11" s="28"/>
      <c r="N11" s="28"/>
      <c r="O11" s="28"/>
      <c r="P11" s="28"/>
      <c r="Q11" s="28">
        <v>2</v>
      </c>
      <c r="R11" s="28">
        <v>2</v>
      </c>
      <c r="S11" s="28"/>
      <c r="T11" s="28"/>
      <c r="U11" s="28">
        <v>1</v>
      </c>
      <c r="V11" s="29"/>
      <c r="X11" s="31">
        <v>3</v>
      </c>
      <c r="Y11" s="32">
        <v>1</v>
      </c>
    </row>
    <row r="12" spans="2:35">
      <c r="B12" s="17" t="str">
        <f>IFERROR(VLOOKUP(C12,[1]Sheet2!$C$3:$F$1223,2,0),"")</f>
        <v>Seoul</v>
      </c>
      <c r="C12" s="3">
        <v>33126</v>
      </c>
      <c r="D12" s="18" t="str">
        <f>IFERROR(VLOOKUP(C12,[1]Sheet2!$C$1:$F$1223,3,0),"")</f>
        <v>채영한</v>
      </c>
      <c r="E12" s="18" t="str">
        <f>IFERROR(VLOOKUP(C12,[1]Sheet2!$C$1:$F$1223,4,0),"")</f>
        <v>진성통합상사(주)</v>
      </c>
      <c r="F12" s="59" t="s">
        <v>86</v>
      </c>
      <c r="G12" s="3" t="s">
        <v>3815</v>
      </c>
      <c r="H12" s="4" t="s">
        <v>21</v>
      </c>
      <c r="I12" s="4" t="s">
        <v>87</v>
      </c>
      <c r="J12" s="23" t="s">
        <v>88</v>
      </c>
      <c r="K12" s="27"/>
      <c r="L12" s="28"/>
      <c r="M12" s="28"/>
      <c r="N12" s="28"/>
      <c r="O12" s="28"/>
      <c r="P12" s="28"/>
      <c r="Q12" s="28">
        <v>1</v>
      </c>
      <c r="R12" s="28">
        <v>0</v>
      </c>
      <c r="S12" s="28">
        <v>0</v>
      </c>
      <c r="T12" s="28">
        <v>0</v>
      </c>
      <c r="U12" s="28">
        <v>0</v>
      </c>
      <c r="V12" s="34">
        <v>0</v>
      </c>
      <c r="W12" s="40"/>
      <c r="X12" s="41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/>
    </row>
    <row r="13" spans="2:35">
      <c r="B13" s="17" t="str">
        <f>IFERROR(VLOOKUP(C13,[1]Sheet2!$C$3:$F$1223,2,0),"")</f>
        <v>Seoul</v>
      </c>
      <c r="C13" s="3">
        <v>33128</v>
      </c>
      <c r="D13" s="18" t="str">
        <f>IFERROR(VLOOKUP(C13,[1]Sheet2!$C$1:$F$1223,3,0),"")</f>
        <v>모정호</v>
      </c>
      <c r="E13" s="18" t="str">
        <f>IFERROR(VLOOKUP(C13,[1]Sheet2!$C$1:$F$1223,4,0),"")</f>
        <v>화성통합상사(유)</v>
      </c>
      <c r="F13" s="2" t="s">
        <v>103</v>
      </c>
      <c r="G13" s="3" t="s">
        <v>18</v>
      </c>
      <c r="H13" s="4" t="s">
        <v>21</v>
      </c>
      <c r="I13" s="4" t="s">
        <v>38</v>
      </c>
      <c r="J13" s="23" t="s">
        <v>104</v>
      </c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8">
        <v>1</v>
      </c>
      <c r="V13" s="29">
        <v>1</v>
      </c>
      <c r="X13" s="31">
        <v>1</v>
      </c>
      <c r="Y13" s="32">
        <v>1</v>
      </c>
    </row>
    <row r="14" spans="2:35">
      <c r="B14" s="17" t="str">
        <f>IFERROR(VLOOKUP(C14,[1]Sheet2!$C$3:$F$1223,2,0),"")</f>
        <v>Seoul</v>
      </c>
      <c r="C14" s="3">
        <v>33050</v>
      </c>
      <c r="D14" s="18" t="str">
        <f>IFERROR(VLOOKUP(C14,[1]Sheet2!$C$1:$F$1223,3,0),"")</f>
        <v>박성민</v>
      </c>
      <c r="E14" s="18" t="str">
        <f>IFERROR(VLOOKUP(C14,[1]Sheet2!$C$1:$F$1223,4,0),"")</f>
        <v>중앙종합주류</v>
      </c>
      <c r="F14" s="2" t="s">
        <v>107</v>
      </c>
      <c r="G14" s="3" t="s">
        <v>18</v>
      </c>
      <c r="H14" s="4" t="s">
        <v>21</v>
      </c>
      <c r="I14" s="4" t="s">
        <v>38</v>
      </c>
      <c r="J14" s="23" t="s">
        <v>108</v>
      </c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8">
        <v>1</v>
      </c>
      <c r="V14" s="29"/>
    </row>
    <row r="15" spans="2:35">
      <c r="B15" s="17" t="str">
        <f>IFERROR(VLOOKUP(C15,[1]Sheet2!$C$3:$F$1223,2,0),"")</f>
        <v>Seoul</v>
      </c>
      <c r="C15" s="3">
        <v>33094</v>
      </c>
      <c r="D15" s="18" t="str">
        <f>IFERROR(VLOOKUP(C15,[1]Sheet2!$C$1:$F$1223,3,0),"")</f>
        <v>모정호</v>
      </c>
      <c r="E15" s="18" t="str">
        <f>IFERROR(VLOOKUP(C15,[1]Sheet2!$C$1:$F$1223,4,0),"")</f>
        <v>대풍주류판매(주)</v>
      </c>
      <c r="F15" s="2" t="s">
        <v>111</v>
      </c>
      <c r="G15" s="3" t="s">
        <v>18</v>
      </c>
      <c r="H15" s="4" t="s">
        <v>21</v>
      </c>
      <c r="I15" s="4" t="s">
        <v>38</v>
      </c>
      <c r="J15" s="23" t="s">
        <v>112</v>
      </c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9">
        <v>1</v>
      </c>
    </row>
    <row r="16" spans="2:35">
      <c r="B16" s="17" t="str">
        <f>IFERROR(VLOOKUP(C16,[1]Sheet2!$C$3:$F$1223,2,0),"")</f>
        <v>Seoul</v>
      </c>
      <c r="C16" s="3">
        <v>33073</v>
      </c>
      <c r="D16" s="18" t="str">
        <f>IFERROR(VLOOKUP(C16,[1]Sheet2!$C$1:$F$1223,3,0),"")</f>
        <v>박상일</v>
      </c>
      <c r="E16" s="18" t="str">
        <f>IFERROR(VLOOKUP(C16,[1]Sheet2!$C$1:$F$1223,4,0),"")</f>
        <v>두일주류</v>
      </c>
      <c r="F16" s="2" t="s">
        <v>114</v>
      </c>
      <c r="G16" s="3" t="s">
        <v>3814</v>
      </c>
      <c r="H16" s="4" t="s">
        <v>21</v>
      </c>
      <c r="I16" s="4" t="s">
        <v>65</v>
      </c>
      <c r="J16" s="23" t="s">
        <v>115</v>
      </c>
      <c r="K16" s="27"/>
      <c r="L16" s="28"/>
      <c r="M16" s="28"/>
      <c r="N16" s="28">
        <v>5</v>
      </c>
      <c r="O16" s="28">
        <v>3</v>
      </c>
      <c r="P16" s="28">
        <v>2</v>
      </c>
      <c r="Q16" s="28">
        <v>2</v>
      </c>
      <c r="R16" s="28"/>
      <c r="S16" s="28"/>
      <c r="T16" s="28"/>
      <c r="U16" s="28"/>
      <c r="V16" s="29"/>
      <c r="Y16" s="32">
        <v>2</v>
      </c>
    </row>
    <row r="17" spans="2:25">
      <c r="B17" s="17" t="str">
        <f>IFERROR(VLOOKUP(C17,[1]Sheet2!$C$3:$F$1223,2,0),"")</f>
        <v>Seoul</v>
      </c>
      <c r="C17" s="3">
        <v>33073</v>
      </c>
      <c r="D17" s="18" t="str">
        <f>IFERROR(VLOOKUP(C17,[1]Sheet2!$C$1:$F$1223,3,0),"")</f>
        <v>박상일</v>
      </c>
      <c r="E17" s="18" t="str">
        <f>IFERROR(VLOOKUP(C17,[1]Sheet2!$C$1:$F$1223,4,0),"")</f>
        <v>두일주류</v>
      </c>
      <c r="F17" s="2" t="s">
        <v>116</v>
      </c>
      <c r="G17" s="3" t="s">
        <v>18</v>
      </c>
      <c r="H17" s="4" t="s">
        <v>21</v>
      </c>
      <c r="I17" s="4" t="s">
        <v>38</v>
      </c>
      <c r="J17" s="23" t="s">
        <v>117</v>
      </c>
      <c r="K17" s="27"/>
      <c r="L17" s="28"/>
      <c r="M17" s="28"/>
      <c r="N17" s="28">
        <v>5</v>
      </c>
      <c r="O17" s="28"/>
      <c r="P17" s="28">
        <v>0</v>
      </c>
      <c r="Q17" s="28">
        <v>0</v>
      </c>
      <c r="R17" s="28"/>
      <c r="S17" s="28"/>
      <c r="T17" s="28"/>
      <c r="U17" s="28"/>
      <c r="V17" s="29"/>
    </row>
    <row r="18" spans="2:25">
      <c r="B18" s="17" t="str">
        <f>IFERROR(VLOOKUP(C18,[1]Sheet2!$C$3:$F$1223,2,0),"")</f>
        <v>Seoul</v>
      </c>
      <c r="C18" s="3">
        <v>81995</v>
      </c>
      <c r="D18" s="18" t="str">
        <f>IFERROR(VLOOKUP(C18,[1]Sheet2!$C$1:$F$1223,3,0),"")</f>
        <v>모정호</v>
      </c>
      <c r="E18" s="18" t="str">
        <f>IFERROR(VLOOKUP(C18,[1]Sheet2!$C$1:$F$1223,4,0),"")</f>
        <v>(자)중국주류</v>
      </c>
      <c r="F18" s="2" t="s">
        <v>118</v>
      </c>
      <c r="G18" s="3" t="s">
        <v>3815</v>
      </c>
      <c r="H18" s="4" t="s">
        <v>21</v>
      </c>
      <c r="I18" s="4" t="s">
        <v>119</v>
      </c>
      <c r="J18" s="23" t="s">
        <v>120</v>
      </c>
      <c r="K18" s="27"/>
      <c r="L18" s="28"/>
      <c r="M18" s="28"/>
      <c r="N18" s="28">
        <v>4</v>
      </c>
      <c r="O18" s="28"/>
      <c r="P18" s="28">
        <v>4</v>
      </c>
      <c r="Q18" s="28">
        <v>4</v>
      </c>
      <c r="R18" s="28"/>
      <c r="S18" s="28"/>
      <c r="T18" s="28"/>
      <c r="U18" s="28"/>
      <c r="V18" s="29"/>
      <c r="X18" s="41">
        <v>0</v>
      </c>
      <c r="Y18" s="42">
        <v>4</v>
      </c>
    </row>
    <row r="19" spans="2:25">
      <c r="B19" s="17" t="str">
        <f>IFERROR(VLOOKUP(C19,[1]Sheet2!$C$3:$F$1223,2,0),"")</f>
        <v>Seoul</v>
      </c>
      <c r="C19" s="3">
        <v>33073</v>
      </c>
      <c r="D19" s="18" t="str">
        <f>IFERROR(VLOOKUP(C19,[1]Sheet2!$C$1:$F$1223,3,0),"")</f>
        <v>박상일</v>
      </c>
      <c r="E19" s="18" t="str">
        <f>IFERROR(VLOOKUP(C19,[1]Sheet2!$C$1:$F$1223,4,0),"")</f>
        <v>두일주류</v>
      </c>
      <c r="F19" s="2" t="s">
        <v>121</v>
      </c>
      <c r="G19" s="3" t="s">
        <v>18</v>
      </c>
      <c r="H19" s="4" t="s">
        <v>21</v>
      </c>
      <c r="I19" s="4" t="s">
        <v>38</v>
      </c>
      <c r="J19" s="23" t="s">
        <v>122</v>
      </c>
      <c r="K19" s="27"/>
      <c r="L19" s="28"/>
      <c r="M19" s="28"/>
      <c r="N19" s="28">
        <v>2</v>
      </c>
      <c r="O19" s="28"/>
      <c r="P19" s="28">
        <v>0</v>
      </c>
      <c r="Q19" s="28">
        <v>0</v>
      </c>
      <c r="R19" s="28"/>
      <c r="S19" s="28"/>
      <c r="T19" s="28"/>
      <c r="U19" s="28"/>
      <c r="V19" s="29"/>
    </row>
    <row r="20" spans="2:25">
      <c r="B20" s="17" t="str">
        <f>IFERROR(VLOOKUP(C20,[1]Sheet2!$C$3:$F$1223,2,0),"")</f>
        <v>Seoul</v>
      </c>
      <c r="C20" s="3">
        <v>33073</v>
      </c>
      <c r="D20" s="18" t="str">
        <f>IFERROR(VLOOKUP(C20,[1]Sheet2!$C$1:$F$1223,3,0),"")</f>
        <v>박상일</v>
      </c>
      <c r="E20" s="18" t="str">
        <f>IFERROR(VLOOKUP(C20,[1]Sheet2!$C$1:$F$1223,4,0),"")</f>
        <v>두일주류</v>
      </c>
      <c r="F20" s="2" t="s">
        <v>123</v>
      </c>
      <c r="G20" s="3" t="s">
        <v>3814</v>
      </c>
      <c r="H20" s="4" t="s">
        <v>21</v>
      </c>
      <c r="I20" s="4" t="s">
        <v>41</v>
      </c>
      <c r="J20" s="23" t="s">
        <v>124</v>
      </c>
      <c r="K20" s="27"/>
      <c r="L20" s="28"/>
      <c r="M20" s="28"/>
      <c r="N20" s="28">
        <v>2</v>
      </c>
      <c r="O20" s="28"/>
      <c r="P20" s="28">
        <v>0</v>
      </c>
      <c r="Q20" s="28">
        <v>0</v>
      </c>
      <c r="R20" s="28"/>
      <c r="S20" s="28"/>
      <c r="T20" s="28"/>
      <c r="U20" s="28"/>
      <c r="V20" s="29"/>
    </row>
    <row r="21" spans="2:25">
      <c r="B21" s="17" t="str">
        <f>IFERROR(VLOOKUP(C21,[1]Sheet2!$C$3:$F$1223,2,0),"")</f>
        <v>Seoul</v>
      </c>
      <c r="C21" s="3">
        <v>33073</v>
      </c>
      <c r="D21" s="18" t="str">
        <f>IFERROR(VLOOKUP(C21,[1]Sheet2!$C$1:$F$1223,3,0),"")</f>
        <v>박상일</v>
      </c>
      <c r="E21" s="18" t="str">
        <f>IFERROR(VLOOKUP(C21,[1]Sheet2!$C$1:$F$1223,4,0),"")</f>
        <v>두일주류</v>
      </c>
      <c r="F21" s="2" t="s">
        <v>125</v>
      </c>
      <c r="G21" s="3" t="s">
        <v>18</v>
      </c>
      <c r="H21" s="4" t="s">
        <v>21</v>
      </c>
      <c r="I21" s="4" t="s">
        <v>38</v>
      </c>
      <c r="J21" s="23" t="s">
        <v>126</v>
      </c>
      <c r="K21" s="27"/>
      <c r="L21" s="28"/>
      <c r="M21" s="28"/>
      <c r="N21" s="28">
        <v>5</v>
      </c>
      <c r="O21" s="28"/>
      <c r="P21" s="28">
        <v>1</v>
      </c>
      <c r="Q21" s="28">
        <v>0</v>
      </c>
      <c r="R21" s="28"/>
      <c r="S21" s="28"/>
      <c r="T21" s="28"/>
      <c r="U21" s="28"/>
      <c r="V21" s="29"/>
    </row>
    <row r="22" spans="2:25">
      <c r="B22" s="17" t="str">
        <f>IFERROR(VLOOKUP(C22,[1]Sheet2!$C$3:$F$1223,2,0),"")</f>
        <v>Seoul</v>
      </c>
      <c r="C22" s="3">
        <v>33132</v>
      </c>
      <c r="D22" s="18" t="str">
        <f>IFERROR(VLOOKUP(C22,[1]Sheet2!$C$1:$F$1223,3,0),"")</f>
        <v>모정호</v>
      </c>
      <c r="E22" s="18" t="str">
        <f>IFERROR(VLOOKUP(C22,[1]Sheet2!$C$1:$F$1223,4,0),"")</f>
        <v>동천주류(유)</v>
      </c>
      <c r="F22" s="2" t="s">
        <v>145</v>
      </c>
      <c r="G22" s="3" t="s">
        <v>3816</v>
      </c>
      <c r="H22" s="4" t="s">
        <v>21</v>
      </c>
      <c r="I22" s="4" t="s">
        <v>146</v>
      </c>
      <c r="J22" s="23" t="s">
        <v>147</v>
      </c>
      <c r="K22" s="27"/>
      <c r="L22" s="28"/>
      <c r="M22" s="28"/>
      <c r="N22" s="28">
        <v>2</v>
      </c>
      <c r="O22" s="28">
        <v>1</v>
      </c>
      <c r="P22" s="28">
        <v>3</v>
      </c>
      <c r="Q22" s="28"/>
      <c r="R22" s="28"/>
      <c r="S22" s="28"/>
      <c r="T22" s="28"/>
      <c r="U22" s="28"/>
      <c r="V22" s="29"/>
      <c r="X22" s="31">
        <v>3</v>
      </c>
      <c r="Y22" s="32">
        <v>2</v>
      </c>
    </row>
    <row r="23" spans="2:25">
      <c r="B23" s="17" t="str">
        <f>IFERROR(VLOOKUP(C23,[1]Sheet2!$C$3:$F$1223,2,0),"")</f>
        <v>Seoul</v>
      </c>
      <c r="C23" s="3">
        <v>33194</v>
      </c>
      <c r="D23" s="18" t="str">
        <f>IFERROR(VLOOKUP(C23,[1]Sheet2!$C$1:$F$1223,3,0),"")</f>
        <v>박상일</v>
      </c>
      <c r="E23" s="18" t="str">
        <f>IFERROR(VLOOKUP(C23,[1]Sheet2!$C$1:$F$1223,4,0),"")</f>
        <v>청룡주류(주)</v>
      </c>
      <c r="F23" s="2" t="s">
        <v>169</v>
      </c>
      <c r="G23" s="3" t="s">
        <v>3814</v>
      </c>
      <c r="H23" s="4" t="s">
        <v>21</v>
      </c>
      <c r="I23" s="4" t="s">
        <v>65</v>
      </c>
      <c r="J23" s="23" t="s">
        <v>170</v>
      </c>
      <c r="K23" s="27"/>
      <c r="L23" s="28"/>
      <c r="M23" s="28"/>
      <c r="N23" s="28"/>
      <c r="O23" s="28">
        <v>1</v>
      </c>
      <c r="P23" s="28">
        <v>0</v>
      </c>
      <c r="Q23" s="28"/>
      <c r="R23" s="28"/>
      <c r="S23" s="28"/>
      <c r="T23" s="28"/>
      <c r="U23" s="28"/>
      <c r="V23" s="29"/>
    </row>
    <row r="24" spans="2:25">
      <c r="B24" s="17" t="str">
        <f>IFERROR(VLOOKUP(C24,[1]Sheet2!$C$3:$F$1223,2,0),"")</f>
        <v>Seoul</v>
      </c>
      <c r="C24" s="3">
        <v>33194</v>
      </c>
      <c r="D24" s="18" t="str">
        <f>IFERROR(VLOOKUP(C24,[1]Sheet2!$C$1:$F$1223,3,0),"")</f>
        <v>박상일</v>
      </c>
      <c r="E24" s="18" t="str">
        <f>IFERROR(VLOOKUP(C24,[1]Sheet2!$C$1:$F$1223,4,0),"")</f>
        <v>청룡주류(주)</v>
      </c>
      <c r="F24" s="2" t="s">
        <v>171</v>
      </c>
      <c r="G24" s="3" t="s">
        <v>3814</v>
      </c>
      <c r="H24" s="4" t="s">
        <v>21</v>
      </c>
      <c r="I24" s="4" t="s">
        <v>65</v>
      </c>
      <c r="J24" s="23" t="s">
        <v>172</v>
      </c>
      <c r="K24" s="27"/>
      <c r="L24" s="28"/>
      <c r="M24" s="28"/>
      <c r="N24" s="28"/>
      <c r="O24" s="28">
        <v>3</v>
      </c>
      <c r="P24" s="28">
        <v>1</v>
      </c>
      <c r="Q24" s="28">
        <v>4</v>
      </c>
      <c r="R24" s="28"/>
      <c r="S24" s="28"/>
      <c r="T24" s="28"/>
      <c r="U24" s="28"/>
      <c r="V24" s="29"/>
    </row>
    <row r="25" spans="2:25">
      <c r="B25" s="17" t="str">
        <f>IFERROR(VLOOKUP(C25,[1]Sheet2!$C$3:$F$1223,2,0),"")</f>
        <v>Seoul</v>
      </c>
      <c r="C25" s="3">
        <v>33194</v>
      </c>
      <c r="D25" s="18" t="str">
        <f>IFERROR(VLOOKUP(C25,[1]Sheet2!$C$1:$F$1223,3,0),"")</f>
        <v>박상일</v>
      </c>
      <c r="E25" s="18" t="str">
        <f>IFERROR(VLOOKUP(C25,[1]Sheet2!$C$1:$F$1223,4,0),"")</f>
        <v>청룡주류(주)</v>
      </c>
      <c r="F25" s="2" t="s">
        <v>177</v>
      </c>
      <c r="G25" s="3" t="s">
        <v>3814</v>
      </c>
      <c r="H25" s="4" t="s">
        <v>21</v>
      </c>
      <c r="I25" s="4" t="s">
        <v>65</v>
      </c>
      <c r="J25" s="23" t="s">
        <v>178</v>
      </c>
      <c r="K25" s="27"/>
      <c r="L25" s="28"/>
      <c r="M25" s="28"/>
      <c r="N25" s="28"/>
      <c r="O25" s="28">
        <v>1</v>
      </c>
      <c r="P25" s="28">
        <v>0</v>
      </c>
      <c r="Q25" s="28"/>
      <c r="R25" s="28"/>
      <c r="S25" s="28"/>
      <c r="T25" s="28"/>
      <c r="U25" s="28"/>
      <c r="V25" s="29"/>
    </row>
    <row r="26" spans="2:25">
      <c r="B26" s="17" t="str">
        <f>IFERROR(VLOOKUP(C26,[1]Sheet2!$C$3:$F$1223,2,0),"")</f>
        <v>Seoul</v>
      </c>
      <c r="C26" s="3">
        <v>33073</v>
      </c>
      <c r="D26" s="18" t="str">
        <f>IFERROR(VLOOKUP(C26,[1]Sheet2!$C$1:$F$1223,3,0),"")</f>
        <v>박상일</v>
      </c>
      <c r="E26" s="18" t="str">
        <f>IFERROR(VLOOKUP(C26,[1]Sheet2!$C$1:$F$1223,4,0),"")</f>
        <v>두일주류</v>
      </c>
      <c r="F26" s="2" t="s">
        <v>179</v>
      </c>
      <c r="G26" s="3" t="s">
        <v>3814</v>
      </c>
      <c r="H26" s="4" t="s">
        <v>21</v>
      </c>
      <c r="I26" s="4" t="s">
        <v>41</v>
      </c>
      <c r="J26" s="23" t="s">
        <v>180</v>
      </c>
      <c r="K26" s="27"/>
      <c r="L26" s="28"/>
      <c r="M26" s="28"/>
      <c r="N26" s="28"/>
      <c r="O26" s="28">
        <v>4</v>
      </c>
      <c r="P26" s="28">
        <v>6</v>
      </c>
      <c r="Q26" s="28">
        <v>2</v>
      </c>
      <c r="R26" s="28"/>
      <c r="S26" s="28"/>
      <c r="T26" s="28"/>
      <c r="U26" s="28"/>
      <c r="V26" s="29"/>
      <c r="Y26" s="32">
        <v>12</v>
      </c>
    </row>
    <row r="27" spans="2:25">
      <c r="B27" s="17" t="str">
        <f>IFERROR(VLOOKUP(C27,[1]Sheet2!$C$3:$F$1223,2,0),"")</f>
        <v>Seoul</v>
      </c>
      <c r="C27" s="3">
        <v>33073</v>
      </c>
      <c r="D27" s="18" t="str">
        <f>IFERROR(VLOOKUP(C27,[1]Sheet2!$C$1:$F$1223,3,0),"")</f>
        <v>박상일</v>
      </c>
      <c r="E27" s="18" t="str">
        <f>IFERROR(VLOOKUP(C27,[1]Sheet2!$C$1:$F$1223,4,0),"")</f>
        <v>두일주류</v>
      </c>
      <c r="F27" s="2" t="s">
        <v>190</v>
      </c>
      <c r="G27" s="3" t="s">
        <v>3814</v>
      </c>
      <c r="H27" s="4" t="s">
        <v>21</v>
      </c>
      <c r="I27" s="4" t="s">
        <v>65</v>
      </c>
      <c r="J27" s="23" t="s">
        <v>191</v>
      </c>
      <c r="K27" s="27"/>
      <c r="L27" s="28"/>
      <c r="M27" s="28"/>
      <c r="N27" s="28"/>
      <c r="O27" s="28"/>
      <c r="P27" s="28">
        <v>1</v>
      </c>
      <c r="Q27" s="28">
        <v>0</v>
      </c>
      <c r="R27" s="28"/>
      <c r="S27" s="28"/>
      <c r="T27" s="28"/>
      <c r="U27" s="28"/>
      <c r="V27" s="29"/>
    </row>
    <row r="28" spans="2:25">
      <c r="B28" s="17" t="str">
        <f>IFERROR(VLOOKUP(C28,[1]Sheet2!$C$3:$F$1223,2,0),"")</f>
        <v>Seoul</v>
      </c>
      <c r="C28" s="3">
        <v>33073</v>
      </c>
      <c r="D28" s="18" t="str">
        <f>IFERROR(VLOOKUP(C28,[1]Sheet2!$C$1:$F$1223,3,0),"")</f>
        <v>박상일</v>
      </c>
      <c r="E28" s="18" t="str">
        <f>IFERROR(VLOOKUP(C28,[1]Sheet2!$C$1:$F$1223,4,0),"")</f>
        <v>두일주류</v>
      </c>
      <c r="F28" s="2" t="s">
        <v>192</v>
      </c>
      <c r="G28" s="3" t="s">
        <v>3814</v>
      </c>
      <c r="H28" s="4" t="s">
        <v>21</v>
      </c>
      <c r="I28" s="4" t="s">
        <v>65</v>
      </c>
      <c r="J28" s="23" t="s">
        <v>193</v>
      </c>
      <c r="K28" s="27"/>
      <c r="L28" s="28"/>
      <c r="M28" s="28"/>
      <c r="N28" s="28"/>
      <c r="O28" s="28"/>
      <c r="P28" s="28"/>
      <c r="Q28" s="28">
        <v>2</v>
      </c>
      <c r="R28" s="28"/>
      <c r="S28" s="28"/>
      <c r="T28" s="28"/>
      <c r="U28" s="28"/>
      <c r="V28" s="29"/>
    </row>
    <row r="29" spans="2:25">
      <c r="B29" s="17" t="str">
        <f>IFERROR(VLOOKUP(C29,[1]Sheet2!$C$3:$F$1223,2,0),"")</f>
        <v>Seoul</v>
      </c>
      <c r="C29" s="3">
        <v>33073</v>
      </c>
      <c r="D29" s="18" t="str">
        <f>IFERROR(VLOOKUP(C29,[1]Sheet2!$C$1:$F$1223,3,0),"")</f>
        <v>박상일</v>
      </c>
      <c r="E29" s="18" t="str">
        <f>IFERROR(VLOOKUP(C29,[1]Sheet2!$C$1:$F$1223,4,0),"")</f>
        <v>두일주류</v>
      </c>
      <c r="F29" s="2" t="s">
        <v>194</v>
      </c>
      <c r="G29" s="3" t="s">
        <v>3814</v>
      </c>
      <c r="H29" s="4" t="s">
        <v>21</v>
      </c>
      <c r="I29" s="4" t="s">
        <v>65</v>
      </c>
      <c r="J29" s="23" t="s">
        <v>195</v>
      </c>
      <c r="K29" s="27"/>
      <c r="L29" s="28"/>
      <c r="M29" s="28"/>
      <c r="N29" s="28"/>
      <c r="O29" s="28"/>
      <c r="P29" s="28"/>
      <c r="Q29" s="28">
        <v>2</v>
      </c>
      <c r="R29" s="28"/>
      <c r="S29" s="28"/>
      <c r="T29" s="28"/>
      <c r="U29" s="28"/>
      <c r="V29" s="29"/>
    </row>
    <row r="30" spans="2:25">
      <c r="B30" s="17" t="str">
        <f>IFERROR(VLOOKUP(C30,[1]Sheet2!$C$3:$F$1223,2,0),"")</f>
        <v>Seoul</v>
      </c>
      <c r="C30" s="3">
        <v>33059</v>
      </c>
      <c r="D30" s="18" t="str">
        <f>IFERROR(VLOOKUP(C30,[1]Sheet2!$C$1:$F$1223,3,0),"")</f>
        <v>모정호</v>
      </c>
      <c r="E30" s="18" t="str">
        <f>IFERROR(VLOOKUP(C30,[1]Sheet2!$C$1:$F$1223,4,0),"")</f>
        <v>나산주류상사</v>
      </c>
      <c r="F30" s="2" t="s">
        <v>201</v>
      </c>
      <c r="G30" s="3" t="s">
        <v>3815</v>
      </c>
      <c r="H30" s="4" t="s">
        <v>21</v>
      </c>
      <c r="I30" s="4" t="s">
        <v>119</v>
      </c>
      <c r="J30" s="23" t="s">
        <v>202</v>
      </c>
      <c r="K30" s="27"/>
      <c r="L30" s="28"/>
      <c r="M30" s="28"/>
      <c r="N30" s="28"/>
      <c r="O30" s="28"/>
      <c r="P30" s="28">
        <v>2</v>
      </c>
      <c r="Q30" s="28"/>
      <c r="R30" s="28"/>
      <c r="S30" s="28"/>
      <c r="T30" s="28"/>
      <c r="U30" s="28"/>
      <c r="V30" s="29"/>
      <c r="X30" s="31">
        <v>3</v>
      </c>
      <c r="Y30" s="32">
        <v>6</v>
      </c>
    </row>
    <row r="31" spans="2:25">
      <c r="B31" s="17" t="str">
        <f>IFERROR(VLOOKUP(C31,[1]Sheet2!$C$3:$F$1223,2,0),"")</f>
        <v>Seoul</v>
      </c>
      <c r="C31" s="3">
        <v>33080</v>
      </c>
      <c r="D31" s="18" t="str">
        <f>IFERROR(VLOOKUP(C31,[1]Sheet2!$C$1:$F$1223,3,0),"")</f>
        <v>모정호</v>
      </c>
      <c r="E31" s="18" t="str">
        <f>IFERROR(VLOOKUP(C31,[1]Sheet2!$C$1:$F$1223,4,0),"")</f>
        <v>서영주류판매(유)</v>
      </c>
      <c r="F31" s="2" t="s">
        <v>211</v>
      </c>
      <c r="G31" s="3" t="s">
        <v>3816</v>
      </c>
      <c r="H31" s="4" t="s">
        <v>21</v>
      </c>
      <c r="I31" s="4" t="s">
        <v>146</v>
      </c>
      <c r="J31" s="23" t="s">
        <v>212</v>
      </c>
      <c r="K31" s="27"/>
      <c r="L31" s="28"/>
      <c r="M31" s="28"/>
      <c r="N31" s="28">
        <v>1</v>
      </c>
      <c r="O31" s="28">
        <v>1</v>
      </c>
      <c r="P31" s="28">
        <v>3</v>
      </c>
      <c r="Q31" s="28"/>
      <c r="R31" s="28">
        <v>1</v>
      </c>
      <c r="S31" s="28"/>
      <c r="T31" s="28">
        <v>1</v>
      </c>
      <c r="U31" s="28">
        <v>1</v>
      </c>
      <c r="V31" s="34"/>
    </row>
    <row r="32" spans="2:25">
      <c r="B32" s="17" t="str">
        <f>IFERROR(VLOOKUP(C32,[1]Sheet2!$C$3:$F$1223,2,0),"")</f>
        <v>Seoul</v>
      </c>
      <c r="C32" s="3">
        <v>33080</v>
      </c>
      <c r="D32" s="18" t="str">
        <f>IFERROR(VLOOKUP(C32,[1]Sheet2!$C$1:$F$1223,3,0),"")</f>
        <v>모정호</v>
      </c>
      <c r="E32" s="18" t="str">
        <f>IFERROR(VLOOKUP(C32,[1]Sheet2!$C$1:$F$1223,4,0),"")</f>
        <v>서영주류판매(유)</v>
      </c>
      <c r="F32" s="59" t="s">
        <v>224</v>
      </c>
      <c r="G32" s="3" t="s">
        <v>18</v>
      </c>
      <c r="H32" s="4" t="s">
        <v>21</v>
      </c>
      <c r="I32" s="4" t="s">
        <v>38</v>
      </c>
      <c r="J32" s="23" t="s">
        <v>225</v>
      </c>
      <c r="K32" s="27"/>
      <c r="L32" s="28"/>
      <c r="M32" s="28"/>
      <c r="N32" s="28"/>
      <c r="O32" s="28">
        <v>1</v>
      </c>
      <c r="P32" s="28">
        <v>1</v>
      </c>
      <c r="Q32" s="28"/>
      <c r="R32" s="28"/>
      <c r="S32" s="28"/>
      <c r="T32" s="28"/>
      <c r="U32" s="28"/>
      <c r="V32" s="34"/>
    </row>
    <row r="33" spans="2:24">
      <c r="B33" s="17" t="str">
        <f>IFERROR(VLOOKUP(C33,[1]Sheet2!$C$3:$F$1223,2,0),"")</f>
        <v>Seoul</v>
      </c>
      <c r="C33" s="3">
        <v>33141</v>
      </c>
      <c r="D33" s="18" t="str">
        <f>IFERROR(VLOOKUP(C33,[1]Sheet2!$C$1:$F$1223,3,0),"")</f>
        <v>모정호</v>
      </c>
      <c r="E33" s="18" t="str">
        <f>IFERROR(VLOOKUP(C33,[1]Sheet2!$C$1:$F$1223,4,0),"")</f>
        <v>유화진흥(주)</v>
      </c>
      <c r="F33" s="2" t="s">
        <v>237</v>
      </c>
      <c r="G33" s="3" t="s">
        <v>3816</v>
      </c>
      <c r="H33" s="4" t="s">
        <v>21</v>
      </c>
      <c r="I33" s="4" t="s">
        <v>146</v>
      </c>
      <c r="J33" s="23" t="s">
        <v>238</v>
      </c>
      <c r="K33" s="27"/>
      <c r="L33" s="28"/>
      <c r="M33" s="28"/>
      <c r="N33" s="28"/>
      <c r="O33" s="28"/>
      <c r="P33" s="28"/>
      <c r="Q33" s="28">
        <v>1</v>
      </c>
      <c r="R33" s="28"/>
      <c r="S33" s="28">
        <v>1</v>
      </c>
      <c r="T33" s="28">
        <v>1</v>
      </c>
      <c r="U33" s="28"/>
      <c r="V33" s="34"/>
    </row>
    <row r="34" spans="2:24">
      <c r="B34" s="17" t="str">
        <f>IFERROR(VLOOKUP(C34,[1]Sheet2!$C$3:$F$1223,2,0),"")</f>
        <v>Seoul</v>
      </c>
      <c r="C34" s="3">
        <v>33080</v>
      </c>
      <c r="D34" s="18" t="str">
        <f>IFERROR(VLOOKUP(C34,[1]Sheet2!$C$1:$F$1223,3,0),"")</f>
        <v>모정호</v>
      </c>
      <c r="E34" s="18" t="str">
        <f>IFERROR(VLOOKUP(C34,[1]Sheet2!$C$1:$F$1223,4,0),"")</f>
        <v>서영주류판매(유)</v>
      </c>
      <c r="F34" s="2" t="s">
        <v>228</v>
      </c>
      <c r="G34" s="3" t="s">
        <v>3815</v>
      </c>
      <c r="H34" s="4" t="s">
        <v>21</v>
      </c>
      <c r="I34" s="4" t="s">
        <v>241</v>
      </c>
      <c r="J34" s="23" t="s">
        <v>242</v>
      </c>
      <c r="K34" s="27"/>
      <c r="L34" s="28"/>
      <c r="M34" s="28"/>
      <c r="N34" s="28"/>
      <c r="O34" s="28"/>
      <c r="P34" s="28"/>
      <c r="Q34" s="28">
        <v>2</v>
      </c>
      <c r="R34" s="28"/>
      <c r="S34" s="28"/>
      <c r="T34" s="28"/>
      <c r="U34" s="28">
        <v>1</v>
      </c>
      <c r="V34" s="34"/>
    </row>
    <row r="35" spans="2:24">
      <c r="B35" s="17" t="str">
        <f>IFERROR(VLOOKUP(C35,[1]Sheet2!$C$3:$F$1223,2,0),"")</f>
        <v>Seoul</v>
      </c>
      <c r="C35" s="3">
        <v>33080</v>
      </c>
      <c r="D35" s="18" t="str">
        <f>IFERROR(VLOOKUP(C35,[1]Sheet2!$C$1:$F$1223,3,0),"")</f>
        <v>모정호</v>
      </c>
      <c r="E35" s="18" t="str">
        <f>IFERROR(VLOOKUP(C35,[1]Sheet2!$C$1:$F$1223,4,0),"")</f>
        <v>서영주류판매(유)</v>
      </c>
      <c r="F35" s="2" t="s">
        <v>243</v>
      </c>
      <c r="G35" s="3" t="s">
        <v>3816</v>
      </c>
      <c r="H35" s="4" t="s">
        <v>21</v>
      </c>
      <c r="I35" s="4" t="s">
        <v>146</v>
      </c>
      <c r="J35" s="23" t="s">
        <v>244</v>
      </c>
      <c r="K35" s="27"/>
      <c r="L35" s="28"/>
      <c r="M35" s="28"/>
      <c r="N35" s="28"/>
      <c r="O35" s="28"/>
      <c r="P35" s="28"/>
      <c r="Q35" s="28">
        <v>1</v>
      </c>
      <c r="R35" s="28"/>
      <c r="S35" s="28"/>
      <c r="T35" s="28"/>
      <c r="U35" s="28"/>
      <c r="V35" s="34"/>
    </row>
    <row r="36" spans="2:24">
      <c r="B36" s="17" t="str">
        <f>IFERROR(VLOOKUP(C36,[1]Sheet2!$C$3:$F$1223,2,0),"")</f>
        <v>Seoul</v>
      </c>
      <c r="C36" s="3">
        <v>84171</v>
      </c>
      <c r="D36" s="18" t="str">
        <f>IFERROR(VLOOKUP(C36,[1]Sheet2!$C$1:$F$1223,3,0),"")</f>
        <v>모정호</v>
      </c>
      <c r="E36" s="18" t="str">
        <f>IFERROR(VLOOKUP(C36,[1]Sheet2!$C$1:$F$1223,4,0),"")</f>
        <v>주식회사 청담주류</v>
      </c>
      <c r="F36" s="2" t="s">
        <v>256</v>
      </c>
      <c r="G36" s="3" t="s">
        <v>3814</v>
      </c>
      <c r="H36" s="4" t="s">
        <v>21</v>
      </c>
      <c r="I36" s="4" t="s">
        <v>257</v>
      </c>
      <c r="J36" s="23" t="s">
        <v>258</v>
      </c>
      <c r="K36" s="27"/>
      <c r="L36" s="28"/>
      <c r="M36" s="28"/>
      <c r="N36" s="28"/>
      <c r="O36" s="28"/>
      <c r="P36" s="28"/>
      <c r="Q36" s="28"/>
      <c r="R36" s="28"/>
      <c r="S36" s="28">
        <v>2</v>
      </c>
      <c r="T36" s="28"/>
      <c r="U36" s="28"/>
      <c r="V36" s="34"/>
    </row>
    <row r="37" spans="2:24">
      <c r="B37" s="17" t="str">
        <f>IFERROR(VLOOKUP(C37,[1]Sheet2!$C$3:$F$1223,2,0),"")</f>
        <v>Seoul</v>
      </c>
      <c r="C37" s="3">
        <v>33079</v>
      </c>
      <c r="D37" s="18" t="str">
        <f>IFERROR(VLOOKUP(C37,[1]Sheet2!$C$1:$F$1223,3,0),"")</f>
        <v>박상일</v>
      </c>
      <c r="E37" s="18" t="str">
        <f>IFERROR(VLOOKUP(C37,[1]Sheet2!$C$1:$F$1223,4,0),"")</f>
        <v>세계주류신림</v>
      </c>
      <c r="F37" s="2" t="s">
        <v>267</v>
      </c>
      <c r="G37" s="3" t="s">
        <v>3816</v>
      </c>
      <c r="H37" s="4" t="s">
        <v>30</v>
      </c>
      <c r="I37" s="4" t="s">
        <v>268</v>
      </c>
      <c r="J37" s="23" t="s">
        <v>269</v>
      </c>
      <c r="K37" s="27"/>
      <c r="L37" s="28"/>
      <c r="M37" s="28"/>
      <c r="N37" s="28">
        <v>1</v>
      </c>
      <c r="O37" s="28">
        <v>4</v>
      </c>
      <c r="P37" s="28">
        <v>4</v>
      </c>
      <c r="Q37" s="28">
        <v>3</v>
      </c>
      <c r="R37" s="28"/>
      <c r="S37" s="28"/>
      <c r="T37" s="28"/>
      <c r="U37" s="28"/>
      <c r="V37" s="34"/>
      <c r="X37" s="31">
        <v>5</v>
      </c>
    </row>
    <row r="38" spans="2:24">
      <c r="B38" s="17" t="str">
        <f>IFERROR(VLOOKUP(C38,[1]Sheet2!$C$3:$F$1223,2,0),"")</f>
        <v>Seoul</v>
      </c>
      <c r="C38" s="3">
        <v>33079</v>
      </c>
      <c r="D38" s="18" t="str">
        <f>IFERROR(VLOOKUP(C38,[1]Sheet2!$C$1:$F$1223,3,0),"")</f>
        <v>박상일</v>
      </c>
      <c r="E38" s="18" t="str">
        <f>IFERROR(VLOOKUP(C38,[1]Sheet2!$C$1:$F$1223,4,0),"")</f>
        <v>세계주류신림</v>
      </c>
      <c r="F38" s="2" t="s">
        <v>334</v>
      </c>
      <c r="G38" s="3" t="s">
        <v>3816</v>
      </c>
      <c r="H38" s="4" t="s">
        <v>21</v>
      </c>
      <c r="I38" s="4" t="s">
        <v>146</v>
      </c>
      <c r="J38" s="23" t="s">
        <v>335</v>
      </c>
      <c r="K38" s="27"/>
      <c r="L38" s="28"/>
      <c r="M38" s="28"/>
      <c r="N38" s="28">
        <v>12</v>
      </c>
      <c r="O38" s="28">
        <v>21</v>
      </c>
      <c r="P38" s="28">
        <v>21</v>
      </c>
      <c r="Q38" s="28">
        <v>31</v>
      </c>
      <c r="R38" s="28"/>
      <c r="S38" s="28"/>
      <c r="T38" s="28"/>
      <c r="U38" s="28"/>
      <c r="V38" s="34"/>
      <c r="X38" s="31">
        <v>9</v>
      </c>
    </row>
    <row r="39" spans="2:24">
      <c r="B39" s="17" t="str">
        <f>IFERROR(VLOOKUP(C39,[1]Sheet2!$C$3:$F$1223,2,0),"")</f>
        <v>Seoul</v>
      </c>
      <c r="C39" s="3">
        <v>33079</v>
      </c>
      <c r="D39" s="18" t="str">
        <f>IFERROR(VLOOKUP(C39,[1]Sheet2!$C$1:$F$1223,3,0),"")</f>
        <v>박상일</v>
      </c>
      <c r="E39" s="18" t="str">
        <f>IFERROR(VLOOKUP(C39,[1]Sheet2!$C$1:$F$1223,4,0),"")</f>
        <v>세계주류신림</v>
      </c>
      <c r="F39" s="2" t="s">
        <v>336</v>
      </c>
      <c r="G39" s="3" t="s">
        <v>3816</v>
      </c>
      <c r="H39" s="4" t="s">
        <v>21</v>
      </c>
      <c r="I39" s="4" t="s">
        <v>146</v>
      </c>
      <c r="J39" s="23" t="s">
        <v>337</v>
      </c>
      <c r="K39" s="27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34"/>
    </row>
    <row r="40" spans="2:24">
      <c r="B40" s="17" t="str">
        <f>IFERROR(VLOOKUP(C40,[1]Sheet2!$C$3:$F$1223,2,0),"")</f>
        <v>Seoul</v>
      </c>
      <c r="C40" s="3">
        <v>33079</v>
      </c>
      <c r="D40" s="18" t="str">
        <f>IFERROR(VLOOKUP(C40,[1]Sheet2!$C$1:$F$1223,3,0),"")</f>
        <v>박상일</v>
      </c>
      <c r="E40" s="18" t="str">
        <f>IFERROR(VLOOKUP(C40,[1]Sheet2!$C$1:$F$1223,4,0),"")</f>
        <v>세계주류신림</v>
      </c>
      <c r="F40" s="2" t="s">
        <v>338</v>
      </c>
      <c r="G40" s="3" t="s">
        <v>3816</v>
      </c>
      <c r="H40" s="4" t="s">
        <v>21</v>
      </c>
      <c r="I40" s="4" t="s">
        <v>146</v>
      </c>
      <c r="J40" s="23" t="s">
        <v>339</v>
      </c>
      <c r="K40" s="27"/>
      <c r="L40" s="28"/>
      <c r="M40" s="28"/>
      <c r="N40" s="28">
        <v>5</v>
      </c>
      <c r="O40" s="28">
        <v>13</v>
      </c>
      <c r="P40" s="28">
        <v>7</v>
      </c>
      <c r="Q40" s="28">
        <v>7</v>
      </c>
      <c r="R40" s="28"/>
      <c r="S40" s="28"/>
      <c r="T40" s="28"/>
      <c r="U40" s="28"/>
      <c r="V40" s="34"/>
      <c r="X40" s="31">
        <v>8</v>
      </c>
    </row>
    <row r="41" spans="2:24">
      <c r="B41" s="17" t="str">
        <f>IFERROR(VLOOKUP(C41,[1]Sheet2!$C$3:$F$1223,2,0),"")</f>
        <v>Seoul</v>
      </c>
      <c r="C41" s="3">
        <v>33079</v>
      </c>
      <c r="D41" s="18" t="str">
        <f>IFERROR(VLOOKUP(C41,[1]Sheet2!$C$1:$F$1223,3,0),"")</f>
        <v>박상일</v>
      </c>
      <c r="E41" s="18" t="str">
        <f>IFERROR(VLOOKUP(C41,[1]Sheet2!$C$1:$F$1223,4,0),"")</f>
        <v>세계주류신림</v>
      </c>
      <c r="F41" s="2" t="s">
        <v>346</v>
      </c>
      <c r="G41" s="3" t="s">
        <v>3814</v>
      </c>
      <c r="H41" s="4" t="s">
        <v>21</v>
      </c>
      <c r="I41" s="4" t="s">
        <v>65</v>
      </c>
      <c r="J41" s="23" t="s">
        <v>347</v>
      </c>
      <c r="K41" s="27"/>
      <c r="L41" s="28"/>
      <c r="M41" s="28"/>
      <c r="N41" s="28">
        <v>2</v>
      </c>
      <c r="O41" s="28">
        <v>3</v>
      </c>
      <c r="P41" s="28">
        <v>3</v>
      </c>
      <c r="Q41" s="28">
        <v>4</v>
      </c>
      <c r="R41" s="28"/>
      <c r="S41" s="28"/>
      <c r="T41" s="28"/>
      <c r="U41" s="28"/>
      <c r="V41" s="34"/>
      <c r="X41" s="31">
        <v>3</v>
      </c>
    </row>
    <row r="42" spans="2:24">
      <c r="B42" s="17" t="str">
        <f>IFERROR(VLOOKUP(C42,[1]Sheet2!$C$3:$F$1223,2,0),"")</f>
        <v>Seoul</v>
      </c>
      <c r="C42" s="3">
        <v>33092</v>
      </c>
      <c r="D42" s="18" t="str">
        <f>IFERROR(VLOOKUP(C42,[1]Sheet2!$C$1:$F$1223,3,0),"")</f>
        <v>박상일</v>
      </c>
      <c r="E42" s="18" t="str">
        <f>IFERROR(VLOOKUP(C42,[1]Sheet2!$C$1:$F$1223,4,0),"")</f>
        <v>대정 주식회사</v>
      </c>
      <c r="F42" s="2" t="s">
        <v>349</v>
      </c>
      <c r="G42" s="3" t="s">
        <v>3814</v>
      </c>
      <c r="H42" s="4" t="s">
        <v>21</v>
      </c>
      <c r="I42" s="4" t="s">
        <v>26</v>
      </c>
      <c r="J42" s="23" t="s">
        <v>350</v>
      </c>
      <c r="K42" s="27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34"/>
    </row>
    <row r="43" spans="2:24">
      <c r="B43" s="17" t="str">
        <f>IFERROR(VLOOKUP(C43,[1]Sheet2!$C$3:$F$1223,2,0),"")</f>
        <v>Seoul</v>
      </c>
      <c r="C43" s="3">
        <v>33079</v>
      </c>
      <c r="D43" s="18" t="str">
        <f>IFERROR(VLOOKUP(C43,[1]Sheet2!$C$1:$F$1223,3,0),"")</f>
        <v>박상일</v>
      </c>
      <c r="E43" s="18" t="str">
        <f>IFERROR(VLOOKUP(C43,[1]Sheet2!$C$1:$F$1223,4,0),"")</f>
        <v>세계주류신림</v>
      </c>
      <c r="F43" s="2" t="s">
        <v>355</v>
      </c>
      <c r="G43" s="3" t="s">
        <v>3814</v>
      </c>
      <c r="H43" s="4" t="s">
        <v>21</v>
      </c>
      <c r="I43" s="4" t="s">
        <v>41</v>
      </c>
      <c r="J43" s="23" t="s">
        <v>356</v>
      </c>
      <c r="K43" s="27"/>
      <c r="L43" s="28"/>
      <c r="M43" s="28"/>
      <c r="N43" s="28"/>
      <c r="O43" s="28">
        <v>4</v>
      </c>
      <c r="P43" s="28">
        <v>4</v>
      </c>
      <c r="Q43" s="28">
        <v>4</v>
      </c>
      <c r="R43" s="28"/>
      <c r="S43" s="28"/>
      <c r="T43" s="28"/>
      <c r="U43" s="28"/>
      <c r="V43" s="34"/>
      <c r="X43" s="31">
        <v>4</v>
      </c>
    </row>
    <row r="44" spans="2:24">
      <c r="B44" s="17" t="str">
        <f>IFERROR(VLOOKUP(C44,[1]Sheet2!$C$3:$F$1223,2,0),"")</f>
        <v>Seoul</v>
      </c>
      <c r="C44" s="3">
        <v>33079</v>
      </c>
      <c r="D44" s="18" t="str">
        <f>IFERROR(VLOOKUP(C44,[1]Sheet2!$C$1:$F$1223,3,0),"")</f>
        <v>박상일</v>
      </c>
      <c r="E44" s="18" t="str">
        <f>IFERROR(VLOOKUP(C44,[1]Sheet2!$C$1:$F$1223,4,0),"")</f>
        <v>세계주류신림</v>
      </c>
      <c r="F44" s="2" t="s">
        <v>360</v>
      </c>
      <c r="G44" s="3" t="s">
        <v>3814</v>
      </c>
      <c r="H44" s="4" t="s">
        <v>21</v>
      </c>
      <c r="I44" s="4" t="s">
        <v>257</v>
      </c>
      <c r="J44" s="23" t="s">
        <v>361</v>
      </c>
      <c r="K44" s="27"/>
      <c r="L44" s="28"/>
      <c r="M44" s="28"/>
      <c r="N44" s="28">
        <v>5</v>
      </c>
      <c r="O44" s="28">
        <v>5</v>
      </c>
      <c r="P44" s="28">
        <v>8</v>
      </c>
      <c r="Q44" s="28">
        <v>8</v>
      </c>
      <c r="R44" s="28"/>
      <c r="S44" s="28"/>
      <c r="T44" s="28"/>
      <c r="U44" s="28"/>
      <c r="V44" s="34"/>
      <c r="X44" s="31">
        <v>3</v>
      </c>
    </row>
    <row r="45" spans="2:24">
      <c r="B45" s="17" t="str">
        <f>IFERROR(VLOOKUP(C45,[1]Sheet2!$C$3:$F$1223,2,0),"")</f>
        <v>Seoul</v>
      </c>
      <c r="C45" s="3">
        <v>33079</v>
      </c>
      <c r="D45" s="18" t="str">
        <f>IFERROR(VLOOKUP(C45,[1]Sheet2!$C$1:$F$1223,3,0),"")</f>
        <v>박상일</v>
      </c>
      <c r="E45" s="18" t="str">
        <f>IFERROR(VLOOKUP(C45,[1]Sheet2!$C$1:$F$1223,4,0),"")</f>
        <v>세계주류신림</v>
      </c>
      <c r="F45" s="2" t="s">
        <v>368</v>
      </c>
      <c r="G45" s="3" t="s">
        <v>3815</v>
      </c>
      <c r="H45" s="4" t="s">
        <v>21</v>
      </c>
      <c r="I45" s="4" t="s">
        <v>241</v>
      </c>
      <c r="J45" s="23" t="s">
        <v>369</v>
      </c>
      <c r="K45" s="27"/>
      <c r="L45" s="28"/>
      <c r="M45" s="28"/>
      <c r="N45" s="28">
        <v>1</v>
      </c>
      <c r="O45" s="28">
        <v>10</v>
      </c>
      <c r="P45" s="28">
        <v>10</v>
      </c>
      <c r="Q45" s="28">
        <v>12</v>
      </c>
      <c r="R45" s="28"/>
      <c r="S45" s="28"/>
      <c r="T45" s="28"/>
      <c r="U45" s="28"/>
      <c r="V45" s="34"/>
    </row>
    <row r="46" spans="2:24">
      <c r="B46" s="17" t="str">
        <f>IFERROR(VLOOKUP(C46,[1]Sheet2!$C$3:$F$1223,2,0),"")</f>
        <v>Seoul</v>
      </c>
      <c r="C46" s="3">
        <v>33079</v>
      </c>
      <c r="D46" s="18" t="str">
        <f>IFERROR(VLOOKUP(C46,[1]Sheet2!$C$1:$F$1223,3,0),"")</f>
        <v>박상일</v>
      </c>
      <c r="E46" s="18" t="str">
        <f>IFERROR(VLOOKUP(C46,[1]Sheet2!$C$1:$F$1223,4,0),"")</f>
        <v>세계주류신림</v>
      </c>
      <c r="F46" s="2" t="s">
        <v>370</v>
      </c>
      <c r="G46" s="3" t="s">
        <v>3814</v>
      </c>
      <c r="H46" s="4" t="s">
        <v>21</v>
      </c>
      <c r="I46" s="4" t="s">
        <v>371</v>
      </c>
      <c r="J46" s="23" t="s">
        <v>372</v>
      </c>
      <c r="K46" s="27"/>
      <c r="L46" s="28"/>
      <c r="M46" s="28"/>
      <c r="N46" s="28">
        <v>2</v>
      </c>
      <c r="O46" s="28">
        <v>4</v>
      </c>
      <c r="P46" s="28">
        <v>7</v>
      </c>
      <c r="Q46" s="28">
        <v>6</v>
      </c>
      <c r="R46" s="28"/>
      <c r="S46" s="28"/>
      <c r="T46" s="28"/>
      <c r="U46" s="28"/>
      <c r="V46" s="34"/>
      <c r="X46" s="31">
        <v>7</v>
      </c>
    </row>
    <row r="47" spans="2:24">
      <c r="B47" s="17" t="str">
        <f>IFERROR(VLOOKUP(C47,[1]Sheet2!$C$3:$F$1223,2,0),"")</f>
        <v>Seoul</v>
      </c>
      <c r="C47" s="3">
        <v>33079</v>
      </c>
      <c r="D47" s="18" t="str">
        <f>IFERROR(VLOOKUP(C47,[1]Sheet2!$C$1:$F$1223,3,0),"")</f>
        <v>박상일</v>
      </c>
      <c r="E47" s="18" t="str">
        <f>IFERROR(VLOOKUP(C47,[1]Sheet2!$C$1:$F$1223,4,0),"")</f>
        <v>세계주류신림</v>
      </c>
      <c r="F47" s="2" t="s">
        <v>373</v>
      </c>
      <c r="G47" s="3" t="s">
        <v>18</v>
      </c>
      <c r="H47" s="4" t="s">
        <v>21</v>
      </c>
      <c r="I47" s="4" t="s">
        <v>38</v>
      </c>
      <c r="J47" s="23" t="s">
        <v>374</v>
      </c>
      <c r="K47" s="27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34"/>
    </row>
    <row r="48" spans="2:24">
      <c r="B48" s="17" t="str">
        <f>IFERROR(VLOOKUP(C48,[1]Sheet2!$C$3:$F$1223,2,0),"")</f>
        <v>Seoul</v>
      </c>
      <c r="C48" s="3">
        <v>33079</v>
      </c>
      <c r="D48" s="18" t="str">
        <f>IFERROR(VLOOKUP(C48,[1]Sheet2!$C$1:$F$1223,3,0),"")</f>
        <v>박상일</v>
      </c>
      <c r="E48" s="18" t="str">
        <f>IFERROR(VLOOKUP(C48,[1]Sheet2!$C$1:$F$1223,4,0),"")</f>
        <v>세계주류신림</v>
      </c>
      <c r="F48" s="2" t="s">
        <v>375</v>
      </c>
      <c r="G48" s="3" t="s">
        <v>497</v>
      </c>
      <c r="H48" s="4" t="s">
        <v>21</v>
      </c>
      <c r="I48" s="4" t="s">
        <v>376</v>
      </c>
      <c r="J48" s="23" t="s">
        <v>377</v>
      </c>
      <c r="K48" s="27"/>
      <c r="L48" s="28"/>
      <c r="M48" s="28"/>
      <c r="N48" s="28">
        <v>4</v>
      </c>
      <c r="O48" s="28">
        <v>6</v>
      </c>
      <c r="P48" s="28">
        <v>4</v>
      </c>
      <c r="Q48" s="28">
        <v>6</v>
      </c>
      <c r="R48" s="28"/>
      <c r="S48" s="28"/>
      <c r="T48" s="28"/>
      <c r="U48" s="28"/>
      <c r="V48" s="34"/>
    </row>
    <row r="49" spans="2:35">
      <c r="B49" s="17" t="str">
        <f>IFERROR(VLOOKUP(C49,[1]Sheet2!$C$3:$F$1223,2,0),"")</f>
        <v>Seoul</v>
      </c>
      <c r="C49" s="3">
        <v>33079</v>
      </c>
      <c r="D49" s="18" t="str">
        <f>IFERROR(VLOOKUP(C49,[1]Sheet2!$C$1:$F$1223,3,0),"")</f>
        <v>박상일</v>
      </c>
      <c r="E49" s="18" t="str">
        <f>IFERROR(VLOOKUP(C49,[1]Sheet2!$C$1:$F$1223,4,0),"")</f>
        <v>세계주류신림</v>
      </c>
      <c r="F49" s="2" t="s">
        <v>378</v>
      </c>
      <c r="G49" s="3" t="s">
        <v>497</v>
      </c>
      <c r="H49" s="4" t="s">
        <v>21</v>
      </c>
      <c r="I49" s="4" t="s">
        <v>376</v>
      </c>
      <c r="J49" s="23" t="s">
        <v>379</v>
      </c>
      <c r="K49" s="27"/>
      <c r="L49" s="28"/>
      <c r="M49" s="28"/>
      <c r="N49" s="28">
        <v>12</v>
      </c>
      <c r="O49" s="28">
        <v>23</v>
      </c>
      <c r="P49" s="28">
        <v>27</v>
      </c>
      <c r="Q49" s="28">
        <v>29</v>
      </c>
      <c r="R49" s="28"/>
      <c r="S49" s="28"/>
      <c r="T49" s="28"/>
      <c r="U49" s="28"/>
      <c r="V49" s="34"/>
    </row>
    <row r="50" spans="2:35">
      <c r="B50" s="17" t="str">
        <f>IFERROR(VLOOKUP(C50,[1]Sheet2!$C$3:$F$1223,2,0),"")</f>
        <v>Seoul</v>
      </c>
      <c r="C50" s="3">
        <v>33079</v>
      </c>
      <c r="D50" s="18" t="str">
        <f>IFERROR(VLOOKUP(C50,[1]Sheet2!$C$1:$F$1223,3,0),"")</f>
        <v>박상일</v>
      </c>
      <c r="E50" s="18" t="str">
        <f>IFERROR(VLOOKUP(C50,[1]Sheet2!$C$1:$F$1223,4,0),"")</f>
        <v>세계주류신림</v>
      </c>
      <c r="F50" s="2" t="s">
        <v>380</v>
      </c>
      <c r="G50" s="3" t="s">
        <v>3814</v>
      </c>
      <c r="H50" s="4" t="s">
        <v>21</v>
      </c>
      <c r="I50" s="4" t="s">
        <v>65</v>
      </c>
      <c r="J50" s="23" t="s">
        <v>381</v>
      </c>
      <c r="K50" s="27"/>
      <c r="L50" s="28"/>
      <c r="M50" s="28"/>
      <c r="N50" s="28">
        <v>6</v>
      </c>
      <c r="O50" s="28">
        <v>7</v>
      </c>
      <c r="P50" s="28">
        <v>10</v>
      </c>
      <c r="Q50" s="28">
        <v>13</v>
      </c>
      <c r="R50" s="28"/>
      <c r="S50" s="28"/>
      <c r="T50" s="28"/>
      <c r="U50" s="28"/>
      <c r="V50" s="34"/>
      <c r="X50" s="31">
        <v>11</v>
      </c>
    </row>
    <row r="51" spans="2:35">
      <c r="B51" s="17" t="str">
        <f>IFERROR(VLOOKUP(C51,[1]Sheet2!$C$3:$F$1223,2,0),"")</f>
        <v>Seoul</v>
      </c>
      <c r="C51" s="3">
        <v>33079</v>
      </c>
      <c r="D51" s="18" t="str">
        <f>IFERROR(VLOOKUP(C51,[1]Sheet2!$C$1:$F$1223,3,0),"")</f>
        <v>박상일</v>
      </c>
      <c r="E51" s="18" t="str">
        <f>IFERROR(VLOOKUP(C51,[1]Sheet2!$C$1:$F$1223,4,0),"")</f>
        <v>세계주류신림</v>
      </c>
      <c r="F51" s="2" t="s">
        <v>382</v>
      </c>
      <c r="G51" s="3" t="s">
        <v>3814</v>
      </c>
      <c r="H51" s="4" t="s">
        <v>21</v>
      </c>
      <c r="I51" s="4" t="s">
        <v>65</v>
      </c>
      <c r="J51" s="23" t="s">
        <v>383</v>
      </c>
      <c r="K51" s="27"/>
      <c r="L51" s="28"/>
      <c r="M51" s="28"/>
      <c r="N51" s="28">
        <v>3</v>
      </c>
      <c r="O51" s="28">
        <v>5</v>
      </c>
      <c r="P51" s="28">
        <v>3</v>
      </c>
      <c r="Q51" s="28">
        <v>9</v>
      </c>
      <c r="R51" s="28"/>
      <c r="S51" s="28"/>
      <c r="T51" s="28"/>
      <c r="U51" s="28"/>
      <c r="V51" s="34"/>
    </row>
    <row r="52" spans="2:35">
      <c r="B52" s="17" t="str">
        <f>IFERROR(VLOOKUP(C52,[1]Sheet2!$C$3:$F$1223,2,0),"")</f>
        <v>Seoul</v>
      </c>
      <c r="C52" s="3">
        <v>33079</v>
      </c>
      <c r="D52" s="18" t="str">
        <f>IFERROR(VLOOKUP(C52,[1]Sheet2!$C$1:$F$1223,3,0),"")</f>
        <v>박상일</v>
      </c>
      <c r="E52" s="18" t="str">
        <f>IFERROR(VLOOKUP(C52,[1]Sheet2!$C$1:$F$1223,4,0),"")</f>
        <v>세계주류신림</v>
      </c>
      <c r="F52" s="2" t="s">
        <v>386</v>
      </c>
      <c r="G52" s="3" t="s">
        <v>18</v>
      </c>
      <c r="H52" s="4" t="s">
        <v>21</v>
      </c>
      <c r="I52" s="4" t="s">
        <v>38</v>
      </c>
      <c r="J52" s="23" t="s">
        <v>387</v>
      </c>
      <c r="K52" s="27"/>
      <c r="L52" s="28"/>
      <c r="M52" s="28"/>
      <c r="N52" s="28">
        <v>4</v>
      </c>
      <c r="O52" s="28">
        <v>10</v>
      </c>
      <c r="P52" s="28">
        <v>12</v>
      </c>
      <c r="Q52" s="28">
        <v>11</v>
      </c>
      <c r="R52" s="28"/>
      <c r="S52" s="28"/>
      <c r="T52" s="28"/>
      <c r="U52" s="28"/>
      <c r="V52" s="34"/>
      <c r="X52" s="31">
        <v>6</v>
      </c>
    </row>
    <row r="53" spans="2:35">
      <c r="B53" s="17" t="str">
        <f>IFERROR(VLOOKUP(C53,[1]Sheet2!$C$3:$F$1223,2,0),"")</f>
        <v>Seoul</v>
      </c>
      <c r="C53" s="3">
        <v>33079</v>
      </c>
      <c r="D53" s="18" t="str">
        <f>IFERROR(VLOOKUP(C53,[1]Sheet2!$C$1:$F$1223,3,0),"")</f>
        <v>박상일</v>
      </c>
      <c r="E53" s="18" t="str">
        <f>IFERROR(VLOOKUP(C53,[1]Sheet2!$C$1:$F$1223,4,0),"")</f>
        <v>세계주류신림</v>
      </c>
      <c r="F53" s="2" t="s">
        <v>414</v>
      </c>
      <c r="G53" s="3" t="s">
        <v>3814</v>
      </c>
      <c r="H53" s="4" t="s">
        <v>21</v>
      </c>
      <c r="I53" s="4" t="s">
        <v>257</v>
      </c>
      <c r="J53" s="23" t="s">
        <v>415</v>
      </c>
      <c r="K53" s="27"/>
      <c r="L53" s="28"/>
      <c r="M53" s="28"/>
      <c r="N53" s="28"/>
      <c r="O53" s="28">
        <v>1</v>
      </c>
      <c r="P53" s="28"/>
      <c r="Q53" s="28"/>
      <c r="R53" s="28"/>
      <c r="S53" s="28"/>
      <c r="T53" s="28"/>
      <c r="U53" s="28"/>
      <c r="V53" s="34"/>
    </row>
    <row r="54" spans="2:35">
      <c r="B54" s="17" t="str">
        <f>IFERROR(VLOOKUP(C54,[1]Sheet2!$C$3:$F$1223,2,0),"")</f>
        <v>Seoul</v>
      </c>
      <c r="C54" s="3">
        <v>33079</v>
      </c>
      <c r="D54" s="18" t="str">
        <f>IFERROR(VLOOKUP(C54,[1]Sheet2!$C$1:$F$1223,3,0),"")</f>
        <v>박상일</v>
      </c>
      <c r="E54" s="18" t="str">
        <f>IFERROR(VLOOKUP(C54,[1]Sheet2!$C$1:$F$1223,4,0),"")</f>
        <v>세계주류신림</v>
      </c>
      <c r="F54" s="2" t="s">
        <v>416</v>
      </c>
      <c r="G54" s="3" t="s">
        <v>3814</v>
      </c>
      <c r="H54" s="4" t="s">
        <v>21</v>
      </c>
      <c r="I54" s="4" t="s">
        <v>257</v>
      </c>
      <c r="J54" s="23" t="s">
        <v>417</v>
      </c>
      <c r="K54" s="27"/>
      <c r="L54" s="28"/>
      <c r="M54" s="28"/>
      <c r="N54" s="28"/>
      <c r="O54" s="28">
        <v>1</v>
      </c>
      <c r="P54" s="28"/>
      <c r="Q54" s="28"/>
      <c r="R54" s="28"/>
      <c r="S54" s="28"/>
      <c r="T54" s="28"/>
      <c r="U54" s="28"/>
      <c r="V54" s="34"/>
      <c r="X54" s="31">
        <v>4</v>
      </c>
    </row>
    <row r="55" spans="2:35">
      <c r="B55" s="17" t="str">
        <f>IFERROR(VLOOKUP(C55,[1]Sheet2!$C$3:$F$1223,2,0),"")</f>
        <v>Seoul</v>
      </c>
      <c r="C55" s="3">
        <v>33092</v>
      </c>
      <c r="D55" s="18" t="str">
        <f>IFERROR(VLOOKUP(C55,[1]Sheet2!$C$1:$F$1223,3,0),"")</f>
        <v>박상일</v>
      </c>
      <c r="E55" s="18" t="str">
        <f>IFERROR(VLOOKUP(C55,[1]Sheet2!$C$1:$F$1223,4,0),"")</f>
        <v>대정 주식회사</v>
      </c>
      <c r="F55" s="2" t="s">
        <v>422</v>
      </c>
      <c r="G55" s="3" t="s">
        <v>3814</v>
      </c>
      <c r="H55" s="4" t="s">
        <v>21</v>
      </c>
      <c r="I55" s="4" t="s">
        <v>26</v>
      </c>
      <c r="J55" s="23" t="s">
        <v>423</v>
      </c>
      <c r="K55" s="27"/>
      <c r="L55" s="28"/>
      <c r="M55" s="28"/>
      <c r="N55" s="28"/>
      <c r="O55" s="28">
        <v>2</v>
      </c>
      <c r="P55" s="28">
        <v>2</v>
      </c>
      <c r="Q55" s="28"/>
      <c r="R55" s="28"/>
      <c r="S55" s="28"/>
      <c r="T55" s="28"/>
      <c r="U55" s="28"/>
      <c r="V55" s="34"/>
    </row>
    <row r="56" spans="2:35">
      <c r="B56" s="17" t="str">
        <f>IFERROR(VLOOKUP(C56,[1]Sheet2!$C$3:$F$1223,2,0),"")</f>
        <v>Seoul</v>
      </c>
      <c r="C56" s="3">
        <v>81997</v>
      </c>
      <c r="D56" s="18" t="str">
        <f>IFERROR(VLOOKUP(C56,[1]Sheet2!$C$1:$F$1223,3,0),"")</f>
        <v>정구영</v>
      </c>
      <c r="E56" s="18" t="str">
        <f>IFERROR(VLOOKUP(C56,[1]Sheet2!$C$1:$F$1223,4,0),"")</f>
        <v>(주)서정주류</v>
      </c>
      <c r="F56" s="3" t="s">
        <v>494</v>
      </c>
      <c r="G56" s="3" t="s">
        <v>3816</v>
      </c>
      <c r="H56" s="4" t="s">
        <v>21</v>
      </c>
      <c r="I56" s="4" t="s">
        <v>495</v>
      </c>
      <c r="J56" s="23" t="s">
        <v>496</v>
      </c>
      <c r="K56" s="35"/>
      <c r="L56" s="36"/>
      <c r="M56" s="36"/>
      <c r="N56" s="36">
        <v>5</v>
      </c>
      <c r="O56" s="36">
        <v>6</v>
      </c>
      <c r="P56" s="36">
        <v>5</v>
      </c>
      <c r="Q56" s="36">
        <v>10</v>
      </c>
      <c r="R56" s="36"/>
      <c r="S56" s="36"/>
      <c r="T56" s="36"/>
      <c r="U56" s="36"/>
      <c r="V56" s="29"/>
    </row>
    <row r="57" spans="2:35">
      <c r="B57" s="17" t="str">
        <f>IFERROR(VLOOKUP(C57,[1]Sheet2!$C$3:$F$1223,2,0),"")</f>
        <v>Seoul</v>
      </c>
      <c r="C57" s="3">
        <v>33149</v>
      </c>
      <c r="D57" s="18" t="str">
        <f>IFERROR(VLOOKUP(C57,[1]Sheet2!$C$1:$F$1223,3,0),"")</f>
        <v>정구영</v>
      </c>
      <c r="E57" s="18" t="str">
        <f>IFERROR(VLOOKUP(C57,[1]Sheet2!$C$1:$F$1223,4,0),"")</f>
        <v>성북합동상사</v>
      </c>
      <c r="F57" s="2" t="s">
        <v>499</v>
      </c>
      <c r="G57" s="3" t="s">
        <v>497</v>
      </c>
      <c r="H57" s="4" t="s">
        <v>21</v>
      </c>
      <c r="I57" s="4" t="s">
        <v>376</v>
      </c>
      <c r="J57" s="23" t="s">
        <v>500</v>
      </c>
      <c r="K57" s="27">
        <v>0</v>
      </c>
      <c r="L57" s="28">
        <v>0</v>
      </c>
      <c r="M57" s="28">
        <v>0</v>
      </c>
      <c r="N57" s="28">
        <v>3</v>
      </c>
      <c r="O57" s="28">
        <v>2</v>
      </c>
      <c r="P57" s="28">
        <v>3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34">
        <v>0</v>
      </c>
      <c r="X57" s="31">
        <v>0</v>
      </c>
    </row>
    <row r="58" spans="2:35">
      <c r="B58" s="17" t="str">
        <f>IFERROR(VLOOKUP(C58,[1]Sheet2!$C$3:$F$1223,2,0),"")</f>
        <v>Seoul</v>
      </c>
      <c r="C58" s="3">
        <v>33050</v>
      </c>
      <c r="D58" s="18" t="str">
        <f>IFERROR(VLOOKUP(C58,[1]Sheet2!$C$1:$F$1223,3,0),"")</f>
        <v>박성민</v>
      </c>
      <c r="E58" s="18" t="str">
        <f>IFERROR(VLOOKUP(C58,[1]Sheet2!$C$1:$F$1223,4,0),"")</f>
        <v>중앙종합주류</v>
      </c>
      <c r="F58" s="60" t="s">
        <v>503</v>
      </c>
      <c r="G58" s="3" t="s">
        <v>497</v>
      </c>
      <c r="H58" s="4" t="s">
        <v>21</v>
      </c>
      <c r="I58" s="4" t="s">
        <v>119</v>
      </c>
      <c r="J58" s="4" t="s">
        <v>504</v>
      </c>
      <c r="K58" s="28">
        <v>0</v>
      </c>
      <c r="L58" s="28">
        <v>0</v>
      </c>
      <c r="M58" s="28">
        <v>0</v>
      </c>
      <c r="N58" s="28">
        <v>2</v>
      </c>
      <c r="O58" s="28">
        <v>0</v>
      </c>
      <c r="P58" s="28">
        <v>0</v>
      </c>
      <c r="Q58" s="28">
        <v>0</v>
      </c>
      <c r="R58" s="28">
        <v>0</v>
      </c>
      <c r="S58" s="28"/>
      <c r="T58" s="28"/>
      <c r="U58" s="28"/>
      <c r="V58" s="34"/>
      <c r="W58" s="40"/>
      <c r="X58" s="41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3"/>
    </row>
    <row r="59" spans="2:35">
      <c r="B59" s="17" t="str">
        <f>IFERROR(VLOOKUP(C59,[1]Sheet2!$C$3:$F$1223,2,0),"")</f>
        <v>Seoul</v>
      </c>
      <c r="C59" s="3">
        <v>81995</v>
      </c>
      <c r="D59" s="18" t="str">
        <f>IFERROR(VLOOKUP(C59,[1]Sheet2!$C$1:$F$1223,3,0),"")</f>
        <v>모정호</v>
      </c>
      <c r="E59" s="18" t="str">
        <f>IFERROR(VLOOKUP(C59,[1]Sheet2!$C$1:$F$1223,4,0),"")</f>
        <v>(자)중국주류</v>
      </c>
      <c r="F59" s="2" t="s">
        <v>3817</v>
      </c>
      <c r="G59" s="3" t="s">
        <v>3815</v>
      </c>
      <c r="H59" s="4" t="s">
        <v>3818</v>
      </c>
      <c r="I59" s="4" t="s">
        <v>376</v>
      </c>
      <c r="J59" s="23" t="s">
        <v>3819</v>
      </c>
      <c r="K59" s="36"/>
      <c r="L59" s="36"/>
      <c r="M59" s="36"/>
      <c r="N59" s="36">
        <v>3</v>
      </c>
      <c r="O59" s="36">
        <v>2</v>
      </c>
      <c r="P59" s="36">
        <v>1</v>
      </c>
      <c r="Q59" s="36">
        <v>4</v>
      </c>
      <c r="R59" s="36"/>
      <c r="S59" s="36"/>
      <c r="T59" s="36"/>
      <c r="U59" s="36"/>
      <c r="V59" s="29"/>
      <c r="X59" s="41">
        <v>2</v>
      </c>
      <c r="Y59" s="42">
        <v>3</v>
      </c>
    </row>
    <row r="60" spans="2:35">
      <c r="B60" s="17" t="str">
        <f>IFERROR(VLOOKUP(C60,[1]Sheet2!$C$3:$F$1223,2,0),"")</f>
        <v>Seoul</v>
      </c>
      <c r="C60" s="3">
        <v>33182</v>
      </c>
      <c r="D60" s="18" t="str">
        <f>IFERROR(VLOOKUP(C60,[1]Sheet2!$C$1:$F$1223,3,0),"")</f>
        <v>박성민</v>
      </c>
      <c r="E60" s="18" t="str">
        <f>IFERROR(VLOOKUP(C60,[1]Sheet2!$C$1:$F$1223,4,0),"")</f>
        <v>신합상사(유)</v>
      </c>
      <c r="F60" s="3" t="s">
        <v>531</v>
      </c>
      <c r="G60" s="3" t="s">
        <v>497</v>
      </c>
      <c r="H60" s="4" t="s">
        <v>21</v>
      </c>
      <c r="I60" s="4" t="s">
        <v>119</v>
      </c>
      <c r="J60" s="4" t="s">
        <v>532</v>
      </c>
      <c r="K60" s="36"/>
      <c r="L60" s="36"/>
      <c r="M60" s="36"/>
      <c r="N60" s="36">
        <v>3</v>
      </c>
      <c r="O60" s="36">
        <v>2</v>
      </c>
      <c r="P60" s="36">
        <v>2</v>
      </c>
      <c r="Q60" s="36">
        <v>3</v>
      </c>
      <c r="R60" s="36"/>
      <c r="S60" s="36"/>
      <c r="T60" s="36"/>
      <c r="U60" s="36"/>
      <c r="V60" s="29"/>
    </row>
    <row r="61" spans="2:35">
      <c r="B61" s="17" t="str">
        <f>IFERROR(VLOOKUP(C61,[1]Sheet2!$C$3:$F$1223,2,0),"")</f>
        <v>Seoul</v>
      </c>
      <c r="C61" s="3">
        <v>33182</v>
      </c>
      <c r="D61" s="18" t="str">
        <f>IFERROR(VLOOKUP(C61,[1]Sheet2!$C$1:$F$1223,3,0),"")</f>
        <v>박성민</v>
      </c>
      <c r="E61" s="18" t="str">
        <f>IFERROR(VLOOKUP(C61,[1]Sheet2!$C$1:$F$1223,4,0),"")</f>
        <v>신합상사(유)</v>
      </c>
      <c r="F61" s="3" t="s">
        <v>533</v>
      </c>
      <c r="G61" s="3" t="s">
        <v>18</v>
      </c>
      <c r="H61" s="4" t="s">
        <v>21</v>
      </c>
      <c r="I61" s="4" t="s">
        <v>38</v>
      </c>
      <c r="J61" s="4" t="s">
        <v>534</v>
      </c>
      <c r="K61" s="36"/>
      <c r="L61" s="36"/>
      <c r="M61" s="36"/>
      <c r="N61" s="36">
        <v>5</v>
      </c>
      <c r="O61" s="36">
        <v>1</v>
      </c>
      <c r="P61" s="36">
        <v>2</v>
      </c>
      <c r="Q61" s="36">
        <v>3</v>
      </c>
      <c r="R61" s="36"/>
      <c r="S61" s="36"/>
      <c r="T61" s="36"/>
      <c r="U61" s="36"/>
      <c r="V61" s="29"/>
    </row>
    <row r="62" spans="2:35">
      <c r="B62" s="17" t="str">
        <f>IFERROR(VLOOKUP(C62,[1]Sheet2!$C$3:$F$1223,2,0),"")</f>
        <v>Seoul</v>
      </c>
      <c r="C62" s="3">
        <v>33182</v>
      </c>
      <c r="D62" s="18" t="str">
        <f>IFERROR(VLOOKUP(C62,[1]Sheet2!$C$1:$F$1223,3,0),"")</f>
        <v>박성민</v>
      </c>
      <c r="E62" s="18" t="str">
        <f>IFERROR(VLOOKUP(C62,[1]Sheet2!$C$1:$F$1223,4,0),"")</f>
        <v>신합상사(유)</v>
      </c>
      <c r="F62" s="3" t="s">
        <v>535</v>
      </c>
      <c r="G62" s="3" t="s">
        <v>3814</v>
      </c>
      <c r="H62" s="4" t="s">
        <v>21</v>
      </c>
      <c r="I62" s="4" t="s">
        <v>65</v>
      </c>
      <c r="J62" s="4" t="s">
        <v>536</v>
      </c>
      <c r="K62" s="36"/>
      <c r="L62" s="36"/>
      <c r="M62" s="36"/>
      <c r="N62" s="36">
        <v>2</v>
      </c>
      <c r="O62" s="36">
        <v>1</v>
      </c>
      <c r="P62" s="36">
        <v>2</v>
      </c>
      <c r="Q62" s="36">
        <v>2</v>
      </c>
      <c r="R62" s="36"/>
      <c r="S62" s="36"/>
      <c r="T62" s="36"/>
      <c r="U62" s="36"/>
      <c r="V62" s="29"/>
    </row>
    <row r="63" spans="2:35">
      <c r="B63" s="17" t="str">
        <f>IFERROR(VLOOKUP(C63,[1]Sheet2!$C$3:$F$1223,2,0),"")</f>
        <v>Seoul</v>
      </c>
      <c r="C63" s="3">
        <v>33149</v>
      </c>
      <c r="D63" s="18" t="str">
        <f>IFERROR(VLOOKUP(C63,[1]Sheet2!$C$1:$F$1223,3,0),"")</f>
        <v>정구영</v>
      </c>
      <c r="E63" s="18" t="str">
        <f>IFERROR(VLOOKUP(C63,[1]Sheet2!$C$1:$F$1223,4,0),"")</f>
        <v>성북합동상사</v>
      </c>
      <c r="F63" s="3" t="s">
        <v>540</v>
      </c>
      <c r="G63" s="3" t="s">
        <v>497</v>
      </c>
      <c r="H63" s="4" t="s">
        <v>21</v>
      </c>
      <c r="I63" s="4" t="s">
        <v>87</v>
      </c>
      <c r="J63" s="4" t="s">
        <v>541</v>
      </c>
      <c r="K63" s="36">
        <v>0</v>
      </c>
      <c r="L63" s="36">
        <v>0</v>
      </c>
      <c r="M63" s="36">
        <v>0</v>
      </c>
      <c r="N63" s="36">
        <v>1</v>
      </c>
      <c r="O63" s="36">
        <v>1</v>
      </c>
      <c r="P63" s="36">
        <v>0</v>
      </c>
      <c r="Q63" s="36">
        <v>0</v>
      </c>
      <c r="R63" s="36">
        <v>0</v>
      </c>
      <c r="S63" s="36">
        <v>0</v>
      </c>
      <c r="T63" s="36">
        <v>0</v>
      </c>
      <c r="U63" s="36">
        <v>0</v>
      </c>
      <c r="V63" s="29">
        <v>0</v>
      </c>
    </row>
    <row r="64" spans="2:35">
      <c r="B64" s="17" t="str">
        <f>IFERROR(VLOOKUP(C64,[1]Sheet2!$C$3:$F$1223,2,0),"")</f>
        <v>Seoul</v>
      </c>
      <c r="C64" s="3">
        <v>33112</v>
      </c>
      <c r="D64" s="18" t="str">
        <f>IFERROR(VLOOKUP(C64,[1]Sheet2!$C$1:$F$1223,3,0),"")</f>
        <v>모정호</v>
      </c>
      <c r="E64" s="18" t="str">
        <f>IFERROR(VLOOKUP(C64,[1]Sheet2!$C$1:$F$1223,4,0),"")</f>
        <v>경남주류제기</v>
      </c>
      <c r="F64" s="60" t="s">
        <v>560</v>
      </c>
      <c r="G64" s="3" t="s">
        <v>497</v>
      </c>
      <c r="H64" s="4" t="s">
        <v>3818</v>
      </c>
      <c r="I64" s="4" t="s">
        <v>561</v>
      </c>
      <c r="J64" s="54" t="s">
        <v>562</v>
      </c>
      <c r="K64" s="28">
        <v>0</v>
      </c>
      <c r="L64" s="28">
        <v>0</v>
      </c>
      <c r="M64" s="28">
        <v>0</v>
      </c>
      <c r="N64" s="28">
        <v>3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34">
        <v>0</v>
      </c>
      <c r="W64" s="40"/>
      <c r="X64" s="41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3"/>
    </row>
    <row r="65" spans="2:35">
      <c r="B65" s="17" t="str">
        <f>IFERROR(VLOOKUP(C65,[1]Sheet2!$C$3:$F$1223,2,0),"")</f>
        <v>Seoul</v>
      </c>
      <c r="C65" s="3">
        <v>81995</v>
      </c>
      <c r="D65" s="18" t="str">
        <f>IFERROR(VLOOKUP(C65,[1]Sheet2!$C$1:$F$1223,3,0),"")</f>
        <v>모정호</v>
      </c>
      <c r="E65" s="18" t="str">
        <f>IFERROR(VLOOKUP(C65,[1]Sheet2!$C$1:$F$1223,4,0),"")</f>
        <v>(자)중국주류</v>
      </c>
      <c r="F65" s="2" t="s">
        <v>582</v>
      </c>
      <c r="G65" s="3" t="s">
        <v>3816</v>
      </c>
      <c r="H65" s="4" t="s">
        <v>3818</v>
      </c>
      <c r="I65" s="4" t="s">
        <v>495</v>
      </c>
      <c r="J65" s="4" t="s">
        <v>583</v>
      </c>
      <c r="K65" s="28"/>
      <c r="L65" s="28"/>
      <c r="M65" s="28"/>
      <c r="N65" s="28"/>
      <c r="O65" s="28">
        <v>7</v>
      </c>
      <c r="P65" s="28">
        <v>15</v>
      </c>
      <c r="Q65" s="28">
        <v>12</v>
      </c>
      <c r="R65" s="28"/>
      <c r="S65" s="28"/>
      <c r="T65" s="28"/>
      <c r="U65" s="28"/>
      <c r="V65" s="34"/>
      <c r="X65" s="31">
        <v>15</v>
      </c>
      <c r="Y65" s="32">
        <v>12</v>
      </c>
    </row>
    <row r="66" spans="2:35">
      <c r="B66" s="17" t="str">
        <f>IFERROR(VLOOKUP(C66,[1]Sheet2!$C$3:$F$1223,2,0),"")</f>
        <v>Seoul</v>
      </c>
      <c r="C66" s="3">
        <v>81995</v>
      </c>
      <c r="D66" s="18" t="str">
        <f>IFERROR(VLOOKUP(C66,[1]Sheet2!$C$1:$F$1223,3,0),"")</f>
        <v>모정호</v>
      </c>
      <c r="E66" s="18" t="str">
        <f>IFERROR(VLOOKUP(C66,[1]Sheet2!$C$1:$F$1223,4,0),"")</f>
        <v>(자)중국주류</v>
      </c>
      <c r="F66" s="2" t="s">
        <v>3820</v>
      </c>
      <c r="G66" s="3" t="s">
        <v>3815</v>
      </c>
      <c r="H66" s="4" t="s">
        <v>3818</v>
      </c>
      <c r="I66" s="4" t="s">
        <v>119</v>
      </c>
      <c r="J66" s="23" t="s">
        <v>3821</v>
      </c>
      <c r="K66" s="28"/>
      <c r="L66" s="28"/>
      <c r="M66" s="28"/>
      <c r="N66" s="28"/>
      <c r="O66" s="28">
        <v>4</v>
      </c>
      <c r="P66" s="28">
        <v>19</v>
      </c>
      <c r="Q66" s="28">
        <v>14</v>
      </c>
      <c r="R66" s="28"/>
      <c r="S66" s="28"/>
      <c r="T66" s="28"/>
      <c r="U66" s="28"/>
      <c r="V66" s="34"/>
      <c r="X66" s="41">
        <v>11</v>
      </c>
    </row>
    <row r="67" spans="2:35">
      <c r="B67" s="17" t="str">
        <f>IFERROR(VLOOKUP(C67,[1]Sheet2!$C$3:$F$1223,2,0),"")</f>
        <v>Seoul</v>
      </c>
      <c r="C67" s="3">
        <v>81995</v>
      </c>
      <c r="D67" s="18" t="str">
        <f>IFERROR(VLOOKUP(C67,[1]Sheet2!$C$1:$F$1223,3,0),"")</f>
        <v>모정호</v>
      </c>
      <c r="E67" s="18" t="str">
        <f>IFERROR(VLOOKUP(C67,[1]Sheet2!$C$1:$F$1223,4,0),"")</f>
        <v>(자)중국주류</v>
      </c>
      <c r="F67" s="2" t="s">
        <v>3822</v>
      </c>
      <c r="G67" s="3" t="s">
        <v>3816</v>
      </c>
      <c r="H67" s="4" t="s">
        <v>3818</v>
      </c>
      <c r="I67" s="4" t="s">
        <v>146</v>
      </c>
      <c r="J67" s="23" t="s">
        <v>3823</v>
      </c>
      <c r="K67" s="28"/>
      <c r="L67" s="28"/>
      <c r="M67" s="28"/>
      <c r="N67" s="28"/>
      <c r="O67" s="28">
        <v>3</v>
      </c>
      <c r="P67" s="28">
        <v>16</v>
      </c>
      <c r="Q67" s="28">
        <v>15</v>
      </c>
      <c r="R67" s="28"/>
      <c r="S67" s="28"/>
      <c r="T67" s="28"/>
      <c r="U67" s="28"/>
      <c r="V67" s="34"/>
      <c r="X67" s="41">
        <v>16</v>
      </c>
      <c r="Y67" s="32">
        <v>13</v>
      </c>
    </row>
    <row r="68" spans="2:35">
      <c r="B68" s="17" t="str">
        <f>IFERROR(VLOOKUP(C68,[1]Sheet2!$C$3:$F$1223,2,0),"")</f>
        <v>Seoul</v>
      </c>
      <c r="C68" s="3">
        <v>81995</v>
      </c>
      <c r="D68" s="18" t="str">
        <f>IFERROR(VLOOKUP(C68,[1]Sheet2!$C$1:$F$1223,3,0),"")</f>
        <v>모정호</v>
      </c>
      <c r="E68" s="18" t="str">
        <f>IFERROR(VLOOKUP(C68,[1]Sheet2!$C$1:$F$1223,4,0),"")</f>
        <v>(자)중국주류</v>
      </c>
      <c r="F68" s="2" t="s">
        <v>3824</v>
      </c>
      <c r="G68" s="3" t="s">
        <v>3814</v>
      </c>
      <c r="H68" s="4" t="s">
        <v>3818</v>
      </c>
      <c r="I68" s="4" t="s">
        <v>79</v>
      </c>
      <c r="J68" s="23" t="s">
        <v>3825</v>
      </c>
      <c r="K68" s="28"/>
      <c r="L68" s="28"/>
      <c r="M68" s="28"/>
      <c r="N68" s="28"/>
      <c r="O68" s="28">
        <v>2</v>
      </c>
      <c r="P68" s="28">
        <v>17</v>
      </c>
      <c r="Q68" s="28">
        <v>11</v>
      </c>
      <c r="R68" s="28"/>
      <c r="S68" s="28"/>
      <c r="T68" s="28">
        <v>9</v>
      </c>
      <c r="U68" s="28">
        <v>8</v>
      </c>
      <c r="V68" s="34">
        <v>9</v>
      </c>
      <c r="X68" s="41">
        <v>12</v>
      </c>
      <c r="Y68" s="32">
        <v>12</v>
      </c>
    </row>
    <row r="69" spans="2:35">
      <c r="B69" s="17" t="str">
        <f>IFERROR(VLOOKUP(C69,[1]Sheet2!$C$3:$F$1223,2,0),"")</f>
        <v>Seoul</v>
      </c>
      <c r="C69" s="3">
        <v>81995</v>
      </c>
      <c r="D69" s="18" t="str">
        <f>IFERROR(VLOOKUP(C69,[1]Sheet2!$C$1:$F$1223,3,0),"")</f>
        <v>모정호</v>
      </c>
      <c r="E69" s="18" t="str">
        <f>IFERROR(VLOOKUP(C69,[1]Sheet2!$C$1:$F$1223,4,0),"")</f>
        <v>(자)중국주류</v>
      </c>
      <c r="F69" s="2" t="s">
        <v>3826</v>
      </c>
      <c r="G69" s="3" t="s">
        <v>3815</v>
      </c>
      <c r="H69" s="4" t="s">
        <v>3818</v>
      </c>
      <c r="I69" s="4" t="s">
        <v>376</v>
      </c>
      <c r="J69" s="23" t="s">
        <v>3827</v>
      </c>
      <c r="K69" s="28"/>
      <c r="L69" s="28"/>
      <c r="M69" s="28"/>
      <c r="N69" s="28"/>
      <c r="O69" s="28">
        <v>3</v>
      </c>
      <c r="P69" s="28">
        <v>12</v>
      </c>
      <c r="Q69" s="28">
        <v>8</v>
      </c>
      <c r="R69" s="28"/>
      <c r="S69" s="28"/>
      <c r="T69" s="28"/>
      <c r="U69" s="28"/>
      <c r="V69" s="34"/>
      <c r="X69" s="41">
        <v>9</v>
      </c>
    </row>
    <row r="70" spans="2:35">
      <c r="B70" s="17" t="str">
        <f>IFERROR(VLOOKUP(C70,[1]Sheet2!$C$3:$F$1223,2,0),"")</f>
        <v>Seoul</v>
      </c>
      <c r="C70" s="3">
        <v>81995</v>
      </c>
      <c r="D70" s="18" t="str">
        <f>IFERROR(VLOOKUP(C70,[1]Sheet2!$C$1:$F$1223,3,0),"")</f>
        <v>모정호</v>
      </c>
      <c r="E70" s="18" t="str">
        <f>IFERROR(VLOOKUP(C70,[1]Sheet2!$C$1:$F$1223,4,0),"")</f>
        <v>(자)중국주류</v>
      </c>
      <c r="F70" s="2" t="s">
        <v>601</v>
      </c>
      <c r="G70" s="3" t="s">
        <v>18</v>
      </c>
      <c r="H70" s="4" t="s">
        <v>3818</v>
      </c>
      <c r="I70" s="4" t="s">
        <v>38</v>
      </c>
      <c r="J70" s="4" t="s">
        <v>602</v>
      </c>
      <c r="K70" s="28"/>
      <c r="L70" s="28"/>
      <c r="M70" s="28"/>
      <c r="N70" s="28"/>
      <c r="O70" s="28">
        <v>5</v>
      </c>
      <c r="P70" s="28">
        <v>17</v>
      </c>
      <c r="Q70" s="28">
        <v>9</v>
      </c>
      <c r="R70" s="28"/>
      <c r="S70" s="28"/>
      <c r="T70" s="28">
        <v>15</v>
      </c>
      <c r="U70" s="28">
        <v>9</v>
      </c>
      <c r="V70" s="34">
        <v>23</v>
      </c>
      <c r="X70" s="41">
        <v>10</v>
      </c>
      <c r="Y70" s="32">
        <v>16</v>
      </c>
    </row>
    <row r="71" spans="2:35">
      <c r="B71" s="17" t="str">
        <f>IFERROR(VLOOKUP(C71,[1]Sheet2!$C$3:$F$1223,2,0),"")</f>
        <v>Seoul</v>
      </c>
      <c r="C71" s="3">
        <v>33050</v>
      </c>
      <c r="D71" s="18" t="str">
        <f>IFERROR(VLOOKUP(C71,[1]Sheet2!$C$1:$F$1223,3,0),"")</f>
        <v>박성민</v>
      </c>
      <c r="E71" s="18" t="str">
        <f>IFERROR(VLOOKUP(C71,[1]Sheet2!$C$1:$F$1223,4,0),"")</f>
        <v>중앙종합주류</v>
      </c>
      <c r="F71" s="2" t="s">
        <v>603</v>
      </c>
      <c r="G71" s="3" t="s">
        <v>3815</v>
      </c>
      <c r="H71" s="4" t="s">
        <v>3818</v>
      </c>
      <c r="I71" s="4" t="s">
        <v>87</v>
      </c>
      <c r="J71" s="4" t="s">
        <v>604</v>
      </c>
      <c r="K71" s="28"/>
      <c r="L71" s="28"/>
      <c r="M71" s="28"/>
      <c r="N71" s="28"/>
      <c r="O71" s="28">
        <v>3</v>
      </c>
      <c r="P71" s="28">
        <v>2</v>
      </c>
      <c r="Q71" s="28">
        <v>6</v>
      </c>
      <c r="R71" s="28"/>
      <c r="S71" s="28"/>
      <c r="T71" s="28"/>
      <c r="U71" s="28"/>
      <c r="V71" s="34"/>
    </row>
    <row r="72" spans="2:35">
      <c r="B72" s="17" t="str">
        <f>IFERROR(VLOOKUP(C72,[1]Sheet2!$C$3:$F$1223,2,0),"")</f>
        <v>Seoul</v>
      </c>
      <c r="C72" s="3">
        <v>33100</v>
      </c>
      <c r="D72" s="18" t="str">
        <f>IFERROR(VLOOKUP(C72,[1]Sheet2!$C$1:$F$1223,3,0),"")</f>
        <v>정구영</v>
      </c>
      <c r="E72" s="18" t="str">
        <f>IFERROR(VLOOKUP(C72,[1]Sheet2!$C$1:$F$1223,4,0),"")</f>
        <v>진양주류(주)</v>
      </c>
      <c r="F72" s="2" t="s">
        <v>610</v>
      </c>
      <c r="G72" s="3" t="s">
        <v>497</v>
      </c>
      <c r="H72" s="4" t="s">
        <v>3818</v>
      </c>
      <c r="I72" s="4" t="s">
        <v>119</v>
      </c>
      <c r="J72" s="4" t="s">
        <v>611</v>
      </c>
      <c r="K72" s="28"/>
      <c r="L72" s="28"/>
      <c r="M72" s="28"/>
      <c r="N72" s="28"/>
      <c r="O72" s="28">
        <v>1</v>
      </c>
      <c r="P72" s="28">
        <v>0</v>
      </c>
      <c r="Q72" s="28"/>
      <c r="R72" s="28"/>
      <c r="S72" s="28"/>
      <c r="T72" s="28"/>
      <c r="U72" s="28"/>
      <c r="V72" s="34"/>
    </row>
    <row r="73" spans="2:35">
      <c r="B73" s="17" t="str">
        <f>IFERROR(VLOOKUP(C73,[1]Sheet2!$C$3:$F$1223,2,0),"")</f>
        <v>Seoul</v>
      </c>
      <c r="C73" s="3">
        <v>33061</v>
      </c>
      <c r="D73" s="18" t="str">
        <f>IFERROR(VLOOKUP(C73,[1]Sheet2!$C$1:$F$1223,3,0),"")</f>
        <v>채영한</v>
      </c>
      <c r="E73" s="18" t="str">
        <f>IFERROR(VLOOKUP(C73,[1]Sheet2!$C$1:$F$1223,4,0),"")</f>
        <v>선진주류(유)</v>
      </c>
      <c r="F73" s="2" t="s">
        <v>612</v>
      </c>
      <c r="G73" s="3" t="s">
        <v>18</v>
      </c>
      <c r="H73" s="4" t="s">
        <v>3818</v>
      </c>
      <c r="I73" s="4" t="s">
        <v>38</v>
      </c>
      <c r="J73" s="4" t="s">
        <v>613</v>
      </c>
      <c r="K73" s="28"/>
      <c r="L73" s="28"/>
      <c r="M73" s="28"/>
      <c r="N73" s="28"/>
      <c r="O73" s="28">
        <v>0</v>
      </c>
      <c r="P73" s="28">
        <v>1</v>
      </c>
      <c r="Q73" s="28"/>
      <c r="R73" s="28"/>
      <c r="S73" s="28"/>
      <c r="T73" s="28"/>
      <c r="U73" s="28"/>
      <c r="V73" s="34"/>
    </row>
    <row r="74" spans="2:35">
      <c r="B74" s="17" t="str">
        <f>IFERROR(VLOOKUP(C74,[1]Sheet2!$C$3:$F$1223,2,0),"")</f>
        <v>Seoul</v>
      </c>
      <c r="C74" s="3">
        <v>33190</v>
      </c>
      <c r="D74" s="18" t="str">
        <f>IFERROR(VLOOKUP(C74,[1]Sheet2!$C$1:$F$1223,3,0),"")</f>
        <v>모정호</v>
      </c>
      <c r="E74" s="18" t="str">
        <f>IFERROR(VLOOKUP(C74,[1]Sheet2!$C$1:$F$1223,4,0),"")</f>
        <v>종로기업(주)</v>
      </c>
      <c r="F74" s="59" t="s">
        <v>617</v>
      </c>
      <c r="G74" s="3" t="s">
        <v>497</v>
      </c>
      <c r="H74" s="4" t="s">
        <v>3818</v>
      </c>
      <c r="I74" s="4" t="s">
        <v>376</v>
      </c>
      <c r="J74" s="4" t="s">
        <v>618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1</v>
      </c>
      <c r="Q74" s="28">
        <v>0</v>
      </c>
      <c r="R74" s="28">
        <v>0</v>
      </c>
      <c r="S74" s="28">
        <v>0</v>
      </c>
      <c r="T74" s="28">
        <v>0</v>
      </c>
      <c r="U74" s="28"/>
      <c r="V74" s="34"/>
      <c r="W74" s="40"/>
      <c r="X74" s="41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3"/>
    </row>
    <row r="75" spans="2:35">
      <c r="B75" s="17" t="str">
        <f>IFERROR(VLOOKUP(C75,[1]Sheet2!$C$3:$F$1223,2,0),"")</f>
        <v>Seoul</v>
      </c>
      <c r="C75" s="3">
        <v>33050</v>
      </c>
      <c r="D75" s="18" t="str">
        <f>IFERROR(VLOOKUP(C75,[1]Sheet2!$C$1:$F$1223,3,0),"")</f>
        <v>박성민</v>
      </c>
      <c r="E75" s="18" t="str">
        <f>IFERROR(VLOOKUP(C75,[1]Sheet2!$C$1:$F$1223,4,0),"")</f>
        <v>중앙종합주류</v>
      </c>
      <c r="F75" s="2" t="s">
        <v>625</v>
      </c>
      <c r="G75" s="3" t="s">
        <v>3816</v>
      </c>
      <c r="H75" s="4" t="s">
        <v>3818</v>
      </c>
      <c r="I75" s="4" t="s">
        <v>146</v>
      </c>
      <c r="J75" s="4" t="s">
        <v>626</v>
      </c>
      <c r="K75" s="28"/>
      <c r="L75" s="28"/>
      <c r="M75" s="28"/>
      <c r="N75" s="28"/>
      <c r="O75" s="28"/>
      <c r="P75" s="28">
        <v>2</v>
      </c>
      <c r="Q75" s="28"/>
      <c r="R75" s="28"/>
      <c r="S75" s="28"/>
      <c r="T75" s="28"/>
      <c r="U75" s="28"/>
      <c r="V75" s="34"/>
    </row>
    <row r="76" spans="2:35">
      <c r="B76" s="17" t="str">
        <f>IFERROR(VLOOKUP(C76,[1]Sheet2!$C$3:$F$1223,2,0),"")</f>
        <v>Seoul</v>
      </c>
      <c r="C76" s="3">
        <v>33050</v>
      </c>
      <c r="D76" s="18" t="str">
        <f>IFERROR(VLOOKUP(C76,[1]Sheet2!$C$1:$F$1223,3,0),"")</f>
        <v>박성민</v>
      </c>
      <c r="E76" s="18" t="str">
        <f>IFERROR(VLOOKUP(C76,[1]Sheet2!$C$1:$F$1223,4,0),"")</f>
        <v>중앙종합주류</v>
      </c>
      <c r="F76" s="2" t="s">
        <v>627</v>
      </c>
      <c r="G76" s="3" t="s">
        <v>3816</v>
      </c>
      <c r="H76" s="4" t="s">
        <v>3818</v>
      </c>
      <c r="I76" s="4" t="s">
        <v>146</v>
      </c>
      <c r="J76" s="4" t="s">
        <v>628</v>
      </c>
      <c r="K76" s="28"/>
      <c r="L76" s="28"/>
      <c r="M76" s="28"/>
      <c r="N76" s="28"/>
      <c r="O76" s="28"/>
      <c r="P76" s="28">
        <v>3</v>
      </c>
      <c r="Q76" s="28"/>
      <c r="R76" s="28"/>
      <c r="S76" s="28"/>
      <c r="T76" s="28"/>
      <c r="U76" s="28"/>
      <c r="V76" s="34"/>
    </row>
    <row r="77" spans="2:35">
      <c r="B77" s="17" t="str">
        <f>IFERROR(VLOOKUP(C77,[1]Sheet2!$C$3:$F$1223,2,0),"")</f>
        <v>Seoul</v>
      </c>
      <c r="C77" s="3">
        <v>33112</v>
      </c>
      <c r="D77" s="18" t="str">
        <f>IFERROR(VLOOKUP(C77,[1]Sheet2!$C$1:$F$1223,3,0),"")</f>
        <v>모정호</v>
      </c>
      <c r="E77" s="18" t="str">
        <f>IFERROR(VLOOKUP(C77,[1]Sheet2!$C$1:$F$1223,4,0),"")</f>
        <v>경남주류제기</v>
      </c>
      <c r="F77" s="2" t="s">
        <v>636</v>
      </c>
      <c r="G77" s="3" t="s">
        <v>497</v>
      </c>
      <c r="H77" s="4" t="s">
        <v>3818</v>
      </c>
      <c r="I77" s="4" t="s">
        <v>119</v>
      </c>
      <c r="J77" s="4" t="s">
        <v>637</v>
      </c>
      <c r="K77" s="28">
        <v>0</v>
      </c>
      <c r="L77" s="28">
        <v>0</v>
      </c>
      <c r="M77" s="28">
        <v>0</v>
      </c>
      <c r="N77" s="28">
        <v>0</v>
      </c>
      <c r="O77" s="28">
        <v>3</v>
      </c>
      <c r="P77" s="28">
        <v>3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9">
        <v>0</v>
      </c>
    </row>
    <row r="78" spans="2:35">
      <c r="B78" s="17" t="str">
        <f>IFERROR(VLOOKUP(C78,[1]Sheet2!$C$3:$F$1223,2,0),"")</f>
        <v>Seoul</v>
      </c>
      <c r="C78" s="3">
        <v>81995</v>
      </c>
      <c r="D78" s="18" t="str">
        <f>IFERROR(VLOOKUP(C78,[1]Sheet2!$C$1:$F$1223,3,0),"")</f>
        <v>모정호</v>
      </c>
      <c r="E78" s="18" t="str">
        <f>IFERROR(VLOOKUP(C78,[1]Sheet2!$C$1:$F$1223,4,0),"")</f>
        <v>(자)중국주류</v>
      </c>
      <c r="F78" s="2" t="s">
        <v>648</v>
      </c>
      <c r="G78" s="3" t="s">
        <v>3814</v>
      </c>
      <c r="H78" s="4" t="s">
        <v>21</v>
      </c>
      <c r="I78" s="4" t="s">
        <v>65</v>
      </c>
      <c r="J78" s="4" t="s">
        <v>649</v>
      </c>
      <c r="K78" s="28"/>
      <c r="L78" s="28"/>
      <c r="M78" s="28"/>
      <c r="N78" s="28"/>
      <c r="O78" s="28"/>
      <c r="P78" s="28"/>
      <c r="Q78" s="28">
        <v>1</v>
      </c>
      <c r="R78" s="28"/>
      <c r="S78" s="28"/>
      <c r="T78" s="28"/>
      <c r="U78" s="28"/>
      <c r="V78" s="29"/>
    </row>
    <row r="79" spans="2:35">
      <c r="B79" s="17" t="str">
        <f>IFERROR(VLOOKUP(C79,[1]Sheet2!$C$3:$F$1223,2,0),"")</f>
        <v>Seoul</v>
      </c>
      <c r="C79" s="3">
        <v>81995</v>
      </c>
      <c r="D79" s="18" t="str">
        <f>IFERROR(VLOOKUP(C79,[1]Sheet2!$C$1:$F$1223,3,0),"")</f>
        <v>모정호</v>
      </c>
      <c r="E79" s="18" t="str">
        <f>IFERROR(VLOOKUP(C79,[1]Sheet2!$C$1:$F$1223,4,0),"")</f>
        <v>(자)중국주류</v>
      </c>
      <c r="F79" s="2" t="s">
        <v>657</v>
      </c>
      <c r="G79" s="3" t="s">
        <v>3814</v>
      </c>
      <c r="H79" s="4" t="s">
        <v>3818</v>
      </c>
      <c r="I79" s="4" t="s">
        <v>26</v>
      </c>
      <c r="J79" s="4" t="s">
        <v>658</v>
      </c>
      <c r="K79" s="28"/>
      <c r="L79" s="28"/>
      <c r="M79" s="28"/>
      <c r="N79" s="28"/>
      <c r="O79" s="28"/>
      <c r="P79" s="28"/>
      <c r="Q79" s="28">
        <v>4</v>
      </c>
      <c r="R79" s="28"/>
      <c r="S79" s="28"/>
      <c r="T79" s="28"/>
      <c r="U79" s="28"/>
      <c r="V79" s="29"/>
    </row>
    <row r="80" spans="2:35">
      <c r="B80" s="17" t="str">
        <f>IFERROR(VLOOKUP(C80,[1]Sheet2!$C$3:$F$1223,2,0),"")</f>
        <v>Seoul</v>
      </c>
      <c r="C80" s="3">
        <v>33192</v>
      </c>
      <c r="D80" s="18" t="str">
        <f>IFERROR(VLOOKUP(C80,[1]Sheet2!$C$1:$F$1223,3,0),"")</f>
        <v>모정호</v>
      </c>
      <c r="E80" s="18" t="str">
        <f>IFERROR(VLOOKUP(C80,[1]Sheet2!$C$1:$F$1223,4,0),"")</f>
        <v>광장주류판매(주)</v>
      </c>
      <c r="F80" s="2" t="s">
        <v>665</v>
      </c>
      <c r="G80" s="3" t="s">
        <v>18</v>
      </c>
      <c r="H80" s="4" t="s">
        <v>3818</v>
      </c>
      <c r="I80" s="4" t="s">
        <v>38</v>
      </c>
      <c r="J80" s="4" t="s">
        <v>666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2</v>
      </c>
      <c r="Q80" s="28">
        <v>3</v>
      </c>
      <c r="R80" s="28">
        <v>0</v>
      </c>
      <c r="S80" s="28">
        <v>0</v>
      </c>
      <c r="T80" s="28"/>
      <c r="U80" s="28"/>
      <c r="V80" s="29"/>
    </row>
    <row r="81" spans="2:35">
      <c r="B81" s="17" t="str">
        <f>IFERROR(VLOOKUP(C81,[1]Sheet2!$C$3:$F$1223,2,0),"")</f>
        <v>Seoul</v>
      </c>
      <c r="C81" s="3">
        <v>33182</v>
      </c>
      <c r="D81" s="18" t="str">
        <f>IFERROR(VLOOKUP(C81,[1]Sheet2!$C$1:$F$1223,3,0),"")</f>
        <v>박성민</v>
      </c>
      <c r="E81" s="18" t="str">
        <f>IFERROR(VLOOKUP(C81,[1]Sheet2!$C$1:$F$1223,4,0),"")</f>
        <v>신합상사(유)</v>
      </c>
      <c r="F81" s="2" t="s">
        <v>667</v>
      </c>
      <c r="G81" s="3" t="s">
        <v>3816</v>
      </c>
      <c r="H81" s="4" t="s">
        <v>21</v>
      </c>
      <c r="I81" s="4" t="s">
        <v>495</v>
      </c>
      <c r="J81" s="4" t="s">
        <v>668</v>
      </c>
      <c r="K81" s="28"/>
      <c r="L81" s="28"/>
      <c r="M81" s="28"/>
      <c r="N81" s="28">
        <v>1</v>
      </c>
      <c r="O81" s="28">
        <v>2</v>
      </c>
      <c r="P81" s="28">
        <v>2</v>
      </c>
      <c r="Q81" s="28">
        <v>2</v>
      </c>
      <c r="R81" s="28"/>
      <c r="S81" s="28"/>
      <c r="T81" s="28"/>
      <c r="U81" s="28"/>
      <c r="V81" s="29"/>
    </row>
    <row r="82" spans="2:35">
      <c r="B82" s="17" t="str">
        <f>IFERROR(VLOOKUP(C82,[1]Sheet2!$C$3:$F$1223,2,0),"")</f>
        <v>Seoul</v>
      </c>
      <c r="C82" s="3">
        <v>34724</v>
      </c>
      <c r="D82" s="18" t="str">
        <f>IFERROR(VLOOKUP(C82,[1]Sheet2!$C$1:$F$1223,3,0),"")</f>
        <v>박성민</v>
      </c>
      <c r="E82" s="18" t="str">
        <f>IFERROR(VLOOKUP(C82,[1]Sheet2!$C$1:$F$1223,4,0),"")</f>
        <v>일오종합파주</v>
      </c>
      <c r="F82" s="2" t="s">
        <v>670</v>
      </c>
      <c r="G82" s="3" t="s">
        <v>3816</v>
      </c>
      <c r="H82" s="4" t="s">
        <v>21</v>
      </c>
      <c r="I82" s="4" t="s">
        <v>495</v>
      </c>
      <c r="J82" s="4" t="s">
        <v>671</v>
      </c>
      <c r="K82" s="28"/>
      <c r="L82" s="28"/>
      <c r="M82" s="28"/>
      <c r="N82" s="28"/>
      <c r="O82" s="28"/>
      <c r="P82" s="28"/>
      <c r="Q82" s="28">
        <v>4</v>
      </c>
      <c r="R82" s="28">
        <v>1</v>
      </c>
      <c r="S82" s="28"/>
      <c r="T82" s="28"/>
      <c r="U82" s="28"/>
      <c r="V82" s="29"/>
    </row>
    <row r="83" spans="2:35">
      <c r="B83" s="17" t="str">
        <f>IFERROR(VLOOKUP(C83,[1]Sheet2!$C$3:$F$1223,2,0),"")</f>
        <v>Seoul</v>
      </c>
      <c r="C83" s="3">
        <v>33192</v>
      </c>
      <c r="D83" s="18" t="str">
        <f>IFERROR(VLOOKUP(C83,[1]Sheet2!$C$1:$F$1223,3,0),"")</f>
        <v>모정호</v>
      </c>
      <c r="E83" s="18" t="str">
        <f>IFERROR(VLOOKUP(C83,[1]Sheet2!$C$1:$F$1223,4,0),"")</f>
        <v>광장주류판매(주)</v>
      </c>
      <c r="F83" s="2" t="s">
        <v>672</v>
      </c>
      <c r="G83" s="3" t="s">
        <v>18</v>
      </c>
      <c r="H83" s="4" t="s">
        <v>3818</v>
      </c>
      <c r="I83" s="4" t="s">
        <v>38</v>
      </c>
      <c r="J83" s="4" t="s">
        <v>673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2</v>
      </c>
      <c r="Q83" s="28">
        <v>2</v>
      </c>
      <c r="R83" s="28">
        <v>0</v>
      </c>
      <c r="S83" s="28">
        <v>0</v>
      </c>
      <c r="T83" s="28"/>
      <c r="U83" s="28"/>
      <c r="V83" s="29"/>
    </row>
    <row r="84" spans="2:35">
      <c r="B84" s="17" t="str">
        <f>IFERROR(VLOOKUP(C84,[1]Sheet2!$C$3:$F$1223,2,0),"")</f>
        <v>Seoul</v>
      </c>
      <c r="C84" s="3">
        <v>33192</v>
      </c>
      <c r="D84" s="18" t="str">
        <f>IFERROR(VLOOKUP(C84,[1]Sheet2!$C$1:$F$1223,3,0),"")</f>
        <v>모정호</v>
      </c>
      <c r="E84" s="18" t="str">
        <f>IFERROR(VLOOKUP(C84,[1]Sheet2!$C$1:$F$1223,4,0),"")</f>
        <v>광장주류판매(주)</v>
      </c>
      <c r="F84" s="59" t="s">
        <v>678</v>
      </c>
      <c r="G84" s="3" t="s">
        <v>497</v>
      </c>
      <c r="H84" s="4" t="s">
        <v>3818</v>
      </c>
      <c r="I84" s="4" t="s">
        <v>376</v>
      </c>
      <c r="J84" s="4" t="s">
        <v>679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3</v>
      </c>
      <c r="R84" s="28">
        <v>0</v>
      </c>
      <c r="S84" s="28">
        <v>0</v>
      </c>
      <c r="T84" s="28"/>
      <c r="U84" s="28"/>
      <c r="V84" s="34"/>
      <c r="W84" s="40"/>
      <c r="X84" s="41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3"/>
    </row>
    <row r="85" spans="2:35">
      <c r="B85" s="17" t="str">
        <f>IFERROR(VLOOKUP(C85,[1]Sheet2!$C$3:$F$1223,2,0),"")</f>
        <v>Seoul</v>
      </c>
      <c r="C85" s="3">
        <v>33149</v>
      </c>
      <c r="D85" s="18" t="str">
        <f>IFERROR(VLOOKUP(C85,[1]Sheet2!$C$1:$F$1223,3,0),"")</f>
        <v>정구영</v>
      </c>
      <c r="E85" s="18" t="str">
        <f>IFERROR(VLOOKUP(C85,[1]Sheet2!$C$1:$F$1223,4,0),"")</f>
        <v>성북합동상사</v>
      </c>
      <c r="F85" s="59" t="s">
        <v>540</v>
      </c>
      <c r="G85" s="3" t="s">
        <v>497</v>
      </c>
      <c r="H85" s="4" t="s">
        <v>21</v>
      </c>
      <c r="I85" s="4" t="s">
        <v>87</v>
      </c>
      <c r="J85" s="4" t="s">
        <v>541</v>
      </c>
      <c r="K85" s="28">
        <v>0</v>
      </c>
      <c r="L85" s="28">
        <v>0</v>
      </c>
      <c r="M85" s="28">
        <v>0</v>
      </c>
      <c r="N85" s="28">
        <v>1</v>
      </c>
      <c r="O85" s="28">
        <v>1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5</v>
      </c>
      <c r="V85" s="34"/>
      <c r="W85" s="40"/>
      <c r="X85" s="41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3"/>
    </row>
    <row r="86" spans="2:35">
      <c r="B86" s="17" t="str">
        <f>IFERROR(VLOOKUP(C86,[1]Sheet2!$C$3:$F$1223,2,0),"")</f>
        <v>Seoul</v>
      </c>
      <c r="C86" s="3">
        <v>33182</v>
      </c>
      <c r="D86" s="18" t="str">
        <f>IFERROR(VLOOKUP(C86,[1]Sheet2!$C$1:$F$1223,3,0),"")</f>
        <v>박성민</v>
      </c>
      <c r="E86" s="18" t="str">
        <f>IFERROR(VLOOKUP(C86,[1]Sheet2!$C$1:$F$1223,4,0),"")</f>
        <v>신합상사(유)</v>
      </c>
      <c r="F86" s="2" t="s">
        <v>695</v>
      </c>
      <c r="G86" s="3" t="s">
        <v>497</v>
      </c>
      <c r="H86" s="4" t="s">
        <v>3818</v>
      </c>
      <c r="I86" s="4" t="s">
        <v>119</v>
      </c>
      <c r="J86" s="4" t="s">
        <v>696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1</v>
      </c>
      <c r="U86" s="28">
        <v>0</v>
      </c>
      <c r="V86" s="29"/>
    </row>
    <row r="87" spans="2:35">
      <c r="B87" s="17" t="str">
        <f>IFERROR(VLOOKUP(C87,[1]Sheet2!$C$3:$F$1223,2,0),"")</f>
        <v>Seoul</v>
      </c>
      <c r="C87" s="3">
        <v>81877</v>
      </c>
      <c r="D87" s="18" t="str">
        <f>IFERROR(VLOOKUP(C87,[1]Sheet2!$C$1:$F$1223,3,0),"")</f>
        <v>김민석</v>
      </c>
      <c r="E87" s="18" t="str">
        <f>IFERROR(VLOOKUP(C87,[1]Sheet2!$C$1:$F$1223,4,0),"")</f>
        <v>주식회사 판다주류</v>
      </c>
      <c r="F87" s="2" t="s">
        <v>698</v>
      </c>
      <c r="G87" s="3" t="s">
        <v>3814</v>
      </c>
      <c r="H87" s="4" t="s">
        <v>21</v>
      </c>
      <c r="I87" s="4" t="s">
        <v>26</v>
      </c>
      <c r="J87" s="4" t="s">
        <v>699</v>
      </c>
      <c r="K87" s="28"/>
      <c r="L87" s="28"/>
      <c r="M87" s="28"/>
      <c r="N87" s="28"/>
      <c r="O87" s="28"/>
      <c r="P87" s="28"/>
      <c r="Q87" s="28"/>
      <c r="R87" s="28">
        <v>5</v>
      </c>
      <c r="S87" s="28">
        <v>3</v>
      </c>
      <c r="T87" s="28"/>
      <c r="U87" s="28"/>
      <c r="V87" s="34"/>
      <c r="Y87" s="32">
        <v>3</v>
      </c>
    </row>
    <row r="88" spans="2:35">
      <c r="B88" s="17" t="str">
        <f>IFERROR(VLOOKUP(C88,[1]Sheet2!$C$3:$F$1223,2,0),"")</f>
        <v>Seoul</v>
      </c>
      <c r="C88" s="3">
        <v>33278</v>
      </c>
      <c r="D88" s="18" t="str">
        <f>IFERROR(VLOOKUP(C88,[1]Sheet2!$C$1:$F$1223,3,0),"")</f>
        <v>김민석</v>
      </c>
      <c r="E88" s="18" t="str">
        <f>IFERROR(VLOOKUP(C88,[1]Sheet2!$C$1:$F$1223,4,0),"")</f>
        <v>포도주류분당</v>
      </c>
      <c r="F88" s="2" t="s">
        <v>701</v>
      </c>
      <c r="G88" s="3" t="s">
        <v>3816</v>
      </c>
      <c r="H88" s="4" t="s">
        <v>21</v>
      </c>
      <c r="I88" s="4" t="s">
        <v>146</v>
      </c>
      <c r="J88" s="4" t="s">
        <v>702</v>
      </c>
      <c r="K88" s="28"/>
      <c r="L88" s="28"/>
      <c r="M88" s="28"/>
      <c r="N88" s="28"/>
      <c r="O88" s="28"/>
      <c r="P88" s="28"/>
      <c r="Q88" s="28">
        <v>3</v>
      </c>
      <c r="R88" s="28"/>
      <c r="S88" s="28">
        <v>6</v>
      </c>
      <c r="T88" s="28"/>
      <c r="U88" s="28"/>
      <c r="V88" s="34"/>
    </row>
    <row r="89" spans="2:35">
      <c r="B89" s="17" t="str">
        <f>IFERROR(VLOOKUP(C89,[1]Sheet2!$C$3:$F$1223,2,0),"")</f>
        <v>Seoul</v>
      </c>
      <c r="C89" s="3">
        <v>81877</v>
      </c>
      <c r="D89" s="18" t="str">
        <f>IFERROR(VLOOKUP(C89,[1]Sheet2!$C$1:$F$1223,3,0),"")</f>
        <v>김민석</v>
      </c>
      <c r="E89" s="18" t="str">
        <f>IFERROR(VLOOKUP(C89,[1]Sheet2!$C$1:$F$1223,4,0),"")</f>
        <v>주식회사 판다주류</v>
      </c>
      <c r="F89" s="2" t="s">
        <v>705</v>
      </c>
      <c r="G89" s="3" t="s">
        <v>3815</v>
      </c>
      <c r="H89" s="4" t="s">
        <v>3818</v>
      </c>
      <c r="I89" s="4" t="s">
        <v>241</v>
      </c>
      <c r="J89" s="4" t="s">
        <v>706</v>
      </c>
      <c r="K89" s="28"/>
      <c r="L89" s="28"/>
      <c r="M89" s="28"/>
      <c r="N89" s="28"/>
      <c r="O89" s="28"/>
      <c r="P89" s="28"/>
      <c r="Q89" s="28">
        <v>3</v>
      </c>
      <c r="R89" s="28">
        <v>3</v>
      </c>
      <c r="S89" s="28">
        <v>7</v>
      </c>
      <c r="T89" s="28">
        <v>6</v>
      </c>
      <c r="U89" s="28"/>
      <c r="V89" s="34"/>
    </row>
    <row r="90" spans="2:35">
      <c r="B90" s="17" t="str">
        <f>IFERROR(VLOOKUP(C90,[1]Sheet2!$C$3:$F$1223,2,0),"")</f>
        <v>Seoul</v>
      </c>
      <c r="C90" s="3">
        <v>83763</v>
      </c>
      <c r="D90" s="18" t="str">
        <f>IFERROR(VLOOKUP(C90,[1]Sheet2!$C$1:$F$1223,3,0),"")</f>
        <v>김민석</v>
      </c>
      <c r="E90" s="18" t="str">
        <f>IFERROR(VLOOKUP(C90,[1]Sheet2!$C$1:$F$1223,4,0),"")</f>
        <v>(유)미라클수입주류상사</v>
      </c>
      <c r="F90" s="2" t="s">
        <v>707</v>
      </c>
      <c r="G90" s="3" t="s">
        <v>497</v>
      </c>
      <c r="H90" s="4" t="s">
        <v>3818</v>
      </c>
      <c r="I90" s="4" t="s">
        <v>119</v>
      </c>
      <c r="J90" s="4" t="s">
        <v>708</v>
      </c>
      <c r="K90" s="28"/>
      <c r="L90" s="28"/>
      <c r="M90" s="28"/>
      <c r="N90" s="28"/>
      <c r="O90" s="28"/>
      <c r="P90" s="28"/>
      <c r="Q90" s="28">
        <v>14</v>
      </c>
      <c r="R90" s="28">
        <v>8</v>
      </c>
      <c r="S90" s="28">
        <v>11</v>
      </c>
      <c r="T90" s="28">
        <v>11</v>
      </c>
      <c r="U90" s="28">
        <v>7</v>
      </c>
      <c r="V90" s="34"/>
    </row>
    <row r="91" spans="2:35">
      <c r="B91" s="17" t="str">
        <f>IFERROR(VLOOKUP(C91,[1]Sheet2!$C$3:$F$1223,2,0),"")</f>
        <v>Seoul</v>
      </c>
      <c r="C91" s="3">
        <v>81891</v>
      </c>
      <c r="D91" s="18" t="str">
        <f>IFERROR(VLOOKUP(C91,[1]Sheet2!$C$1:$F$1223,3,0),"")</f>
        <v>김민석</v>
      </c>
      <c r="E91" s="18" t="str">
        <f>IFERROR(VLOOKUP(C91,[1]Sheet2!$C$1:$F$1223,4,0),"")</f>
        <v>(주)성학주류</v>
      </c>
      <c r="F91" s="2" t="s">
        <v>738</v>
      </c>
      <c r="G91" s="3" t="s">
        <v>497</v>
      </c>
      <c r="H91" s="4" t="s">
        <v>21</v>
      </c>
      <c r="I91" s="4" t="s">
        <v>119</v>
      </c>
      <c r="J91" s="4" t="s">
        <v>739</v>
      </c>
      <c r="K91" s="28"/>
      <c r="L91" s="28"/>
      <c r="M91" s="28"/>
      <c r="N91" s="28"/>
      <c r="O91" s="28">
        <v>3</v>
      </c>
      <c r="P91" s="28">
        <v>0</v>
      </c>
      <c r="Q91" s="28"/>
      <c r="R91" s="28"/>
      <c r="S91" s="28"/>
      <c r="T91" s="28"/>
      <c r="U91" s="28"/>
      <c r="V91" s="34"/>
    </row>
    <row r="92" spans="2:35">
      <c r="B92" s="17" t="str">
        <f>IFERROR(VLOOKUP(C92,[1]Sheet2!$C$3:$F$1223,2,0),"")</f>
        <v>Seoul</v>
      </c>
      <c r="C92" s="3">
        <v>81877</v>
      </c>
      <c r="D92" s="18" t="str">
        <f>IFERROR(VLOOKUP(C92,[1]Sheet2!$C$1:$F$1223,3,0),"")</f>
        <v>김민석</v>
      </c>
      <c r="E92" s="18" t="str">
        <f>IFERROR(VLOOKUP(C92,[1]Sheet2!$C$1:$F$1223,4,0),"")</f>
        <v>주식회사 판다주류</v>
      </c>
      <c r="F92" s="2" t="s">
        <v>765</v>
      </c>
      <c r="G92" s="3" t="s">
        <v>3814</v>
      </c>
      <c r="H92" s="4" t="s">
        <v>21</v>
      </c>
      <c r="I92" s="4" t="s">
        <v>257</v>
      </c>
      <c r="J92" s="4" t="s">
        <v>766</v>
      </c>
      <c r="K92" s="28"/>
      <c r="L92" s="28"/>
      <c r="M92" s="28"/>
      <c r="N92" s="28"/>
      <c r="O92" s="28">
        <v>2</v>
      </c>
      <c r="P92" s="28">
        <v>0</v>
      </c>
      <c r="Q92" s="28"/>
      <c r="R92" s="28">
        <v>2</v>
      </c>
      <c r="S92" s="28"/>
      <c r="T92" s="28"/>
      <c r="U92" s="28"/>
      <c r="V92" s="34"/>
    </row>
    <row r="93" spans="2:35">
      <c r="B93" s="17" t="str">
        <f>IFERROR(VLOOKUP(C93,[1]Sheet2!$C$3:$F$1223,2,0),"")</f>
        <v>Seoul</v>
      </c>
      <c r="C93" s="3">
        <v>81877</v>
      </c>
      <c r="D93" s="18" t="str">
        <f>IFERROR(VLOOKUP(C93,[1]Sheet2!$C$1:$F$1223,3,0),"")</f>
        <v>김민석</v>
      </c>
      <c r="E93" s="18" t="str">
        <f>IFERROR(VLOOKUP(C93,[1]Sheet2!$C$1:$F$1223,4,0),"")</f>
        <v>주식회사 판다주류</v>
      </c>
      <c r="F93" s="2" t="s">
        <v>773</v>
      </c>
      <c r="G93" s="3" t="s">
        <v>3814</v>
      </c>
      <c r="H93" s="4" t="s">
        <v>21</v>
      </c>
      <c r="I93" s="4" t="s">
        <v>371</v>
      </c>
      <c r="J93" s="4" t="s">
        <v>774</v>
      </c>
      <c r="K93" s="28"/>
      <c r="L93" s="28"/>
      <c r="M93" s="28"/>
      <c r="N93" s="28"/>
      <c r="O93" s="28">
        <v>2</v>
      </c>
      <c r="P93" s="28">
        <v>2</v>
      </c>
      <c r="Q93" s="28"/>
      <c r="R93" s="28">
        <v>3</v>
      </c>
      <c r="S93" s="28">
        <v>2</v>
      </c>
      <c r="T93" s="28">
        <v>2</v>
      </c>
      <c r="U93" s="28"/>
      <c r="V93" s="34"/>
    </row>
    <row r="94" spans="2:35">
      <c r="B94" s="17" t="str">
        <f>IFERROR(VLOOKUP(C94,[1]Sheet2!$C$3:$F$1223,2,0),"")</f>
        <v>Seoul</v>
      </c>
      <c r="C94" s="3">
        <v>81891</v>
      </c>
      <c r="D94" s="18" t="str">
        <f>IFERROR(VLOOKUP(C94,[1]Sheet2!$C$1:$F$1223,3,0),"")</f>
        <v>김민석</v>
      </c>
      <c r="E94" s="18" t="str">
        <f>IFERROR(VLOOKUP(C94,[1]Sheet2!$C$1:$F$1223,4,0),"")</f>
        <v>(주)성학주류</v>
      </c>
      <c r="F94" s="2" t="s">
        <v>782</v>
      </c>
      <c r="G94" s="3" t="s">
        <v>3815</v>
      </c>
      <c r="H94" s="4" t="s">
        <v>21</v>
      </c>
      <c r="I94" s="4" t="s">
        <v>241</v>
      </c>
      <c r="J94" s="4" t="s">
        <v>783</v>
      </c>
      <c r="K94" s="28"/>
      <c r="L94" s="28"/>
      <c r="M94" s="28"/>
      <c r="N94" s="28"/>
      <c r="O94" s="28">
        <v>5</v>
      </c>
      <c r="P94" s="28">
        <v>0</v>
      </c>
      <c r="Q94" s="28"/>
      <c r="R94" s="28">
        <v>2</v>
      </c>
      <c r="S94" s="28">
        <v>5</v>
      </c>
      <c r="T94" s="28">
        <v>0</v>
      </c>
      <c r="U94" s="28">
        <v>5</v>
      </c>
      <c r="V94" s="34"/>
    </row>
    <row r="95" spans="2:35">
      <c r="B95" s="17" t="str">
        <f>IFERROR(VLOOKUP(C95,[1]Sheet2!$C$3:$F$1223,2,0),"")</f>
        <v>Seoul</v>
      </c>
      <c r="C95" s="3">
        <v>83763</v>
      </c>
      <c r="D95" s="18" t="str">
        <f>IFERROR(VLOOKUP(C95,[1]Sheet2!$C$1:$F$1223,3,0),"")</f>
        <v>김민석</v>
      </c>
      <c r="E95" s="18" t="str">
        <f>IFERROR(VLOOKUP(C95,[1]Sheet2!$C$1:$F$1223,4,0),"")</f>
        <v>(유)미라클수입주류상사</v>
      </c>
      <c r="F95" s="2" t="s">
        <v>790</v>
      </c>
      <c r="G95" s="3" t="s">
        <v>497</v>
      </c>
      <c r="H95" s="4" t="s">
        <v>21</v>
      </c>
      <c r="I95" s="4" t="s">
        <v>119</v>
      </c>
      <c r="J95" s="4" t="s">
        <v>791</v>
      </c>
      <c r="K95" s="28"/>
      <c r="L95" s="28"/>
      <c r="M95" s="28"/>
      <c r="N95" s="28"/>
      <c r="O95" s="28">
        <v>5</v>
      </c>
      <c r="P95" s="28">
        <v>5</v>
      </c>
      <c r="Q95" s="28">
        <v>0</v>
      </c>
      <c r="R95" s="28"/>
      <c r="S95" s="28"/>
      <c r="T95" s="28"/>
      <c r="U95" s="28"/>
      <c r="V95" s="34"/>
    </row>
    <row r="96" spans="2:35">
      <c r="B96" s="17" t="str">
        <f>IFERROR(VLOOKUP(C96,[1]Sheet2!$C$3:$F$1223,2,0),"")</f>
        <v>Seoul</v>
      </c>
      <c r="C96" s="3">
        <v>83763</v>
      </c>
      <c r="D96" s="18" t="str">
        <f>IFERROR(VLOOKUP(C96,[1]Sheet2!$C$1:$F$1223,3,0),"")</f>
        <v>김민석</v>
      </c>
      <c r="E96" s="18" t="str">
        <f>IFERROR(VLOOKUP(C96,[1]Sheet2!$C$1:$F$1223,4,0),"")</f>
        <v>(유)미라클수입주류상사</v>
      </c>
      <c r="F96" s="2" t="s">
        <v>796</v>
      </c>
      <c r="G96" s="3" t="s">
        <v>3816</v>
      </c>
      <c r="H96" s="4" t="s">
        <v>21</v>
      </c>
      <c r="I96" s="4" t="s">
        <v>146</v>
      </c>
      <c r="J96" s="4" t="s">
        <v>797</v>
      </c>
      <c r="K96" s="28"/>
      <c r="L96" s="28"/>
      <c r="M96" s="28"/>
      <c r="N96" s="28"/>
      <c r="O96" s="28">
        <v>2</v>
      </c>
      <c r="P96" s="28">
        <v>0</v>
      </c>
      <c r="Q96" s="28">
        <v>2</v>
      </c>
      <c r="R96" s="28">
        <v>2</v>
      </c>
      <c r="S96" s="28">
        <v>1</v>
      </c>
      <c r="T96" s="28">
        <v>2</v>
      </c>
      <c r="U96" s="28"/>
      <c r="V96" s="34"/>
    </row>
    <row r="97" spans="2:22">
      <c r="B97" s="17" t="str">
        <f>IFERROR(VLOOKUP(C97,[1]Sheet2!$C$3:$F$1223,2,0),"")</f>
        <v>Seoul</v>
      </c>
      <c r="C97" s="3">
        <v>83763</v>
      </c>
      <c r="D97" s="18" t="str">
        <f>IFERROR(VLOOKUP(C97,[1]Sheet2!$C$1:$F$1223,3,0),"")</f>
        <v>김민석</v>
      </c>
      <c r="E97" s="18" t="str">
        <f>IFERROR(VLOOKUP(C97,[1]Sheet2!$C$1:$F$1223,4,0),"")</f>
        <v>(유)미라클수입주류상사</v>
      </c>
      <c r="F97" s="2" t="s">
        <v>821</v>
      </c>
      <c r="G97" s="3" t="s">
        <v>3815</v>
      </c>
      <c r="H97" s="4" t="s">
        <v>21</v>
      </c>
      <c r="I97" s="4" t="s">
        <v>822</v>
      </c>
      <c r="J97" s="4" t="s">
        <v>823</v>
      </c>
      <c r="K97" s="28"/>
      <c r="L97" s="28"/>
      <c r="M97" s="28"/>
      <c r="N97" s="28"/>
      <c r="O97" s="28"/>
      <c r="P97" s="28"/>
      <c r="Q97" s="28">
        <v>3</v>
      </c>
      <c r="R97" s="28">
        <v>3</v>
      </c>
      <c r="S97" s="28">
        <v>2</v>
      </c>
      <c r="T97" s="28">
        <v>1</v>
      </c>
      <c r="U97" s="28">
        <v>3</v>
      </c>
      <c r="V97" s="34"/>
    </row>
    <row r="98" spans="2:22">
      <c r="B98" s="17" t="str">
        <f>IFERROR(VLOOKUP(C98,[1]Sheet2!$C$3:$F$1223,2,0),"")</f>
        <v>Seoul</v>
      </c>
      <c r="C98" s="3">
        <v>81877</v>
      </c>
      <c r="D98" s="18" t="str">
        <f>IFERROR(VLOOKUP(C98,[1]Sheet2!$C$1:$F$1223,3,0),"")</f>
        <v>김민석</v>
      </c>
      <c r="E98" s="18" t="str">
        <f>IFERROR(VLOOKUP(C98,[1]Sheet2!$C$1:$F$1223,4,0),"")</f>
        <v>주식회사 판다주류</v>
      </c>
      <c r="F98" s="2" t="s">
        <v>834</v>
      </c>
      <c r="G98" s="3" t="s">
        <v>497</v>
      </c>
      <c r="H98" s="4" t="s">
        <v>21</v>
      </c>
      <c r="I98" s="4" t="s">
        <v>119</v>
      </c>
      <c r="J98" s="4" t="s">
        <v>835</v>
      </c>
      <c r="K98" s="28"/>
      <c r="L98" s="28"/>
      <c r="M98" s="28"/>
      <c r="N98" s="28"/>
      <c r="O98" s="28"/>
      <c r="P98" s="28"/>
      <c r="Q98" s="28">
        <v>8</v>
      </c>
      <c r="R98" s="28">
        <v>5</v>
      </c>
      <c r="S98" s="28"/>
      <c r="T98" s="28">
        <v>5</v>
      </c>
      <c r="U98" s="28"/>
      <c r="V98" s="34"/>
    </row>
    <row r="99" spans="2:22">
      <c r="B99" s="17" t="str">
        <f>IFERROR(VLOOKUP(C99,[1]Sheet2!$C$3:$F$1223,2,0),"")</f>
        <v>Seoul</v>
      </c>
      <c r="C99" s="3">
        <v>81877</v>
      </c>
      <c r="D99" s="18" t="str">
        <f>IFERROR(VLOOKUP(C99,[1]Sheet2!$C$1:$F$1223,3,0),"")</f>
        <v>김민석</v>
      </c>
      <c r="E99" s="18" t="str">
        <f>IFERROR(VLOOKUP(C99,[1]Sheet2!$C$1:$F$1223,4,0),"")</f>
        <v>주식회사 판다주류</v>
      </c>
      <c r="F99" s="2" t="s">
        <v>836</v>
      </c>
      <c r="G99" s="3" t="s">
        <v>18</v>
      </c>
      <c r="H99" s="4" t="s">
        <v>21</v>
      </c>
      <c r="I99" s="4" t="s">
        <v>38</v>
      </c>
      <c r="J99" s="4" t="s">
        <v>837</v>
      </c>
      <c r="K99" s="28"/>
      <c r="L99" s="28"/>
      <c r="M99" s="28"/>
      <c r="N99" s="28"/>
      <c r="O99" s="28"/>
      <c r="P99" s="28"/>
      <c r="Q99" s="28">
        <v>5</v>
      </c>
      <c r="R99" s="28"/>
      <c r="S99" s="28"/>
      <c r="T99" s="28"/>
      <c r="U99" s="28"/>
      <c r="V99" s="34"/>
    </row>
    <row r="100" spans="2:22">
      <c r="B100" s="17" t="str">
        <f>IFERROR(VLOOKUP(C100,[1]Sheet2!$C$3:$F$1223,2,0),"")</f>
        <v>Seoul</v>
      </c>
      <c r="C100" s="3">
        <v>81877</v>
      </c>
      <c r="D100" s="18" t="str">
        <f>IFERROR(VLOOKUP(C100,[1]Sheet2!$C$1:$F$1223,3,0),"")</f>
        <v>김민석</v>
      </c>
      <c r="E100" s="18" t="str">
        <f>IFERROR(VLOOKUP(C100,[1]Sheet2!$C$1:$F$1223,4,0),"")</f>
        <v>주식회사 판다주류</v>
      </c>
      <c r="F100" s="2" t="s">
        <v>844</v>
      </c>
      <c r="G100" s="3" t="s">
        <v>497</v>
      </c>
      <c r="H100" s="4" t="s">
        <v>21</v>
      </c>
      <c r="I100" s="4" t="s">
        <v>376</v>
      </c>
      <c r="J100" s="4" t="s">
        <v>845</v>
      </c>
      <c r="K100" s="28"/>
      <c r="L100" s="28"/>
      <c r="M100" s="28"/>
      <c r="N100" s="28"/>
      <c r="O100" s="28"/>
      <c r="P100" s="28"/>
      <c r="Q100" s="28">
        <v>1</v>
      </c>
      <c r="R100" s="28"/>
      <c r="S100" s="28"/>
      <c r="T100" s="28"/>
      <c r="U100" s="28"/>
      <c r="V100" s="34"/>
    </row>
    <row r="101" spans="2:22">
      <c r="B101" s="17" t="str">
        <f>IFERROR(VLOOKUP(C101,[1]Sheet2!$C$3:$F$1223,2,0),"")</f>
        <v>Seoul</v>
      </c>
      <c r="C101" s="3">
        <v>81891</v>
      </c>
      <c r="D101" s="18" t="str">
        <f>IFERROR(VLOOKUP(C101,[1]Sheet2!$C$1:$F$1223,3,0),"")</f>
        <v>김민석</v>
      </c>
      <c r="E101" s="18" t="str">
        <f>IFERROR(VLOOKUP(C101,[1]Sheet2!$C$1:$F$1223,4,0),"")</f>
        <v>(주)성학주류</v>
      </c>
      <c r="F101" s="2" t="s">
        <v>854</v>
      </c>
      <c r="G101" s="3" t="s">
        <v>3816</v>
      </c>
      <c r="H101" s="4" t="s">
        <v>21</v>
      </c>
      <c r="I101" s="4" t="s">
        <v>495</v>
      </c>
      <c r="J101" s="4" t="s">
        <v>855</v>
      </c>
      <c r="K101" s="28"/>
      <c r="L101" s="28"/>
      <c r="M101" s="28"/>
      <c r="N101" s="28"/>
      <c r="O101" s="28"/>
      <c r="P101" s="28"/>
      <c r="Q101" s="28">
        <v>2</v>
      </c>
      <c r="R101" s="28">
        <v>3</v>
      </c>
      <c r="S101" s="28">
        <v>2</v>
      </c>
      <c r="T101" s="28"/>
      <c r="U101" s="28"/>
      <c r="V101" s="34"/>
    </row>
    <row r="102" spans="2:22">
      <c r="B102" s="17" t="str">
        <f>IFERROR(VLOOKUP(C102,[1]Sheet2!$C$3:$F$1223,2,0),"")</f>
        <v>Seoul</v>
      </c>
      <c r="C102" s="3">
        <v>81877</v>
      </c>
      <c r="D102" s="18" t="str">
        <f>IFERROR(VLOOKUP(C102,[1]Sheet2!$C$1:$F$1223,3,0),"")</f>
        <v>김민석</v>
      </c>
      <c r="E102" s="18" t="str">
        <f>IFERROR(VLOOKUP(C102,[1]Sheet2!$C$1:$F$1223,4,0),"")</f>
        <v>주식회사 판다주류</v>
      </c>
      <c r="F102" s="2" t="s">
        <v>858</v>
      </c>
      <c r="G102" s="3" t="s">
        <v>3816</v>
      </c>
      <c r="H102" s="4" t="s">
        <v>21</v>
      </c>
      <c r="I102" s="4" t="s">
        <v>146</v>
      </c>
      <c r="J102" s="4" t="s">
        <v>859</v>
      </c>
      <c r="K102" s="28"/>
      <c r="L102" s="28"/>
      <c r="M102" s="28"/>
      <c r="N102" s="28"/>
      <c r="O102" s="28"/>
      <c r="P102" s="28"/>
      <c r="Q102" s="28">
        <v>3</v>
      </c>
      <c r="R102" s="28"/>
      <c r="S102" s="28">
        <v>2</v>
      </c>
      <c r="T102" s="28"/>
      <c r="U102" s="28"/>
      <c r="V102" s="34"/>
    </row>
    <row r="103" spans="2:22">
      <c r="B103" s="17" t="str">
        <f>IFERROR(VLOOKUP(C103,[1]Sheet2!$C$3:$F$1223,2,0),"")</f>
        <v>Seoul</v>
      </c>
      <c r="C103" s="3">
        <v>81877</v>
      </c>
      <c r="D103" s="18" t="str">
        <f>IFERROR(VLOOKUP(C103,[1]Sheet2!$C$1:$F$1223,3,0),"")</f>
        <v>김민석</v>
      </c>
      <c r="E103" s="18" t="str">
        <f>IFERROR(VLOOKUP(C103,[1]Sheet2!$C$1:$F$1223,4,0),"")</f>
        <v>주식회사 판다주류</v>
      </c>
      <c r="F103" s="2" t="s">
        <v>864</v>
      </c>
      <c r="G103" s="3" t="s">
        <v>3816</v>
      </c>
      <c r="H103" s="4" t="s">
        <v>21</v>
      </c>
      <c r="I103" s="4" t="s">
        <v>146</v>
      </c>
      <c r="J103" s="4" t="s">
        <v>865</v>
      </c>
      <c r="K103" s="28"/>
      <c r="L103" s="28"/>
      <c r="M103" s="28"/>
      <c r="N103" s="28"/>
      <c r="O103" s="28"/>
      <c r="P103" s="28"/>
      <c r="Q103" s="28">
        <v>2</v>
      </c>
      <c r="R103" s="28"/>
      <c r="S103" s="28"/>
      <c r="T103" s="28">
        <v>8</v>
      </c>
      <c r="U103" s="28"/>
      <c r="V103" s="34"/>
    </row>
    <row r="104" spans="2:22">
      <c r="B104" s="17" t="str">
        <f>IFERROR(VLOOKUP(C104,[1]Sheet2!$C$3:$F$1223,2,0),"")</f>
        <v>Seoul</v>
      </c>
      <c r="C104" s="3">
        <v>33278</v>
      </c>
      <c r="D104" s="18" t="str">
        <f>IFERROR(VLOOKUP(C104,[1]Sheet2!$C$1:$F$1223,3,0),"")</f>
        <v>김민석</v>
      </c>
      <c r="E104" s="18" t="str">
        <f>IFERROR(VLOOKUP(C104,[1]Sheet2!$C$1:$F$1223,4,0),"")</f>
        <v>포도주류분당</v>
      </c>
      <c r="F104" s="2" t="s">
        <v>887</v>
      </c>
      <c r="G104" s="3" t="s">
        <v>497</v>
      </c>
      <c r="H104" s="4" t="s">
        <v>3818</v>
      </c>
      <c r="I104" s="4" t="s">
        <v>376</v>
      </c>
      <c r="J104" s="4" t="s">
        <v>888</v>
      </c>
      <c r="K104" s="28"/>
      <c r="L104" s="28"/>
      <c r="M104" s="28"/>
      <c r="N104" s="28"/>
      <c r="O104" s="28"/>
      <c r="P104" s="28"/>
      <c r="Q104" s="28">
        <v>2</v>
      </c>
      <c r="R104" s="28"/>
      <c r="S104" s="28">
        <v>2</v>
      </c>
      <c r="T104" s="28"/>
      <c r="U104" s="28"/>
      <c r="V104" s="34"/>
    </row>
    <row r="105" spans="2:22">
      <c r="B105" s="17" t="str">
        <f>IFERROR(VLOOKUP(C105,[1]Sheet2!$C$3:$F$1223,2,0),"")</f>
        <v>Seoul</v>
      </c>
      <c r="C105" s="3">
        <v>33278</v>
      </c>
      <c r="D105" s="18" t="str">
        <f>IFERROR(VLOOKUP(C105,[1]Sheet2!$C$1:$F$1223,3,0),"")</f>
        <v>김민석</v>
      </c>
      <c r="E105" s="18" t="str">
        <f>IFERROR(VLOOKUP(C105,[1]Sheet2!$C$1:$F$1223,4,0),"")</f>
        <v>포도주류분당</v>
      </c>
      <c r="F105" s="2" t="s">
        <v>893</v>
      </c>
      <c r="G105" s="3" t="s">
        <v>3816</v>
      </c>
      <c r="H105" s="4" t="s">
        <v>3818</v>
      </c>
      <c r="I105" s="4" t="s">
        <v>146</v>
      </c>
      <c r="J105" s="4" t="s">
        <v>894</v>
      </c>
      <c r="K105" s="28"/>
      <c r="L105" s="28"/>
      <c r="M105" s="28"/>
      <c r="N105" s="28"/>
      <c r="O105" s="28"/>
      <c r="P105" s="28"/>
      <c r="Q105" s="28">
        <v>1</v>
      </c>
      <c r="R105" s="28"/>
      <c r="S105" s="28"/>
      <c r="T105" s="28"/>
      <c r="U105" s="28"/>
      <c r="V105" s="34"/>
    </row>
    <row r="106" spans="2:22">
      <c r="B106" s="17" t="str">
        <f>IFERROR(VLOOKUP(C106,[1]Sheet2!$C$3:$F$1223,2,0),"")</f>
        <v>Seoul</v>
      </c>
      <c r="C106" s="3">
        <v>81873</v>
      </c>
      <c r="D106" s="18" t="str">
        <f>IFERROR(VLOOKUP(C106,[1]Sheet2!$C$1:$F$1223,3,0),"")</f>
        <v>채영한</v>
      </c>
      <c r="E106" s="18" t="str">
        <f>IFERROR(VLOOKUP(C106,[1]Sheet2!$C$1:$F$1223,4,0),"")</f>
        <v>(합)청도코리아</v>
      </c>
      <c r="F106" s="2" t="s">
        <v>931</v>
      </c>
      <c r="G106" s="3" t="s">
        <v>497</v>
      </c>
      <c r="H106" s="4" t="s">
        <v>3818</v>
      </c>
      <c r="I106" s="4" t="s">
        <v>376</v>
      </c>
      <c r="J106" s="4" t="s">
        <v>932</v>
      </c>
      <c r="K106" s="28"/>
      <c r="L106" s="28"/>
      <c r="M106" s="28"/>
      <c r="N106" s="28"/>
      <c r="O106" s="28"/>
      <c r="P106" s="28"/>
      <c r="Q106" s="28">
        <v>4</v>
      </c>
      <c r="R106" s="28">
        <v>3</v>
      </c>
      <c r="S106" s="28">
        <v>2</v>
      </c>
      <c r="T106" s="28">
        <v>4</v>
      </c>
      <c r="U106" s="28"/>
      <c r="V106" s="34"/>
    </row>
    <row r="107" spans="2:22">
      <c r="B107" s="17" t="str">
        <f>IFERROR(VLOOKUP(C107,[1]Sheet2!$C$3:$F$1223,2,0),"")</f>
        <v>Seoul</v>
      </c>
      <c r="C107" s="3">
        <v>81873</v>
      </c>
      <c r="D107" s="18" t="str">
        <f>IFERROR(VLOOKUP(C107,[1]Sheet2!$C$1:$F$1223,3,0),"")</f>
        <v>채영한</v>
      </c>
      <c r="E107" s="18" t="str">
        <f>IFERROR(VLOOKUP(C107,[1]Sheet2!$C$1:$F$1223,4,0),"")</f>
        <v>(합)청도코리아</v>
      </c>
      <c r="F107" s="2" t="s">
        <v>944</v>
      </c>
      <c r="G107" s="3" t="s">
        <v>3814</v>
      </c>
      <c r="H107" s="4" t="s">
        <v>3818</v>
      </c>
      <c r="I107" s="4" t="s">
        <v>79</v>
      </c>
      <c r="J107" s="4" t="s">
        <v>945</v>
      </c>
      <c r="K107" s="28"/>
      <c r="L107" s="28"/>
      <c r="M107" s="28"/>
      <c r="N107" s="28"/>
      <c r="O107" s="28"/>
      <c r="P107" s="28"/>
      <c r="Q107" s="28">
        <v>1</v>
      </c>
      <c r="R107" s="28"/>
      <c r="S107" s="28"/>
      <c r="T107" s="28">
        <v>1</v>
      </c>
      <c r="U107" s="28"/>
      <c r="V107" s="34"/>
    </row>
    <row r="108" spans="2:22">
      <c r="B108" s="17" t="str">
        <f>IFERROR(VLOOKUP(C108,[1]Sheet2!$C$3:$F$1223,2,0),"")</f>
        <v>Seoul</v>
      </c>
      <c r="C108" s="3">
        <v>81877</v>
      </c>
      <c r="D108" s="18" t="str">
        <f>IFERROR(VLOOKUP(C108,[1]Sheet2!$C$1:$F$1223,3,0),"")</f>
        <v>김민석</v>
      </c>
      <c r="E108" s="18" t="str">
        <f>IFERROR(VLOOKUP(C108,[1]Sheet2!$C$1:$F$1223,4,0),"")</f>
        <v>주식회사 판다주류</v>
      </c>
      <c r="F108" s="2" t="s">
        <v>698</v>
      </c>
      <c r="G108" s="3" t="s">
        <v>3814</v>
      </c>
      <c r="H108" s="4" t="s">
        <v>21</v>
      </c>
      <c r="I108" s="4" t="s">
        <v>26</v>
      </c>
      <c r="J108" s="4" t="s">
        <v>948</v>
      </c>
      <c r="K108" s="28"/>
      <c r="L108" s="28"/>
      <c r="M108" s="28"/>
      <c r="N108" s="28"/>
      <c r="O108" s="28"/>
      <c r="P108" s="28"/>
      <c r="Q108" s="28"/>
      <c r="R108" s="28">
        <v>5</v>
      </c>
      <c r="S108" s="28">
        <v>15</v>
      </c>
      <c r="T108" s="28">
        <v>3</v>
      </c>
      <c r="U108" s="28"/>
      <c r="V108" s="34"/>
    </row>
    <row r="109" spans="2:22">
      <c r="B109" s="17" t="str">
        <f>IFERROR(VLOOKUP(C109,[1]Sheet2!$C$3:$F$1223,2,0),"")</f>
        <v>Seoul</v>
      </c>
      <c r="C109" s="3">
        <v>81873</v>
      </c>
      <c r="D109" s="18" t="str">
        <f>IFERROR(VLOOKUP(C109,[1]Sheet2!$C$1:$F$1223,3,0),"")</f>
        <v>채영한</v>
      </c>
      <c r="E109" s="18" t="str">
        <f>IFERROR(VLOOKUP(C109,[1]Sheet2!$C$1:$F$1223,4,0),"")</f>
        <v>(합)청도코리아</v>
      </c>
      <c r="F109" s="2" t="s">
        <v>951</v>
      </c>
      <c r="G109" s="3" t="s">
        <v>18</v>
      </c>
      <c r="H109" s="4" t="s">
        <v>21</v>
      </c>
      <c r="I109" s="4" t="s">
        <v>38</v>
      </c>
      <c r="J109" s="4" t="s">
        <v>952</v>
      </c>
      <c r="K109" s="28"/>
      <c r="L109" s="28"/>
      <c r="M109" s="28"/>
      <c r="N109" s="28"/>
      <c r="O109" s="28"/>
      <c r="P109" s="28"/>
      <c r="Q109" s="28"/>
      <c r="R109" s="28">
        <v>5</v>
      </c>
      <c r="S109" s="28">
        <v>20</v>
      </c>
      <c r="T109" s="28"/>
      <c r="U109" s="28"/>
      <c r="V109" s="34"/>
    </row>
    <row r="110" spans="2:22">
      <c r="B110" s="17" t="str">
        <f>IFERROR(VLOOKUP(C110,[1]Sheet2!$C$3:$F$1223,2,0),"")</f>
        <v>Seoul</v>
      </c>
      <c r="C110" s="3">
        <v>81873</v>
      </c>
      <c r="D110" s="18" t="str">
        <f>IFERROR(VLOOKUP(C110,[1]Sheet2!$C$1:$F$1223,3,0),"")</f>
        <v>채영한</v>
      </c>
      <c r="E110" s="18" t="str">
        <f>IFERROR(VLOOKUP(C110,[1]Sheet2!$C$1:$F$1223,4,0),"")</f>
        <v>(합)청도코리아</v>
      </c>
      <c r="F110" s="2" t="s">
        <v>954</v>
      </c>
      <c r="G110" s="3" t="s">
        <v>497</v>
      </c>
      <c r="H110" s="4" t="s">
        <v>21</v>
      </c>
      <c r="I110" s="4" t="s">
        <v>376</v>
      </c>
      <c r="J110" s="4" t="s">
        <v>955</v>
      </c>
      <c r="K110" s="28"/>
      <c r="L110" s="28"/>
      <c r="M110" s="28"/>
      <c r="N110" s="28"/>
      <c r="O110" s="28"/>
      <c r="P110" s="28"/>
      <c r="Q110" s="28"/>
      <c r="R110" s="28">
        <v>3</v>
      </c>
      <c r="S110" s="28">
        <v>2</v>
      </c>
      <c r="T110" s="28">
        <v>2</v>
      </c>
      <c r="U110" s="28"/>
      <c r="V110" s="34"/>
    </row>
    <row r="111" spans="2:22">
      <c r="B111" s="17" t="str">
        <f>IFERROR(VLOOKUP(C111,[1]Sheet2!$C$3:$F$1223,2,0),"")</f>
        <v>Seoul</v>
      </c>
      <c r="C111" s="3">
        <v>81873</v>
      </c>
      <c r="D111" s="18" t="str">
        <f>IFERROR(VLOOKUP(C111,[1]Sheet2!$C$1:$F$1223,3,0),"")</f>
        <v>채영한</v>
      </c>
      <c r="E111" s="18" t="str">
        <f>IFERROR(VLOOKUP(C111,[1]Sheet2!$C$1:$F$1223,4,0),"")</f>
        <v>(합)청도코리아</v>
      </c>
      <c r="F111" s="2" t="s">
        <v>966</v>
      </c>
      <c r="G111" s="3" t="s">
        <v>497</v>
      </c>
      <c r="H111" s="4" t="s">
        <v>21</v>
      </c>
      <c r="I111" s="4" t="s">
        <v>119</v>
      </c>
      <c r="J111" s="4" t="s">
        <v>967</v>
      </c>
      <c r="K111" s="28"/>
      <c r="L111" s="28"/>
      <c r="M111" s="28"/>
      <c r="N111" s="28"/>
      <c r="O111" s="28"/>
      <c r="P111" s="28"/>
      <c r="Q111" s="28"/>
      <c r="R111" s="28">
        <v>2</v>
      </c>
      <c r="S111" s="28"/>
      <c r="T111" s="28"/>
      <c r="U111" s="28"/>
      <c r="V111" s="34"/>
    </row>
    <row r="112" spans="2:22">
      <c r="B112" s="17" t="str">
        <f>IFERROR(VLOOKUP(C112,[1]Sheet2!$C$3:$F$1223,2,0),"")</f>
        <v>Seoul</v>
      </c>
      <c r="C112" s="3">
        <v>81874</v>
      </c>
      <c r="D112" s="18" t="str">
        <f>IFERROR(VLOOKUP(C112,[1]Sheet2!$C$1:$F$1223,3,0),"")</f>
        <v>김민석</v>
      </c>
      <c r="E112" s="18" t="str">
        <f>IFERROR(VLOOKUP(C112,[1]Sheet2!$C$1:$F$1223,4,0),"")</f>
        <v>주식회사 미소주류</v>
      </c>
      <c r="F112" s="2" t="s">
        <v>973</v>
      </c>
      <c r="G112" s="3" t="s">
        <v>3816</v>
      </c>
      <c r="H112" s="4" t="s">
        <v>3818</v>
      </c>
      <c r="I112" s="4" t="s">
        <v>3828</v>
      </c>
      <c r="J112" s="4"/>
      <c r="K112" s="28"/>
      <c r="L112" s="28"/>
      <c r="M112" s="28"/>
      <c r="N112" s="28"/>
      <c r="O112" s="28"/>
      <c r="P112" s="28"/>
      <c r="Q112" s="28"/>
      <c r="R112" s="28">
        <v>2</v>
      </c>
      <c r="S112" s="28"/>
      <c r="T112" s="28"/>
      <c r="U112" s="28"/>
      <c r="V112" s="34"/>
    </row>
    <row r="113" spans="2:25">
      <c r="B113" s="17" t="str">
        <f>IFERROR(VLOOKUP(C113,[1]Sheet2!$C$3:$F$1223,2,0),"")</f>
        <v>Seoul</v>
      </c>
      <c r="C113" s="3">
        <v>33278</v>
      </c>
      <c r="D113" s="18" t="str">
        <f>IFERROR(VLOOKUP(C113,[1]Sheet2!$C$1:$F$1223,3,0),"")</f>
        <v>김민석</v>
      </c>
      <c r="E113" s="18" t="str">
        <f>IFERROR(VLOOKUP(C113,[1]Sheet2!$C$1:$F$1223,4,0),"")</f>
        <v>포도주류분당</v>
      </c>
      <c r="F113" s="2" t="s">
        <v>988</v>
      </c>
      <c r="G113" s="3" t="s">
        <v>3816</v>
      </c>
      <c r="H113" s="4" t="s">
        <v>3818</v>
      </c>
      <c r="I113" s="4" t="s">
        <v>3828</v>
      </c>
      <c r="J113" s="4"/>
      <c r="K113" s="28"/>
      <c r="L113" s="28"/>
      <c r="M113" s="28"/>
      <c r="N113" s="28"/>
      <c r="O113" s="28"/>
      <c r="P113" s="28"/>
      <c r="Q113" s="28"/>
      <c r="R113" s="28"/>
      <c r="S113" s="28">
        <v>1</v>
      </c>
      <c r="T113" s="28"/>
      <c r="U113" s="28"/>
      <c r="V113" s="34"/>
      <c r="X113" s="31">
        <v>2</v>
      </c>
      <c r="Y113" s="32">
        <v>1</v>
      </c>
    </row>
    <row r="114" spans="2:25">
      <c r="B114" s="17" t="str">
        <f>IFERROR(VLOOKUP(C114,[1]Sheet2!$C$3:$F$1223,2,0),"")</f>
        <v>Seoul</v>
      </c>
      <c r="C114" s="3">
        <v>33342</v>
      </c>
      <c r="D114" s="18" t="str">
        <f>IFERROR(VLOOKUP(C114,[1]Sheet2!$C$1:$F$1223,3,0),"")</f>
        <v>김민석</v>
      </c>
      <c r="E114" s="18" t="str">
        <f>IFERROR(VLOOKUP(C114,[1]Sheet2!$C$1:$F$1223,4,0),"")</f>
        <v>포도주류유한</v>
      </c>
      <c r="F114" s="2" t="s">
        <v>1006</v>
      </c>
      <c r="G114" s="3" t="s">
        <v>497</v>
      </c>
      <c r="H114" s="4" t="s">
        <v>21</v>
      </c>
      <c r="I114" s="4" t="s">
        <v>119</v>
      </c>
      <c r="J114" s="4" t="s">
        <v>1007</v>
      </c>
      <c r="K114" s="28"/>
      <c r="L114" s="28"/>
      <c r="M114" s="28"/>
      <c r="N114" s="28">
        <v>5</v>
      </c>
      <c r="O114" s="28">
        <v>15</v>
      </c>
      <c r="P114" s="28">
        <v>10</v>
      </c>
      <c r="Q114" s="28">
        <v>15</v>
      </c>
      <c r="R114" s="28">
        <v>15</v>
      </c>
      <c r="S114" s="28">
        <v>15</v>
      </c>
      <c r="T114" s="28">
        <v>15</v>
      </c>
      <c r="U114" s="28"/>
      <c r="V114" s="34"/>
    </row>
    <row r="115" spans="2:25">
      <c r="B115" s="17" t="str">
        <f>IFERROR(VLOOKUP(C115,[1]Sheet2!$C$3:$F$1223,2,0),"")</f>
        <v>Seoul</v>
      </c>
      <c r="C115" s="3">
        <v>34271</v>
      </c>
      <c r="D115" s="18" t="str">
        <f>IFERROR(VLOOKUP(C115,[1]Sheet2!$C$1:$F$1223,3,0),"")</f>
        <v>채영한</v>
      </c>
      <c r="E115" s="18" t="str">
        <f>IFERROR(VLOOKUP(C115,[1]Sheet2!$C$1:$F$1223,4,0),"")</f>
        <v>라온(유)</v>
      </c>
      <c r="F115" s="2" t="s">
        <v>1013</v>
      </c>
      <c r="G115" s="3" t="s">
        <v>3815</v>
      </c>
      <c r="H115" s="4" t="s">
        <v>21</v>
      </c>
      <c r="I115" s="4" t="s">
        <v>241</v>
      </c>
      <c r="J115" s="4" t="s">
        <v>1014</v>
      </c>
      <c r="K115" s="28"/>
      <c r="L115" s="28"/>
      <c r="M115" s="28"/>
      <c r="N115" s="28"/>
      <c r="O115" s="28">
        <v>2</v>
      </c>
      <c r="P115" s="28">
        <v>2</v>
      </c>
      <c r="Q115" s="28">
        <v>2</v>
      </c>
      <c r="R115" s="28">
        <v>2</v>
      </c>
      <c r="S115" s="28">
        <v>2</v>
      </c>
      <c r="T115" s="28">
        <v>2</v>
      </c>
      <c r="U115" s="28"/>
      <c r="V115" s="34"/>
    </row>
    <row r="116" spans="2:25">
      <c r="B116" s="17" t="str">
        <f>IFERROR(VLOOKUP(C116,[1]Sheet2!$C$3:$F$1223,2,0),"")</f>
        <v>Seoul</v>
      </c>
      <c r="C116" s="3">
        <v>33387</v>
      </c>
      <c r="D116" s="18" t="str">
        <f>IFERROR(VLOOKUP(C116,[1]Sheet2!$C$1:$F$1223,3,0),"")</f>
        <v>채영한</v>
      </c>
      <c r="E116" s="18" t="str">
        <f>IFERROR(VLOOKUP(C116,[1]Sheet2!$C$1:$F$1223,4,0),"")</f>
        <v>해동주류성남</v>
      </c>
      <c r="F116" s="2" t="s">
        <v>1016</v>
      </c>
      <c r="G116" s="3" t="s">
        <v>3815</v>
      </c>
      <c r="H116" s="4" t="s">
        <v>21</v>
      </c>
      <c r="I116" s="4" t="s">
        <v>241</v>
      </c>
      <c r="J116" s="4" t="s">
        <v>1017</v>
      </c>
      <c r="K116" s="28"/>
      <c r="L116" s="28"/>
      <c r="M116" s="28"/>
      <c r="N116" s="28"/>
      <c r="O116" s="28">
        <v>1</v>
      </c>
      <c r="P116" s="28">
        <v>1</v>
      </c>
      <c r="Q116" s="28">
        <v>1</v>
      </c>
      <c r="R116" s="28">
        <v>1</v>
      </c>
      <c r="S116" s="28">
        <v>1</v>
      </c>
      <c r="T116" s="28">
        <v>1</v>
      </c>
      <c r="U116" s="28"/>
      <c r="V116" s="34"/>
    </row>
    <row r="117" spans="2:25">
      <c r="B117" s="17" t="str">
        <f>IFERROR(VLOOKUP(C117,[1]Sheet2!$C$3:$F$1223,2,0),"")</f>
        <v>Seoul</v>
      </c>
      <c r="C117" s="3">
        <v>33387</v>
      </c>
      <c r="D117" s="18" t="str">
        <f>IFERROR(VLOOKUP(C117,[1]Sheet2!$C$1:$F$1223,3,0),"")</f>
        <v>채영한</v>
      </c>
      <c r="E117" s="18" t="str">
        <f>IFERROR(VLOOKUP(C117,[1]Sheet2!$C$1:$F$1223,4,0),"")</f>
        <v>해동주류성남</v>
      </c>
      <c r="F117" s="2" t="s">
        <v>1018</v>
      </c>
      <c r="G117" s="3" t="s">
        <v>3815</v>
      </c>
      <c r="H117" s="4" t="s">
        <v>21</v>
      </c>
      <c r="I117" s="4" t="s">
        <v>241</v>
      </c>
      <c r="J117" s="4" t="s">
        <v>1019</v>
      </c>
      <c r="K117" s="28"/>
      <c r="L117" s="28"/>
      <c r="M117" s="28"/>
      <c r="N117" s="28"/>
      <c r="O117" s="28">
        <v>1</v>
      </c>
      <c r="P117" s="28">
        <v>1</v>
      </c>
      <c r="Q117" s="28">
        <v>1</v>
      </c>
      <c r="R117" s="28">
        <v>1</v>
      </c>
      <c r="S117" s="28">
        <v>1</v>
      </c>
      <c r="T117" s="28">
        <v>1</v>
      </c>
      <c r="U117" s="28"/>
      <c r="V117" s="34"/>
    </row>
    <row r="118" spans="2:25">
      <c r="B118" s="17" t="str">
        <f>IFERROR(VLOOKUP(C118,[1]Sheet2!$C$3:$F$1223,2,0),"")</f>
        <v>Seoul</v>
      </c>
      <c r="C118" s="3">
        <v>33342</v>
      </c>
      <c r="D118" s="18" t="str">
        <f>IFERROR(VLOOKUP(C118,[1]Sheet2!$C$1:$F$1223,3,0),"")</f>
        <v>김민석</v>
      </c>
      <c r="E118" s="18" t="str">
        <f>IFERROR(VLOOKUP(C118,[1]Sheet2!$C$1:$F$1223,4,0),"")</f>
        <v>포도주류유한</v>
      </c>
      <c r="F118" s="2" t="s">
        <v>1020</v>
      </c>
      <c r="G118" s="3" t="s">
        <v>3816</v>
      </c>
      <c r="H118" s="4" t="s">
        <v>21</v>
      </c>
      <c r="I118" s="4" t="s">
        <v>495</v>
      </c>
      <c r="J118" s="4" t="s">
        <v>1021</v>
      </c>
      <c r="K118" s="28"/>
      <c r="L118" s="28"/>
      <c r="M118" s="28"/>
      <c r="N118" s="28">
        <v>10</v>
      </c>
      <c r="O118" s="28">
        <v>17</v>
      </c>
      <c r="P118" s="28">
        <v>17</v>
      </c>
      <c r="Q118" s="28">
        <v>17</v>
      </c>
      <c r="R118" s="28">
        <v>17</v>
      </c>
      <c r="S118" s="28">
        <v>17</v>
      </c>
      <c r="T118" s="28">
        <v>15</v>
      </c>
      <c r="U118" s="28"/>
      <c r="V118" s="34"/>
      <c r="X118" s="31">
        <v>11</v>
      </c>
      <c r="Y118" s="32">
        <v>10</v>
      </c>
    </row>
    <row r="119" spans="2:25">
      <c r="B119" s="17" t="str">
        <f>IFERROR(VLOOKUP(C119,[1]Sheet2!$C$3:$F$1223,2,0),"")</f>
        <v>Seoul</v>
      </c>
      <c r="C119" s="3">
        <v>33387</v>
      </c>
      <c r="D119" s="18" t="str">
        <f>IFERROR(VLOOKUP(C119,[1]Sheet2!$C$1:$F$1223,3,0),"")</f>
        <v>채영한</v>
      </c>
      <c r="E119" s="18" t="str">
        <f>IFERROR(VLOOKUP(C119,[1]Sheet2!$C$1:$F$1223,4,0),"")</f>
        <v>해동주류성남</v>
      </c>
      <c r="F119" s="2" t="s">
        <v>1022</v>
      </c>
      <c r="G119" s="3" t="s">
        <v>497</v>
      </c>
      <c r="H119" s="4" t="s">
        <v>21</v>
      </c>
      <c r="I119" s="4" t="s">
        <v>119</v>
      </c>
      <c r="J119" s="4" t="s">
        <v>1023</v>
      </c>
      <c r="K119" s="28"/>
      <c r="L119" s="28"/>
      <c r="M119" s="28"/>
      <c r="N119" s="28"/>
      <c r="O119" s="28"/>
      <c r="P119" s="28"/>
      <c r="Q119" s="28"/>
      <c r="R119" s="28">
        <v>3</v>
      </c>
      <c r="S119" s="28"/>
      <c r="T119" s="28"/>
      <c r="U119" s="28"/>
      <c r="V119" s="34"/>
    </row>
    <row r="120" spans="2:25">
      <c r="B120" s="17" t="str">
        <f>IFERROR(VLOOKUP(C120,[1]Sheet2!$C$3:$F$1223,2,0),"")</f>
        <v>Seoul</v>
      </c>
      <c r="C120" s="3">
        <v>81877</v>
      </c>
      <c r="D120" s="18" t="str">
        <f>IFERROR(VLOOKUP(C120,[1]Sheet2!$C$1:$F$1223,3,0),"")</f>
        <v>김민석</v>
      </c>
      <c r="E120" s="18" t="str">
        <f>IFERROR(VLOOKUP(C120,[1]Sheet2!$C$1:$F$1223,4,0),"")</f>
        <v>주식회사 판다주류</v>
      </c>
      <c r="F120" s="2" t="s">
        <v>1040</v>
      </c>
      <c r="G120" s="3" t="s">
        <v>497</v>
      </c>
      <c r="H120" s="4" t="s">
        <v>21</v>
      </c>
      <c r="I120" s="4" t="s">
        <v>376</v>
      </c>
      <c r="J120" s="4" t="s">
        <v>1041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>
        <v>1</v>
      </c>
      <c r="U120" s="28"/>
      <c r="V120" s="34"/>
    </row>
    <row r="121" spans="2:25">
      <c r="B121" s="17" t="str">
        <f>IFERROR(VLOOKUP(C121,[1]Sheet2!$C$3:$F$1223,2,0),"")</f>
        <v>Seoul</v>
      </c>
      <c r="C121" s="3">
        <v>83763</v>
      </c>
      <c r="D121" s="18" t="str">
        <f>IFERROR(VLOOKUP(C121,[1]Sheet2!$C$1:$F$1223,3,0),"")</f>
        <v>김민석</v>
      </c>
      <c r="E121" s="18" t="str">
        <f>IFERROR(VLOOKUP(C121,[1]Sheet2!$C$1:$F$1223,4,0),"")</f>
        <v>(유)미라클수입주류상사</v>
      </c>
      <c r="F121" s="3" t="s">
        <v>1153</v>
      </c>
      <c r="G121" s="3" t="s">
        <v>3816</v>
      </c>
      <c r="H121" s="4" t="s">
        <v>3818</v>
      </c>
      <c r="I121" s="4" t="s">
        <v>3828</v>
      </c>
      <c r="J121" s="4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>
        <v>1</v>
      </c>
      <c r="V121" s="29"/>
    </row>
    <row r="122" spans="2:25">
      <c r="B122" s="17" t="str">
        <f>IFERROR(VLOOKUP(C122,[1]Sheet2!$C$3:$F$1223,2,0),"")</f>
        <v>Seoul</v>
      </c>
      <c r="C122" s="3">
        <v>83763</v>
      </c>
      <c r="D122" s="18" t="str">
        <f>IFERROR(VLOOKUP(C122,[1]Sheet2!$C$1:$F$1223,3,0),"")</f>
        <v>김민석</v>
      </c>
      <c r="E122" s="18" t="str">
        <f>IFERROR(VLOOKUP(C122,[1]Sheet2!$C$1:$F$1223,4,0),"")</f>
        <v>(유)미라클수입주류상사</v>
      </c>
      <c r="F122" s="3" t="s">
        <v>1154</v>
      </c>
      <c r="G122" s="3" t="s">
        <v>3815</v>
      </c>
      <c r="H122" s="4" t="s">
        <v>3818</v>
      </c>
      <c r="I122" s="4" t="s">
        <v>3829</v>
      </c>
      <c r="J122" s="4" t="s">
        <v>3830</v>
      </c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>
        <v>1</v>
      </c>
      <c r="V122" s="29"/>
    </row>
    <row r="123" spans="2:25">
      <c r="B123" s="17" t="str">
        <f>IFERROR(VLOOKUP(C123,[1]Sheet2!$C$3:$F$1223,2,0),"")</f>
        <v>Seoul</v>
      </c>
      <c r="C123" s="3">
        <v>81891</v>
      </c>
      <c r="D123" s="18" t="str">
        <f>IFERROR(VLOOKUP(C123,[1]Sheet2!$C$1:$F$1223,3,0),"")</f>
        <v>김민석</v>
      </c>
      <c r="E123" s="18" t="str">
        <f>IFERROR(VLOOKUP(C123,[1]Sheet2!$C$1:$F$1223,4,0),"")</f>
        <v>(주)성학주류</v>
      </c>
      <c r="F123" s="3" t="s">
        <v>784</v>
      </c>
      <c r="G123" s="39" t="s">
        <v>3815</v>
      </c>
      <c r="H123" s="20" t="s">
        <v>3818</v>
      </c>
      <c r="I123" s="20" t="s">
        <v>3831</v>
      </c>
    </row>
    <row r="124" spans="2:25">
      <c r="B124" s="17" t="s">
        <v>1157</v>
      </c>
      <c r="C124" s="3">
        <v>80475</v>
      </c>
      <c r="D124" s="18" t="s">
        <v>109</v>
      </c>
      <c r="E124" s="18" t="s">
        <v>19</v>
      </c>
      <c r="F124" s="2" t="s">
        <v>20</v>
      </c>
      <c r="G124" s="3" t="s">
        <v>3832</v>
      </c>
      <c r="H124" s="4" t="s">
        <v>21</v>
      </c>
      <c r="I124" s="4" t="s">
        <v>22</v>
      </c>
      <c r="J124" s="23" t="s">
        <v>23</v>
      </c>
      <c r="K124" s="27"/>
      <c r="L124" s="28"/>
      <c r="M124" s="28"/>
      <c r="N124" s="28">
        <v>2</v>
      </c>
      <c r="O124" s="28"/>
      <c r="P124" s="28"/>
      <c r="Q124" s="28">
        <v>4</v>
      </c>
      <c r="R124" s="28"/>
      <c r="S124" s="28"/>
      <c r="T124" s="28"/>
      <c r="U124" s="28"/>
      <c r="V124" s="29"/>
    </row>
    <row r="125" spans="2:25">
      <c r="B125" s="17" t="s">
        <v>1157</v>
      </c>
      <c r="C125" s="3">
        <v>33239</v>
      </c>
      <c r="D125" s="18" t="s">
        <v>109</v>
      </c>
      <c r="E125" s="18" t="s">
        <v>28</v>
      </c>
      <c r="F125" s="2" t="s">
        <v>29</v>
      </c>
      <c r="G125" s="3" t="s">
        <v>3833</v>
      </c>
      <c r="H125" s="4" t="s">
        <v>30</v>
      </c>
      <c r="I125" s="4" t="s">
        <v>31</v>
      </c>
      <c r="J125" s="23" t="s">
        <v>32</v>
      </c>
      <c r="K125" s="27"/>
      <c r="L125" s="28"/>
      <c r="M125" s="28"/>
      <c r="N125" s="28">
        <v>2</v>
      </c>
      <c r="O125" s="28"/>
      <c r="P125" s="28"/>
      <c r="Q125" s="28"/>
      <c r="R125" s="28"/>
      <c r="S125" s="28">
        <v>7</v>
      </c>
      <c r="T125" s="28"/>
      <c r="U125" s="28"/>
      <c r="V125" s="29"/>
    </row>
    <row r="126" spans="2:25">
      <c r="B126" s="17" t="s">
        <v>1157</v>
      </c>
      <c r="C126" s="3">
        <v>33126</v>
      </c>
      <c r="D126" s="18" t="s">
        <v>993</v>
      </c>
      <c r="E126" s="18" t="s">
        <v>33</v>
      </c>
      <c r="F126" s="2" t="s">
        <v>34</v>
      </c>
      <c r="G126" s="3" t="s">
        <v>3834</v>
      </c>
      <c r="H126" s="4" t="s">
        <v>21</v>
      </c>
      <c r="I126" s="4" t="s">
        <v>35</v>
      </c>
      <c r="J126" s="23" t="s">
        <v>36</v>
      </c>
      <c r="K126" s="27"/>
      <c r="L126" s="28"/>
      <c r="M126" s="28"/>
      <c r="N126" s="28"/>
      <c r="O126" s="28">
        <v>1</v>
      </c>
      <c r="P126" s="28"/>
      <c r="Q126" s="28"/>
      <c r="R126" s="28"/>
      <c r="S126" s="28"/>
      <c r="T126" s="28"/>
      <c r="U126" s="28"/>
      <c r="V126" s="29"/>
    </row>
    <row r="127" spans="2:25">
      <c r="B127" s="17" t="s">
        <v>1157</v>
      </c>
      <c r="C127" s="3">
        <v>33239</v>
      </c>
      <c r="D127" s="18" t="s">
        <v>109</v>
      </c>
      <c r="E127" s="18" t="s">
        <v>28</v>
      </c>
      <c r="F127" s="2" t="s">
        <v>45</v>
      </c>
      <c r="G127" s="3" t="s">
        <v>3833</v>
      </c>
      <c r="H127" s="4" t="s">
        <v>46</v>
      </c>
      <c r="I127" s="4" t="s">
        <v>47</v>
      </c>
      <c r="J127" s="23" t="s">
        <v>48</v>
      </c>
      <c r="K127" s="27"/>
      <c r="L127" s="28"/>
      <c r="M127" s="28"/>
      <c r="N127" s="28"/>
      <c r="O127" s="28">
        <v>5</v>
      </c>
      <c r="P127" s="28"/>
      <c r="Q127" s="28"/>
      <c r="R127" s="28"/>
      <c r="S127" s="28"/>
      <c r="T127" s="28"/>
      <c r="U127" s="28"/>
      <c r="V127" s="29"/>
    </row>
    <row r="128" spans="2:25">
      <c r="B128" s="17" t="s">
        <v>1157</v>
      </c>
      <c r="C128" s="3">
        <v>33239</v>
      </c>
      <c r="D128" s="18" t="s">
        <v>109</v>
      </c>
      <c r="E128" s="18" t="s">
        <v>28</v>
      </c>
      <c r="F128" s="2" t="s">
        <v>49</v>
      </c>
      <c r="G128" s="3" t="s">
        <v>3832</v>
      </c>
      <c r="H128" s="4" t="s">
        <v>30</v>
      </c>
      <c r="I128" s="4" t="s">
        <v>50</v>
      </c>
      <c r="J128" s="23" t="s">
        <v>51</v>
      </c>
      <c r="K128" s="27"/>
      <c r="L128" s="28"/>
      <c r="M128" s="28"/>
      <c r="N128" s="28"/>
      <c r="O128" s="28">
        <v>2</v>
      </c>
      <c r="P128" s="28"/>
      <c r="Q128" s="28">
        <v>1</v>
      </c>
      <c r="R128" s="28"/>
      <c r="S128" s="28"/>
      <c r="T128" s="28"/>
      <c r="U128" s="28"/>
      <c r="V128" s="29"/>
    </row>
    <row r="129" spans="2:22">
      <c r="B129" s="17" t="s">
        <v>1157</v>
      </c>
      <c r="C129" s="3">
        <v>33161</v>
      </c>
      <c r="D129" s="18" t="s">
        <v>109</v>
      </c>
      <c r="E129" s="18" t="s">
        <v>24</v>
      </c>
      <c r="F129" s="2" t="s">
        <v>54</v>
      </c>
      <c r="G129" s="3" t="s">
        <v>3833</v>
      </c>
      <c r="H129" s="4" t="s">
        <v>30</v>
      </c>
      <c r="I129" s="4" t="s">
        <v>55</v>
      </c>
      <c r="J129" s="23" t="s">
        <v>56</v>
      </c>
      <c r="K129" s="27"/>
      <c r="L129" s="28"/>
      <c r="M129" s="28"/>
      <c r="N129" s="28"/>
      <c r="O129" s="28"/>
      <c r="P129" s="28">
        <v>1</v>
      </c>
      <c r="Q129" s="28"/>
      <c r="R129" s="28">
        <v>2</v>
      </c>
      <c r="S129" s="28">
        <v>2</v>
      </c>
      <c r="T129" s="28"/>
      <c r="U129" s="28"/>
      <c r="V129" s="29"/>
    </row>
    <row r="130" spans="2:22">
      <c r="B130" s="17" t="s">
        <v>1157</v>
      </c>
      <c r="C130" s="3">
        <v>33161</v>
      </c>
      <c r="D130" s="18" t="s">
        <v>109</v>
      </c>
      <c r="E130" s="18" t="s">
        <v>24</v>
      </c>
      <c r="F130" s="2" t="s">
        <v>57</v>
      </c>
      <c r="G130" s="3" t="s">
        <v>3833</v>
      </c>
      <c r="H130" s="4" t="s">
        <v>30</v>
      </c>
      <c r="I130" s="4" t="s">
        <v>55</v>
      </c>
      <c r="J130" s="23" t="s">
        <v>58</v>
      </c>
      <c r="K130" s="27"/>
      <c r="L130" s="28"/>
      <c r="M130" s="28"/>
      <c r="N130" s="28"/>
      <c r="O130" s="28"/>
      <c r="P130" s="28">
        <v>1</v>
      </c>
      <c r="Q130" s="28"/>
      <c r="R130" s="28">
        <v>3</v>
      </c>
      <c r="S130" s="28"/>
      <c r="T130" s="28"/>
      <c r="U130" s="28"/>
      <c r="V130" s="29"/>
    </row>
    <row r="131" spans="2:22">
      <c r="B131" s="17" t="s">
        <v>1157</v>
      </c>
      <c r="C131" s="3">
        <v>80475</v>
      </c>
      <c r="D131" s="18" t="s">
        <v>109</v>
      </c>
      <c r="E131" s="18" t="s">
        <v>19</v>
      </c>
      <c r="F131" s="2" t="s">
        <v>61</v>
      </c>
      <c r="G131" s="3" t="s">
        <v>3835</v>
      </c>
      <c r="H131" s="4" t="s">
        <v>21</v>
      </c>
      <c r="I131" s="4" t="s">
        <v>62</v>
      </c>
      <c r="J131" s="23" t="s">
        <v>63</v>
      </c>
      <c r="K131" s="27"/>
      <c r="L131" s="28"/>
      <c r="M131" s="28"/>
      <c r="N131" s="28"/>
      <c r="O131" s="28"/>
      <c r="P131" s="28">
        <v>1</v>
      </c>
      <c r="Q131" s="28">
        <v>16</v>
      </c>
      <c r="R131" s="28">
        <v>10</v>
      </c>
      <c r="S131" s="28"/>
      <c r="T131" s="28"/>
      <c r="U131" s="28"/>
      <c r="V131" s="29"/>
    </row>
    <row r="132" spans="2:22">
      <c r="B132" s="17" t="s">
        <v>1157</v>
      </c>
      <c r="C132" s="3">
        <v>80475</v>
      </c>
      <c r="D132" s="18" t="s">
        <v>109</v>
      </c>
      <c r="E132" s="18" t="s">
        <v>19</v>
      </c>
      <c r="F132" s="2" t="s">
        <v>67</v>
      </c>
      <c r="G132" s="3" t="s">
        <v>3835</v>
      </c>
      <c r="H132" s="4" t="s">
        <v>21</v>
      </c>
      <c r="I132" s="4" t="s">
        <v>62</v>
      </c>
      <c r="J132" s="23" t="s">
        <v>68</v>
      </c>
      <c r="K132" s="27"/>
      <c r="L132" s="28"/>
      <c r="M132" s="28"/>
      <c r="N132" s="28"/>
      <c r="O132" s="28"/>
      <c r="P132" s="28"/>
      <c r="Q132" s="28">
        <v>10</v>
      </c>
      <c r="R132" s="28"/>
      <c r="S132" s="28"/>
      <c r="T132" s="28"/>
      <c r="U132" s="28"/>
      <c r="V132" s="29"/>
    </row>
    <row r="133" spans="2:22">
      <c r="B133" s="17" t="s">
        <v>1157</v>
      </c>
      <c r="C133" s="3">
        <v>80475</v>
      </c>
      <c r="D133" s="18" t="s">
        <v>109</v>
      </c>
      <c r="E133" s="18" t="s">
        <v>19</v>
      </c>
      <c r="F133" s="2" t="s">
        <v>69</v>
      </c>
      <c r="G133" s="3" t="s">
        <v>3835</v>
      </c>
      <c r="H133" s="4" t="s">
        <v>21</v>
      </c>
      <c r="I133" s="4" t="s">
        <v>62</v>
      </c>
      <c r="J133" s="23" t="s">
        <v>70</v>
      </c>
      <c r="K133" s="27"/>
      <c r="L133" s="28"/>
      <c r="M133" s="28"/>
      <c r="N133" s="28"/>
      <c r="O133" s="28"/>
      <c r="P133" s="28">
        <v>3</v>
      </c>
      <c r="Q133" s="28"/>
      <c r="R133" s="28"/>
      <c r="S133" s="28"/>
      <c r="T133" s="28"/>
      <c r="U133" s="28"/>
      <c r="V133" s="29"/>
    </row>
    <row r="134" spans="2:22">
      <c r="B134" s="17" t="s">
        <v>1157</v>
      </c>
      <c r="C134" s="3">
        <v>33239</v>
      </c>
      <c r="D134" s="18" t="s">
        <v>109</v>
      </c>
      <c r="E134" s="18" t="s">
        <v>28</v>
      </c>
      <c r="F134" s="2" t="s">
        <v>71</v>
      </c>
      <c r="G134" s="3" t="s">
        <v>3836</v>
      </c>
      <c r="H134" s="4" t="s">
        <v>30</v>
      </c>
      <c r="I134" s="4" t="s">
        <v>72</v>
      </c>
      <c r="J134" s="23" t="s">
        <v>73</v>
      </c>
      <c r="K134" s="27"/>
      <c r="L134" s="28"/>
      <c r="M134" s="28"/>
      <c r="N134" s="28"/>
      <c r="O134" s="28"/>
      <c r="P134" s="28"/>
      <c r="Q134" s="28">
        <v>1</v>
      </c>
      <c r="R134" s="28"/>
      <c r="S134" s="28"/>
      <c r="T134" s="28"/>
      <c r="U134" s="28"/>
      <c r="V134" s="29"/>
    </row>
    <row r="135" spans="2:22">
      <c r="B135" s="17" t="s">
        <v>1157</v>
      </c>
      <c r="C135" s="3">
        <v>33065</v>
      </c>
      <c r="D135" s="18" t="s">
        <v>993</v>
      </c>
      <c r="E135" s="18" t="s">
        <v>74</v>
      </c>
      <c r="F135" s="2" t="s">
        <v>75</v>
      </c>
      <c r="G135" s="3" t="s">
        <v>3834</v>
      </c>
      <c r="H135" s="4" t="s">
        <v>21</v>
      </c>
      <c r="I135" s="4" t="s">
        <v>76</v>
      </c>
      <c r="J135" s="23" t="s">
        <v>77</v>
      </c>
      <c r="K135" s="27"/>
      <c r="L135" s="28"/>
      <c r="M135" s="28"/>
      <c r="N135" s="28"/>
      <c r="O135" s="28"/>
      <c r="P135" s="28"/>
      <c r="Q135" s="28">
        <v>4</v>
      </c>
      <c r="R135" s="28">
        <v>2</v>
      </c>
      <c r="S135" s="28">
        <v>4</v>
      </c>
      <c r="T135" s="28">
        <v>1</v>
      </c>
      <c r="U135" s="28">
        <v>2</v>
      </c>
      <c r="V135" s="29"/>
    </row>
    <row r="136" spans="2:22">
      <c r="B136" s="17" t="s">
        <v>1157</v>
      </c>
      <c r="C136" s="3">
        <v>33065</v>
      </c>
      <c r="D136" s="18" t="s">
        <v>993</v>
      </c>
      <c r="E136" s="18" t="s">
        <v>74</v>
      </c>
      <c r="F136" s="2" t="s">
        <v>83</v>
      </c>
      <c r="G136" s="3" t="s">
        <v>3834</v>
      </c>
      <c r="H136" s="4" t="s">
        <v>21</v>
      </c>
      <c r="I136" s="4" t="s">
        <v>84</v>
      </c>
      <c r="J136" s="23" t="s">
        <v>85</v>
      </c>
      <c r="K136" s="27"/>
      <c r="L136" s="28"/>
      <c r="M136" s="28"/>
      <c r="N136" s="28"/>
      <c r="O136" s="28"/>
      <c r="P136" s="28"/>
      <c r="Q136" s="28">
        <v>2</v>
      </c>
      <c r="R136" s="28">
        <v>3</v>
      </c>
      <c r="S136" s="28"/>
      <c r="T136" s="28"/>
      <c r="U136" s="28">
        <v>1</v>
      </c>
      <c r="V136" s="29"/>
    </row>
    <row r="137" spans="2:22">
      <c r="B137" s="17" t="s">
        <v>1157</v>
      </c>
      <c r="C137" s="3">
        <v>33239</v>
      </c>
      <c r="D137" s="18" t="s">
        <v>109</v>
      </c>
      <c r="E137" s="18" t="s">
        <v>28</v>
      </c>
      <c r="F137" s="2" t="s">
        <v>89</v>
      </c>
      <c r="G137" s="3" t="s">
        <v>3832</v>
      </c>
      <c r="H137" s="4" t="s">
        <v>21</v>
      </c>
      <c r="I137" s="4" t="s">
        <v>22</v>
      </c>
      <c r="J137" s="23" t="s">
        <v>90</v>
      </c>
      <c r="K137" s="27"/>
      <c r="L137" s="28"/>
      <c r="M137" s="28"/>
      <c r="N137" s="28"/>
      <c r="O137" s="28"/>
      <c r="P137" s="28"/>
      <c r="Q137" s="28">
        <v>1</v>
      </c>
      <c r="R137" s="28"/>
      <c r="S137" s="28"/>
      <c r="T137" s="28"/>
      <c r="U137" s="28"/>
      <c r="V137" s="29"/>
    </row>
    <row r="138" spans="2:22">
      <c r="B138" s="17" t="s">
        <v>1157</v>
      </c>
      <c r="C138" s="3">
        <v>33065</v>
      </c>
      <c r="D138" s="18" t="s">
        <v>993</v>
      </c>
      <c r="E138" s="18" t="s">
        <v>74</v>
      </c>
      <c r="F138" s="2" t="s">
        <v>92</v>
      </c>
      <c r="G138" s="3" t="s">
        <v>3834</v>
      </c>
      <c r="H138" s="4" t="s">
        <v>21</v>
      </c>
      <c r="I138" s="4" t="s">
        <v>35</v>
      </c>
      <c r="J138" s="23" t="s">
        <v>93</v>
      </c>
      <c r="K138" s="27"/>
      <c r="L138" s="28"/>
      <c r="M138" s="28"/>
      <c r="N138" s="28"/>
      <c r="O138" s="28"/>
      <c r="P138" s="28"/>
      <c r="Q138" s="28">
        <v>1</v>
      </c>
      <c r="R138" s="28"/>
      <c r="S138" s="28">
        <v>1</v>
      </c>
      <c r="T138" s="28"/>
      <c r="U138" s="28"/>
      <c r="V138" s="29"/>
    </row>
    <row r="139" spans="2:22">
      <c r="B139" s="17" t="s">
        <v>1157</v>
      </c>
      <c r="C139" s="3">
        <v>33065</v>
      </c>
      <c r="D139" s="18" t="s">
        <v>993</v>
      </c>
      <c r="E139" s="18" t="s">
        <v>74</v>
      </c>
      <c r="F139" s="2" t="s">
        <v>95</v>
      </c>
      <c r="G139" s="3" t="s">
        <v>3834</v>
      </c>
      <c r="H139" s="4" t="s">
        <v>21</v>
      </c>
      <c r="I139" s="4" t="s">
        <v>35</v>
      </c>
      <c r="J139" s="23" t="s">
        <v>96</v>
      </c>
      <c r="K139" s="27"/>
      <c r="L139" s="28"/>
      <c r="M139" s="28"/>
      <c r="N139" s="28"/>
      <c r="O139" s="28"/>
      <c r="P139" s="28"/>
      <c r="Q139" s="28"/>
      <c r="R139" s="28"/>
      <c r="S139" s="28">
        <v>1</v>
      </c>
      <c r="T139" s="28"/>
      <c r="U139" s="28"/>
      <c r="V139" s="29"/>
    </row>
    <row r="140" spans="2:22">
      <c r="B140" s="17" t="s">
        <v>1157</v>
      </c>
      <c r="C140" s="3">
        <v>33065</v>
      </c>
      <c r="D140" s="18" t="s">
        <v>993</v>
      </c>
      <c r="E140" s="18" t="s">
        <v>74</v>
      </c>
      <c r="F140" s="2" t="s">
        <v>97</v>
      </c>
      <c r="G140" s="3" t="s">
        <v>3835</v>
      </c>
      <c r="H140" s="4" t="s">
        <v>21</v>
      </c>
      <c r="I140" s="4" t="s">
        <v>62</v>
      </c>
      <c r="J140" s="23" t="s">
        <v>98</v>
      </c>
      <c r="K140" s="27"/>
      <c r="L140" s="28"/>
      <c r="M140" s="28"/>
      <c r="N140" s="28"/>
      <c r="O140" s="28"/>
      <c r="P140" s="28"/>
      <c r="Q140" s="28"/>
      <c r="R140" s="28"/>
      <c r="S140" s="28">
        <v>3</v>
      </c>
      <c r="T140" s="28"/>
      <c r="U140" s="28"/>
      <c r="V140" s="29"/>
    </row>
    <row r="141" spans="2:22">
      <c r="B141" s="17" t="s">
        <v>1157</v>
      </c>
      <c r="C141" s="3">
        <v>33116</v>
      </c>
      <c r="D141" s="18" t="s">
        <v>109</v>
      </c>
      <c r="E141" s="18" t="s">
        <v>99</v>
      </c>
      <c r="F141" s="2" t="s">
        <v>100</v>
      </c>
      <c r="G141" s="3" t="s">
        <v>3834</v>
      </c>
      <c r="H141" s="4" t="s">
        <v>21</v>
      </c>
      <c r="I141" s="4" t="s">
        <v>84</v>
      </c>
      <c r="J141" s="23" t="s">
        <v>101</v>
      </c>
      <c r="K141" s="27"/>
      <c r="L141" s="28"/>
      <c r="M141" s="28"/>
      <c r="N141" s="28"/>
      <c r="O141" s="28"/>
      <c r="P141" s="28"/>
      <c r="Q141" s="28"/>
      <c r="R141" s="28"/>
      <c r="S141" s="28">
        <v>2</v>
      </c>
      <c r="T141" s="28"/>
      <c r="U141" s="28"/>
      <c r="V141" s="29"/>
    </row>
    <row r="142" spans="2:22">
      <c r="B142" s="17" t="s">
        <v>1157</v>
      </c>
      <c r="C142" s="3">
        <v>33073</v>
      </c>
      <c r="D142" s="18" t="s">
        <v>259</v>
      </c>
      <c r="E142" s="18" t="s">
        <v>113</v>
      </c>
      <c r="F142" s="2" t="s">
        <v>127</v>
      </c>
      <c r="G142" s="3" t="s">
        <v>3835</v>
      </c>
      <c r="H142" s="4" t="s">
        <v>21</v>
      </c>
      <c r="I142" s="4" t="s">
        <v>128</v>
      </c>
      <c r="J142" s="23" t="s">
        <v>129</v>
      </c>
      <c r="K142" s="27"/>
      <c r="L142" s="28"/>
      <c r="M142" s="28"/>
      <c r="N142" s="28">
        <v>3</v>
      </c>
      <c r="O142" s="28"/>
      <c r="P142" s="28">
        <v>0</v>
      </c>
      <c r="Q142" s="28">
        <v>0</v>
      </c>
      <c r="R142" s="28"/>
      <c r="S142" s="28"/>
      <c r="T142" s="28"/>
      <c r="U142" s="28"/>
      <c r="V142" s="29"/>
    </row>
    <row r="143" spans="2:22">
      <c r="B143" s="17" t="s">
        <v>1157</v>
      </c>
      <c r="C143" s="3">
        <v>33194</v>
      </c>
      <c r="D143" s="18" t="s">
        <v>259</v>
      </c>
      <c r="E143" s="18" t="s">
        <v>130</v>
      </c>
      <c r="F143" s="2" t="s">
        <v>131</v>
      </c>
      <c r="G143" s="3" t="s">
        <v>3833</v>
      </c>
      <c r="H143" s="4" t="s">
        <v>46</v>
      </c>
      <c r="I143" s="4" t="s">
        <v>132</v>
      </c>
      <c r="J143" s="23" t="s">
        <v>133</v>
      </c>
      <c r="K143" s="27"/>
      <c r="L143" s="28"/>
      <c r="M143" s="28"/>
      <c r="N143" s="28">
        <v>4</v>
      </c>
      <c r="O143" s="28"/>
      <c r="P143" s="28">
        <v>0</v>
      </c>
      <c r="Q143" s="28"/>
      <c r="R143" s="28"/>
      <c r="S143" s="28"/>
      <c r="T143" s="28"/>
      <c r="U143" s="28"/>
      <c r="V143" s="29"/>
    </row>
    <row r="144" spans="2:22">
      <c r="B144" s="17" t="s">
        <v>1157</v>
      </c>
      <c r="C144" s="3">
        <v>33194</v>
      </c>
      <c r="D144" s="18" t="s">
        <v>259</v>
      </c>
      <c r="E144" s="18" t="s">
        <v>130</v>
      </c>
      <c r="F144" s="2" t="s">
        <v>134</v>
      </c>
      <c r="G144" s="3" t="s">
        <v>3833</v>
      </c>
      <c r="H144" s="4" t="s">
        <v>30</v>
      </c>
      <c r="I144" s="4" t="s">
        <v>135</v>
      </c>
      <c r="J144" s="23" t="s">
        <v>136</v>
      </c>
      <c r="K144" s="27"/>
      <c r="L144" s="28"/>
      <c r="M144" s="28"/>
      <c r="N144" s="28">
        <v>3</v>
      </c>
      <c r="O144" s="28">
        <v>1</v>
      </c>
      <c r="P144" s="28">
        <v>0</v>
      </c>
      <c r="Q144" s="28"/>
      <c r="R144" s="28"/>
      <c r="S144" s="28"/>
      <c r="T144" s="28"/>
      <c r="U144" s="28"/>
      <c r="V144" s="29"/>
    </row>
    <row r="145" spans="2:22">
      <c r="B145" s="17" t="s">
        <v>1157</v>
      </c>
      <c r="C145" s="3">
        <v>33194</v>
      </c>
      <c r="D145" s="18" t="s">
        <v>259</v>
      </c>
      <c r="E145" s="18" t="s">
        <v>130</v>
      </c>
      <c r="F145" s="2" t="s">
        <v>137</v>
      </c>
      <c r="G145" s="3" t="s">
        <v>3835</v>
      </c>
      <c r="H145" s="4" t="s">
        <v>30</v>
      </c>
      <c r="I145" s="4" t="s">
        <v>138</v>
      </c>
      <c r="J145" s="23" t="s">
        <v>139</v>
      </c>
      <c r="K145" s="27"/>
      <c r="L145" s="28"/>
      <c r="M145" s="28"/>
      <c r="N145" s="28">
        <v>2</v>
      </c>
      <c r="O145" s="28"/>
      <c r="P145" s="28">
        <v>0</v>
      </c>
      <c r="Q145" s="28"/>
      <c r="R145" s="28"/>
      <c r="S145" s="28"/>
      <c r="T145" s="28"/>
      <c r="U145" s="28"/>
      <c r="V145" s="29"/>
    </row>
    <row r="146" spans="2:22">
      <c r="B146" s="17" t="s">
        <v>1157</v>
      </c>
      <c r="C146" s="3">
        <v>33194</v>
      </c>
      <c r="D146" s="18" t="s">
        <v>259</v>
      </c>
      <c r="E146" s="18" t="s">
        <v>130</v>
      </c>
      <c r="F146" s="2" t="s">
        <v>140</v>
      </c>
      <c r="G146" s="3" t="s">
        <v>3835</v>
      </c>
      <c r="H146" s="4" t="s">
        <v>30</v>
      </c>
      <c r="I146" s="4" t="s">
        <v>138</v>
      </c>
      <c r="J146" s="23" t="s">
        <v>141</v>
      </c>
      <c r="K146" s="27"/>
      <c r="L146" s="28"/>
      <c r="M146" s="28"/>
      <c r="N146" s="28">
        <v>8</v>
      </c>
      <c r="O146" s="28"/>
      <c r="P146" s="28">
        <v>0</v>
      </c>
      <c r="Q146" s="28">
        <v>2</v>
      </c>
      <c r="R146" s="28"/>
      <c r="S146" s="28"/>
      <c r="T146" s="28"/>
      <c r="U146" s="28"/>
      <c r="V146" s="29"/>
    </row>
    <row r="147" spans="2:22">
      <c r="B147" s="17" t="s">
        <v>1157</v>
      </c>
      <c r="C147" s="3">
        <v>33194</v>
      </c>
      <c r="D147" s="18" t="s">
        <v>259</v>
      </c>
      <c r="E147" s="18" t="s">
        <v>130</v>
      </c>
      <c r="F147" s="2" t="s">
        <v>142</v>
      </c>
      <c r="G147" s="3" t="s">
        <v>3835</v>
      </c>
      <c r="H147" s="4" t="s">
        <v>30</v>
      </c>
      <c r="I147" s="4" t="s">
        <v>138</v>
      </c>
      <c r="J147" s="23" t="s">
        <v>143</v>
      </c>
      <c r="K147" s="27"/>
      <c r="L147" s="28"/>
      <c r="M147" s="28"/>
      <c r="N147" s="28">
        <v>2</v>
      </c>
      <c r="O147" s="28"/>
      <c r="P147" s="28">
        <v>0</v>
      </c>
      <c r="Q147" s="28"/>
      <c r="R147" s="28"/>
      <c r="S147" s="28"/>
      <c r="T147" s="28"/>
      <c r="U147" s="28"/>
      <c r="V147" s="29"/>
    </row>
    <row r="148" spans="2:22">
      <c r="B148" s="17" t="s">
        <v>1157</v>
      </c>
      <c r="C148" s="3">
        <v>33132</v>
      </c>
      <c r="D148" s="18" t="s">
        <v>109</v>
      </c>
      <c r="E148" s="18" t="s">
        <v>144</v>
      </c>
      <c r="F148" s="2" t="s">
        <v>148</v>
      </c>
      <c r="G148" s="3" t="s">
        <v>3834</v>
      </c>
      <c r="H148" s="4" t="s">
        <v>21</v>
      </c>
      <c r="I148" s="4" t="s">
        <v>35</v>
      </c>
      <c r="J148" s="23" t="s">
        <v>149</v>
      </c>
      <c r="K148" s="27"/>
      <c r="L148" s="28"/>
      <c r="M148" s="28"/>
      <c r="N148" s="28">
        <v>1</v>
      </c>
      <c r="O148" s="28">
        <v>0</v>
      </c>
      <c r="P148" s="28">
        <v>0</v>
      </c>
      <c r="Q148" s="28"/>
      <c r="R148" s="28"/>
      <c r="S148" s="28"/>
      <c r="T148" s="28"/>
      <c r="U148" s="28"/>
      <c r="V148" s="29"/>
    </row>
    <row r="149" spans="2:22">
      <c r="B149" s="17" t="s">
        <v>1157</v>
      </c>
      <c r="C149" s="3">
        <v>39101</v>
      </c>
      <c r="D149" s="18" t="s">
        <v>109</v>
      </c>
      <c r="E149" s="18" t="s">
        <v>150</v>
      </c>
      <c r="F149" s="2" t="s">
        <v>151</v>
      </c>
      <c r="G149" s="3" t="s">
        <v>3834</v>
      </c>
      <c r="H149" s="4" t="s">
        <v>21</v>
      </c>
      <c r="I149" s="4" t="s">
        <v>35</v>
      </c>
      <c r="J149" s="23" t="s">
        <v>152</v>
      </c>
      <c r="K149" s="27"/>
      <c r="L149" s="28"/>
      <c r="M149" s="28"/>
      <c r="N149" s="28">
        <v>1</v>
      </c>
      <c r="O149" s="28">
        <v>0</v>
      </c>
      <c r="P149" s="28"/>
      <c r="Q149" s="28"/>
      <c r="R149" s="28"/>
      <c r="S149" s="28"/>
      <c r="T149" s="28"/>
      <c r="U149" s="28"/>
      <c r="V149" s="29"/>
    </row>
    <row r="150" spans="2:22">
      <c r="B150" s="17" t="s">
        <v>1157</v>
      </c>
      <c r="C150" s="3">
        <v>39101</v>
      </c>
      <c r="D150" s="18" t="s">
        <v>109</v>
      </c>
      <c r="E150" s="18" t="s">
        <v>150</v>
      </c>
      <c r="F150" s="2" t="s">
        <v>153</v>
      </c>
      <c r="G150" s="3" t="s">
        <v>3834</v>
      </c>
      <c r="H150" s="4" t="s">
        <v>21</v>
      </c>
      <c r="I150" s="4" t="s">
        <v>76</v>
      </c>
      <c r="J150" s="23" t="s">
        <v>154</v>
      </c>
      <c r="K150" s="27"/>
      <c r="L150" s="28"/>
      <c r="M150" s="28"/>
      <c r="N150" s="28">
        <v>2</v>
      </c>
      <c r="O150" s="28">
        <v>2</v>
      </c>
      <c r="P150" s="28"/>
      <c r="Q150" s="28"/>
      <c r="R150" s="28"/>
      <c r="S150" s="28"/>
      <c r="T150" s="28"/>
      <c r="U150" s="28"/>
      <c r="V150" s="29"/>
    </row>
    <row r="151" spans="2:22">
      <c r="B151" s="17" t="s">
        <v>1157</v>
      </c>
      <c r="C151" s="3">
        <v>81651</v>
      </c>
      <c r="D151" s="18" t="s">
        <v>109</v>
      </c>
      <c r="E151" s="18" t="s">
        <v>155</v>
      </c>
      <c r="F151" s="2" t="s">
        <v>156</v>
      </c>
      <c r="G151" s="3" t="s">
        <v>3834</v>
      </c>
      <c r="H151" s="4" t="s">
        <v>21</v>
      </c>
      <c r="I151" s="4" t="s">
        <v>35</v>
      </c>
      <c r="J151" s="23" t="s">
        <v>157</v>
      </c>
      <c r="K151" s="27"/>
      <c r="L151" s="28"/>
      <c r="M151" s="28"/>
      <c r="N151" s="28"/>
      <c r="O151" s="28">
        <v>1</v>
      </c>
      <c r="P151" s="28"/>
      <c r="Q151" s="28"/>
      <c r="R151" s="28"/>
      <c r="S151" s="28"/>
      <c r="T151" s="28"/>
      <c r="U151" s="28"/>
      <c r="V151" s="29"/>
    </row>
    <row r="152" spans="2:22">
      <c r="B152" s="17" t="s">
        <v>1157</v>
      </c>
      <c r="C152" s="3">
        <v>33194</v>
      </c>
      <c r="D152" s="18" t="s">
        <v>259</v>
      </c>
      <c r="E152" s="18" t="s">
        <v>130</v>
      </c>
      <c r="F152" s="2" t="s">
        <v>158</v>
      </c>
      <c r="G152" s="3" t="s">
        <v>3833</v>
      </c>
      <c r="H152" s="4" t="s">
        <v>30</v>
      </c>
      <c r="I152" s="4" t="s">
        <v>159</v>
      </c>
      <c r="J152" s="23" t="s">
        <v>160</v>
      </c>
      <c r="K152" s="27"/>
      <c r="L152" s="28"/>
      <c r="M152" s="28"/>
      <c r="N152" s="28"/>
      <c r="O152" s="28">
        <v>3</v>
      </c>
      <c r="P152" s="28">
        <v>2</v>
      </c>
      <c r="Q152" s="28"/>
      <c r="R152" s="28"/>
      <c r="S152" s="28"/>
      <c r="T152" s="28"/>
      <c r="U152" s="28"/>
      <c r="V152" s="29"/>
    </row>
    <row r="153" spans="2:22">
      <c r="B153" s="17" t="s">
        <v>1157</v>
      </c>
      <c r="C153" s="3">
        <v>33072</v>
      </c>
      <c r="D153" s="18" t="s">
        <v>109</v>
      </c>
      <c r="E153" s="18" t="s">
        <v>161</v>
      </c>
      <c r="F153" s="2" t="s">
        <v>162</v>
      </c>
      <c r="G153" s="3" t="s">
        <v>3833</v>
      </c>
      <c r="H153" s="4" t="s">
        <v>46</v>
      </c>
      <c r="I153" s="4" t="s">
        <v>163</v>
      </c>
      <c r="J153" s="23" t="s">
        <v>164</v>
      </c>
      <c r="K153" s="27"/>
      <c r="L153" s="28"/>
      <c r="M153" s="28"/>
      <c r="N153" s="28"/>
      <c r="O153" s="28">
        <v>5</v>
      </c>
      <c r="P153" s="28"/>
      <c r="Q153" s="28"/>
      <c r="R153" s="28"/>
      <c r="S153" s="28"/>
      <c r="T153" s="28"/>
      <c r="U153" s="28"/>
      <c r="V153" s="29"/>
    </row>
    <row r="154" spans="2:22">
      <c r="B154" s="17" t="s">
        <v>1157</v>
      </c>
      <c r="C154" s="3">
        <v>33072</v>
      </c>
      <c r="D154" s="18" t="s">
        <v>109</v>
      </c>
      <c r="E154" s="18" t="s">
        <v>161</v>
      </c>
      <c r="F154" s="2" t="s">
        <v>165</v>
      </c>
      <c r="G154" s="3" t="s">
        <v>3833</v>
      </c>
      <c r="H154" s="4" t="s">
        <v>46</v>
      </c>
      <c r="I154" s="4" t="s">
        <v>163</v>
      </c>
      <c r="J154" s="23" t="s">
        <v>166</v>
      </c>
      <c r="K154" s="27"/>
      <c r="L154" s="28"/>
      <c r="M154" s="28"/>
      <c r="N154" s="28"/>
      <c r="O154" s="28">
        <v>5</v>
      </c>
      <c r="P154" s="28"/>
      <c r="Q154" s="28"/>
      <c r="R154" s="28"/>
      <c r="S154" s="28"/>
      <c r="T154" s="28"/>
      <c r="U154" s="28"/>
      <c r="V154" s="29"/>
    </row>
    <row r="155" spans="2:22">
      <c r="B155" s="17" t="s">
        <v>1157</v>
      </c>
      <c r="C155" s="3">
        <v>33194</v>
      </c>
      <c r="D155" s="18" t="s">
        <v>259</v>
      </c>
      <c r="E155" s="18" t="s">
        <v>130</v>
      </c>
      <c r="F155" s="2" t="s">
        <v>167</v>
      </c>
      <c r="G155" s="3" t="s">
        <v>3833</v>
      </c>
      <c r="H155" s="4" t="s">
        <v>46</v>
      </c>
      <c r="I155" s="4" t="s">
        <v>132</v>
      </c>
      <c r="J155" s="23" t="s">
        <v>168</v>
      </c>
      <c r="K155" s="27"/>
      <c r="L155" s="28"/>
      <c r="M155" s="28"/>
      <c r="N155" s="28">
        <v>2</v>
      </c>
      <c r="O155" s="28"/>
      <c r="P155" s="28">
        <v>0</v>
      </c>
      <c r="Q155" s="28"/>
      <c r="R155" s="28"/>
      <c r="S155" s="28"/>
      <c r="T155" s="28"/>
      <c r="U155" s="28"/>
      <c r="V155" s="29"/>
    </row>
    <row r="156" spans="2:22">
      <c r="B156" s="17" t="s">
        <v>1157</v>
      </c>
      <c r="C156" s="3">
        <v>33194</v>
      </c>
      <c r="D156" s="18" t="s">
        <v>259</v>
      </c>
      <c r="E156" s="18" t="s">
        <v>130</v>
      </c>
      <c r="F156" s="2" t="s">
        <v>173</v>
      </c>
      <c r="G156" s="3" t="s">
        <v>3835</v>
      </c>
      <c r="H156" s="4" t="s">
        <v>21</v>
      </c>
      <c r="I156" s="4" t="s">
        <v>62</v>
      </c>
      <c r="J156" s="23" t="s">
        <v>174</v>
      </c>
      <c r="K156" s="27"/>
      <c r="L156" s="28"/>
      <c r="M156" s="28"/>
      <c r="N156" s="28"/>
      <c r="O156" s="28">
        <v>1</v>
      </c>
      <c r="P156" s="28">
        <v>0</v>
      </c>
      <c r="Q156" s="28"/>
      <c r="R156" s="28"/>
      <c r="S156" s="28"/>
      <c r="T156" s="28"/>
      <c r="U156" s="28"/>
      <c r="V156" s="29"/>
    </row>
    <row r="157" spans="2:22">
      <c r="B157" s="17" t="s">
        <v>1157</v>
      </c>
      <c r="C157" s="3">
        <v>33194</v>
      </c>
      <c r="D157" s="18" t="s">
        <v>259</v>
      </c>
      <c r="E157" s="18" t="s">
        <v>130</v>
      </c>
      <c r="F157" s="2" t="s">
        <v>175</v>
      </c>
      <c r="G157" s="3" t="s">
        <v>3835</v>
      </c>
      <c r="H157" s="4" t="s">
        <v>21</v>
      </c>
      <c r="I157" s="4" t="s">
        <v>62</v>
      </c>
      <c r="J157" s="23" t="s">
        <v>176</v>
      </c>
      <c r="K157" s="27"/>
      <c r="L157" s="28"/>
      <c r="M157" s="28"/>
      <c r="N157" s="28"/>
      <c r="O157" s="28">
        <v>3</v>
      </c>
      <c r="P157" s="28">
        <v>0</v>
      </c>
      <c r="Q157" s="28">
        <v>3</v>
      </c>
      <c r="R157" s="28"/>
      <c r="S157" s="28"/>
      <c r="T157" s="28"/>
      <c r="U157" s="28"/>
      <c r="V157" s="29"/>
    </row>
    <row r="158" spans="2:22">
      <c r="B158" s="17" t="s">
        <v>1157</v>
      </c>
      <c r="C158" s="3">
        <v>33194</v>
      </c>
      <c r="D158" s="18" t="s">
        <v>259</v>
      </c>
      <c r="E158" s="18" t="s">
        <v>130</v>
      </c>
      <c r="F158" s="2" t="s">
        <v>181</v>
      </c>
      <c r="G158" s="3" t="s">
        <v>3836</v>
      </c>
      <c r="H158" s="4" t="s">
        <v>30</v>
      </c>
      <c r="I158" s="4" t="s">
        <v>182</v>
      </c>
      <c r="J158" s="23" t="s">
        <v>183</v>
      </c>
      <c r="K158" s="27"/>
      <c r="L158" s="28"/>
      <c r="M158" s="28"/>
      <c r="N158" s="28"/>
      <c r="O158" s="28">
        <v>2</v>
      </c>
      <c r="P158" s="28">
        <v>4</v>
      </c>
      <c r="Q158" s="28"/>
      <c r="R158" s="28"/>
      <c r="S158" s="28"/>
      <c r="T158" s="28"/>
      <c r="U158" s="28"/>
      <c r="V158" s="29"/>
    </row>
    <row r="159" spans="2:22">
      <c r="B159" s="17" t="s">
        <v>1157</v>
      </c>
      <c r="C159" s="3">
        <v>33194</v>
      </c>
      <c r="D159" s="18" t="s">
        <v>259</v>
      </c>
      <c r="E159" s="18" t="s">
        <v>130</v>
      </c>
      <c r="F159" s="2" t="s">
        <v>184</v>
      </c>
      <c r="G159" s="3" t="s">
        <v>3836</v>
      </c>
      <c r="H159" s="4" t="s">
        <v>30</v>
      </c>
      <c r="I159" s="4" t="s">
        <v>182</v>
      </c>
      <c r="J159" s="23" t="s">
        <v>185</v>
      </c>
      <c r="K159" s="27"/>
      <c r="L159" s="28"/>
      <c r="M159" s="28"/>
      <c r="N159" s="28"/>
      <c r="O159" s="28">
        <v>4</v>
      </c>
      <c r="P159" s="28">
        <v>0</v>
      </c>
      <c r="Q159" s="28"/>
      <c r="R159" s="28"/>
      <c r="S159" s="28"/>
      <c r="T159" s="28"/>
      <c r="U159" s="28"/>
      <c r="V159" s="29"/>
    </row>
    <row r="160" spans="2:22">
      <c r="B160" s="17" t="s">
        <v>1157</v>
      </c>
      <c r="C160" s="3">
        <v>33194</v>
      </c>
      <c r="D160" s="18" t="s">
        <v>259</v>
      </c>
      <c r="E160" s="18" t="s">
        <v>130</v>
      </c>
      <c r="F160" s="2" t="s">
        <v>186</v>
      </c>
      <c r="G160" s="3" t="s">
        <v>3836</v>
      </c>
      <c r="H160" s="4" t="s">
        <v>30</v>
      </c>
      <c r="I160" s="4" t="s">
        <v>182</v>
      </c>
      <c r="J160" s="23" t="s">
        <v>187</v>
      </c>
      <c r="K160" s="27"/>
      <c r="L160" s="28"/>
      <c r="M160" s="28"/>
      <c r="N160" s="28"/>
      <c r="O160" s="28"/>
      <c r="P160" s="28">
        <v>27</v>
      </c>
      <c r="Q160" s="28"/>
      <c r="R160" s="28"/>
      <c r="S160" s="28"/>
      <c r="T160" s="28"/>
      <c r="U160" s="28"/>
      <c r="V160" s="29"/>
    </row>
    <row r="161" spans="2:22">
      <c r="B161" s="17" t="s">
        <v>1157</v>
      </c>
      <c r="C161" s="3">
        <v>33073</v>
      </c>
      <c r="D161" s="18" t="s">
        <v>259</v>
      </c>
      <c r="E161" s="18" t="s">
        <v>113</v>
      </c>
      <c r="F161" s="2" t="s">
        <v>188</v>
      </c>
      <c r="G161" s="3" t="s">
        <v>3833</v>
      </c>
      <c r="H161" s="4" t="s">
        <v>46</v>
      </c>
      <c r="I161" s="4" t="s">
        <v>31</v>
      </c>
      <c r="J161" s="23" t="s">
        <v>189</v>
      </c>
      <c r="K161" s="27"/>
      <c r="L161" s="28"/>
      <c r="M161" s="28"/>
      <c r="N161" s="28"/>
      <c r="O161" s="28">
        <v>5</v>
      </c>
      <c r="P161" s="28">
        <v>2</v>
      </c>
      <c r="Q161" s="28">
        <v>0</v>
      </c>
      <c r="R161" s="28"/>
      <c r="S161" s="28"/>
      <c r="T161" s="28"/>
      <c r="U161" s="28"/>
      <c r="V161" s="29"/>
    </row>
    <row r="162" spans="2:22">
      <c r="B162" s="17" t="s">
        <v>1157</v>
      </c>
      <c r="C162" s="3">
        <v>33194</v>
      </c>
      <c r="D162" s="18" t="s">
        <v>259</v>
      </c>
      <c r="E162" s="18" t="s">
        <v>130</v>
      </c>
      <c r="F162" s="59" t="s">
        <v>196</v>
      </c>
      <c r="G162" s="3" t="s">
        <v>3835</v>
      </c>
      <c r="H162" s="4" t="s">
        <v>21</v>
      </c>
      <c r="I162" s="4" t="s">
        <v>62</v>
      </c>
      <c r="J162" s="23" t="s">
        <v>197</v>
      </c>
      <c r="K162" s="27"/>
      <c r="L162" s="28"/>
      <c r="M162" s="28"/>
      <c r="N162" s="28"/>
      <c r="O162" s="28"/>
      <c r="P162" s="28">
        <v>2</v>
      </c>
      <c r="Q162" s="28"/>
      <c r="R162" s="28"/>
      <c r="S162" s="28"/>
      <c r="T162" s="28"/>
      <c r="U162" s="28"/>
      <c r="V162" s="29"/>
    </row>
    <row r="163" spans="2:22">
      <c r="B163" s="17" t="s">
        <v>1157</v>
      </c>
      <c r="C163" s="3">
        <v>39101</v>
      </c>
      <c r="D163" s="18" t="s">
        <v>109</v>
      </c>
      <c r="E163" s="18" t="s">
        <v>150</v>
      </c>
      <c r="F163" s="2" t="s">
        <v>198</v>
      </c>
      <c r="G163" s="3" t="s">
        <v>3835</v>
      </c>
      <c r="H163" s="4" t="s">
        <v>21</v>
      </c>
      <c r="I163" s="4" t="s">
        <v>128</v>
      </c>
      <c r="J163" s="23" t="s">
        <v>199</v>
      </c>
      <c r="K163" s="27"/>
      <c r="L163" s="28"/>
      <c r="M163" s="28"/>
      <c r="N163" s="28"/>
      <c r="O163" s="28">
        <v>2</v>
      </c>
      <c r="P163" s="28"/>
      <c r="Q163" s="28"/>
      <c r="R163" s="28"/>
      <c r="S163" s="28"/>
      <c r="T163" s="28"/>
      <c r="U163" s="28"/>
      <c r="V163" s="29"/>
    </row>
    <row r="164" spans="2:22">
      <c r="B164" s="17" t="s">
        <v>1157</v>
      </c>
      <c r="C164" s="3">
        <v>33194</v>
      </c>
      <c r="D164" s="18" t="s">
        <v>259</v>
      </c>
      <c r="E164" s="18" t="s">
        <v>130</v>
      </c>
      <c r="F164" s="2" t="s">
        <v>203</v>
      </c>
      <c r="G164" s="3" t="s">
        <v>3835</v>
      </c>
      <c r="H164" s="4" t="s">
        <v>3818</v>
      </c>
      <c r="I164" s="4" t="s">
        <v>62</v>
      </c>
      <c r="J164" s="23" t="s">
        <v>204</v>
      </c>
      <c r="K164" s="27"/>
      <c r="L164" s="28"/>
      <c r="M164" s="28"/>
      <c r="N164" s="28"/>
      <c r="O164" s="28"/>
      <c r="P164" s="28">
        <v>1</v>
      </c>
      <c r="Q164" s="28"/>
      <c r="R164" s="28"/>
      <c r="S164" s="28"/>
      <c r="T164" s="28"/>
      <c r="U164" s="28"/>
      <c r="V164" s="29"/>
    </row>
    <row r="165" spans="2:22">
      <c r="B165" s="17" t="s">
        <v>1157</v>
      </c>
      <c r="C165" s="3">
        <v>33194</v>
      </c>
      <c r="D165" s="18" t="s">
        <v>259</v>
      </c>
      <c r="E165" s="18" t="s">
        <v>130</v>
      </c>
      <c r="F165" s="59" t="s">
        <v>205</v>
      </c>
      <c r="G165" s="3" t="s">
        <v>3835</v>
      </c>
      <c r="H165" s="4" t="s">
        <v>3818</v>
      </c>
      <c r="I165" s="4" t="s">
        <v>62</v>
      </c>
      <c r="J165" s="23" t="s">
        <v>206</v>
      </c>
      <c r="K165" s="27"/>
      <c r="L165" s="28"/>
      <c r="M165" s="28"/>
      <c r="N165" s="28"/>
      <c r="O165" s="28"/>
      <c r="P165" s="28">
        <v>3</v>
      </c>
      <c r="Q165" s="28"/>
      <c r="R165" s="28"/>
      <c r="S165" s="28"/>
      <c r="T165" s="28"/>
      <c r="U165" s="28"/>
      <c r="V165" s="29"/>
    </row>
    <row r="166" spans="2:22">
      <c r="B166" s="17" t="s">
        <v>1157</v>
      </c>
      <c r="C166" s="3">
        <v>33272</v>
      </c>
      <c r="D166" s="18" t="s">
        <v>259</v>
      </c>
      <c r="E166" s="18" t="s">
        <v>207</v>
      </c>
      <c r="F166" s="2" t="s">
        <v>208</v>
      </c>
      <c r="G166" s="3" t="s">
        <v>3833</v>
      </c>
      <c r="H166" s="4" t="s">
        <v>3837</v>
      </c>
      <c r="I166" s="4" t="s">
        <v>3838</v>
      </c>
      <c r="J166" s="23" t="s">
        <v>209</v>
      </c>
      <c r="K166" s="27"/>
      <c r="L166" s="28"/>
      <c r="M166" s="28"/>
      <c r="N166" s="28"/>
      <c r="O166" s="28"/>
      <c r="P166" s="28"/>
      <c r="Q166" s="28">
        <v>5</v>
      </c>
      <c r="R166" s="28"/>
      <c r="S166" s="28"/>
      <c r="T166" s="28"/>
      <c r="U166" s="28"/>
      <c r="V166" s="29"/>
    </row>
    <row r="167" spans="2:22">
      <c r="B167" s="17" t="s">
        <v>1157</v>
      </c>
      <c r="C167" s="3">
        <v>33167</v>
      </c>
      <c r="D167" s="18" t="s">
        <v>109</v>
      </c>
      <c r="E167" s="18" t="s">
        <v>213</v>
      </c>
      <c r="F167" s="2" t="s">
        <v>214</v>
      </c>
      <c r="G167" s="3" t="s">
        <v>3833</v>
      </c>
      <c r="H167" s="4" t="s">
        <v>46</v>
      </c>
      <c r="I167" s="4" t="s">
        <v>215</v>
      </c>
      <c r="J167" s="23" t="s">
        <v>216</v>
      </c>
      <c r="K167" s="27"/>
      <c r="L167" s="28"/>
      <c r="M167" s="28"/>
      <c r="N167" s="28">
        <v>2</v>
      </c>
      <c r="O167" s="28">
        <v>0</v>
      </c>
      <c r="P167" s="28"/>
      <c r="Q167" s="28"/>
      <c r="R167" s="28">
        <v>1</v>
      </c>
      <c r="S167" s="28">
        <v>1</v>
      </c>
      <c r="T167" s="28"/>
      <c r="U167" s="28"/>
      <c r="V167" s="34"/>
    </row>
    <row r="168" spans="2:22">
      <c r="B168" s="17" t="s">
        <v>1157</v>
      </c>
      <c r="C168" s="3">
        <v>33381</v>
      </c>
      <c r="D168" s="18" t="s">
        <v>109</v>
      </c>
      <c r="E168" s="18" t="s">
        <v>217</v>
      </c>
      <c r="F168" s="2" t="s">
        <v>218</v>
      </c>
      <c r="G168" s="3" t="s">
        <v>3833</v>
      </c>
      <c r="H168" s="4" t="s">
        <v>30</v>
      </c>
      <c r="I168" s="4" t="s">
        <v>55</v>
      </c>
      <c r="J168" s="23" t="s">
        <v>219</v>
      </c>
      <c r="K168" s="27"/>
      <c r="L168" s="28"/>
      <c r="M168" s="28"/>
      <c r="N168" s="28"/>
      <c r="O168" s="28">
        <v>1</v>
      </c>
      <c r="P168" s="28"/>
      <c r="Q168" s="28"/>
      <c r="R168" s="28"/>
      <c r="S168" s="28"/>
      <c r="T168" s="28"/>
      <c r="U168" s="28"/>
      <c r="V168" s="34"/>
    </row>
    <row r="169" spans="2:22">
      <c r="B169" s="17" t="s">
        <v>1157</v>
      </c>
      <c r="C169" s="3">
        <v>33381</v>
      </c>
      <c r="D169" s="18" t="s">
        <v>109</v>
      </c>
      <c r="E169" s="18" t="s">
        <v>217</v>
      </c>
      <c r="F169" s="2" t="s">
        <v>220</v>
      </c>
      <c r="G169" s="3" t="s">
        <v>3833</v>
      </c>
      <c r="H169" s="4" t="s">
        <v>30</v>
      </c>
      <c r="I169" s="4" t="s">
        <v>135</v>
      </c>
      <c r="J169" s="23" t="s">
        <v>221</v>
      </c>
      <c r="K169" s="27"/>
      <c r="L169" s="28"/>
      <c r="M169" s="28"/>
      <c r="N169" s="28"/>
      <c r="O169" s="28">
        <v>1</v>
      </c>
      <c r="P169" s="28"/>
      <c r="Q169" s="28"/>
      <c r="R169" s="28"/>
      <c r="S169" s="28"/>
      <c r="T169" s="28"/>
      <c r="U169" s="28"/>
      <c r="V169" s="34"/>
    </row>
    <row r="170" spans="2:22">
      <c r="B170" s="17" t="s">
        <v>1157</v>
      </c>
      <c r="C170" s="3">
        <v>33080</v>
      </c>
      <c r="D170" s="18" t="s">
        <v>109</v>
      </c>
      <c r="E170" s="18" t="s">
        <v>210</v>
      </c>
      <c r="F170" s="2" t="s">
        <v>222</v>
      </c>
      <c r="G170" s="3" t="s">
        <v>3833</v>
      </c>
      <c r="H170" s="4" t="s">
        <v>30</v>
      </c>
      <c r="I170" s="4" t="s">
        <v>135</v>
      </c>
      <c r="J170" s="23" t="s">
        <v>223</v>
      </c>
      <c r="K170" s="27"/>
      <c r="L170" s="28"/>
      <c r="M170" s="28"/>
      <c r="N170" s="28"/>
      <c r="O170" s="28">
        <v>1</v>
      </c>
      <c r="P170" s="28">
        <v>1</v>
      </c>
      <c r="Q170" s="28">
        <v>1</v>
      </c>
      <c r="R170" s="28">
        <v>1</v>
      </c>
      <c r="S170" s="28"/>
      <c r="T170" s="28">
        <v>1</v>
      </c>
      <c r="U170" s="28"/>
      <c r="V170" s="34"/>
    </row>
    <row r="171" spans="2:22">
      <c r="B171" s="17" t="s">
        <v>1157</v>
      </c>
      <c r="C171" s="3">
        <v>33080</v>
      </c>
      <c r="D171" s="18" t="s">
        <v>109</v>
      </c>
      <c r="E171" s="18" t="s">
        <v>210</v>
      </c>
      <c r="F171" s="2" t="s">
        <v>226</v>
      </c>
      <c r="G171" s="3" t="s">
        <v>3836</v>
      </c>
      <c r="H171" s="4" t="s">
        <v>30</v>
      </c>
      <c r="I171" s="4" t="s">
        <v>72</v>
      </c>
      <c r="J171" s="23" t="s">
        <v>227</v>
      </c>
      <c r="K171" s="27"/>
      <c r="L171" s="28"/>
      <c r="M171" s="28"/>
      <c r="N171" s="28"/>
      <c r="O171" s="28">
        <v>1</v>
      </c>
      <c r="P171" s="28"/>
      <c r="Q171" s="28"/>
      <c r="R171" s="28"/>
      <c r="S171" s="28"/>
      <c r="T171" s="28">
        <v>1</v>
      </c>
      <c r="U171" s="28"/>
      <c r="V171" s="34"/>
    </row>
    <row r="172" spans="2:22">
      <c r="B172" s="17" t="s">
        <v>1157</v>
      </c>
      <c r="C172" s="3">
        <v>33080</v>
      </c>
      <c r="D172" s="18" t="s">
        <v>109</v>
      </c>
      <c r="E172" s="18" t="s">
        <v>210</v>
      </c>
      <c r="F172" s="2" t="s">
        <v>228</v>
      </c>
      <c r="G172" s="3" t="s">
        <v>3836</v>
      </c>
      <c r="H172" s="4" t="s">
        <v>30</v>
      </c>
      <c r="I172" s="4" t="s">
        <v>182</v>
      </c>
      <c r="J172" s="23" t="s">
        <v>229</v>
      </c>
      <c r="K172" s="27"/>
      <c r="L172" s="28"/>
      <c r="M172" s="28"/>
      <c r="N172" s="28"/>
      <c r="O172" s="28">
        <v>1</v>
      </c>
      <c r="P172" s="28"/>
      <c r="Q172" s="28"/>
      <c r="R172" s="28"/>
      <c r="S172" s="28"/>
      <c r="T172" s="28"/>
      <c r="U172" s="28"/>
      <c r="V172" s="34"/>
    </row>
    <row r="173" spans="2:22">
      <c r="B173" s="17" t="s">
        <v>1157</v>
      </c>
      <c r="C173" s="3">
        <v>33165</v>
      </c>
      <c r="D173" s="18" t="s">
        <v>109</v>
      </c>
      <c r="E173" s="18" t="s">
        <v>230</v>
      </c>
      <c r="F173" s="2" t="s">
        <v>231</v>
      </c>
      <c r="G173" s="3" t="s">
        <v>3834</v>
      </c>
      <c r="H173" s="4" t="s">
        <v>21</v>
      </c>
      <c r="I173" s="4" t="s">
        <v>35</v>
      </c>
      <c r="J173" s="23" t="s">
        <v>232</v>
      </c>
      <c r="K173" s="27"/>
      <c r="L173" s="28"/>
      <c r="M173" s="28"/>
      <c r="N173" s="28"/>
      <c r="O173" s="28"/>
      <c r="P173" s="28"/>
      <c r="Q173" s="28">
        <v>1</v>
      </c>
      <c r="R173" s="28"/>
      <c r="S173" s="28"/>
      <c r="T173" s="28"/>
      <c r="U173" s="28"/>
      <c r="V173" s="34"/>
    </row>
    <row r="174" spans="2:22">
      <c r="B174" s="17" t="s">
        <v>1157</v>
      </c>
      <c r="C174" s="3">
        <v>33313</v>
      </c>
      <c r="D174" s="18" t="s">
        <v>109</v>
      </c>
      <c r="E174" s="18" t="s">
        <v>233</v>
      </c>
      <c r="F174" s="2" t="s">
        <v>234</v>
      </c>
      <c r="G174" s="3" t="s">
        <v>3833</v>
      </c>
      <c r="H174" s="4" t="s">
        <v>30</v>
      </c>
      <c r="I174" s="4" t="s">
        <v>55</v>
      </c>
      <c r="J174" s="23" t="s">
        <v>235</v>
      </c>
      <c r="K174" s="27"/>
      <c r="L174" s="28"/>
      <c r="M174" s="28"/>
      <c r="N174" s="28"/>
      <c r="O174" s="28"/>
      <c r="P174" s="28"/>
      <c r="Q174" s="28">
        <v>2</v>
      </c>
      <c r="R174" s="28">
        <v>1</v>
      </c>
      <c r="S174" s="28"/>
      <c r="T174" s="28">
        <v>1</v>
      </c>
      <c r="U174" s="28"/>
      <c r="V174" s="34"/>
    </row>
    <row r="175" spans="2:22">
      <c r="B175" s="17" t="s">
        <v>1157</v>
      </c>
      <c r="C175" s="3">
        <v>33080</v>
      </c>
      <c r="D175" s="18" t="s">
        <v>109</v>
      </c>
      <c r="E175" s="18" t="s">
        <v>210</v>
      </c>
      <c r="F175" s="59" t="s">
        <v>239</v>
      </c>
      <c r="G175" s="3" t="s">
        <v>3835</v>
      </c>
      <c r="H175" s="4" t="s">
        <v>21</v>
      </c>
      <c r="I175" s="4" t="s">
        <v>128</v>
      </c>
      <c r="J175" s="23" t="s">
        <v>240</v>
      </c>
      <c r="K175" s="27"/>
      <c r="L175" s="28"/>
      <c r="M175" s="28"/>
      <c r="N175" s="28"/>
      <c r="O175" s="28"/>
      <c r="P175" s="28">
        <v>1</v>
      </c>
      <c r="Q175" s="28">
        <v>2</v>
      </c>
      <c r="R175" s="28">
        <v>2</v>
      </c>
      <c r="S175" s="28"/>
      <c r="T175" s="28"/>
      <c r="U175" s="28"/>
      <c r="V175" s="34"/>
    </row>
    <row r="176" spans="2:22">
      <c r="B176" s="17" t="s">
        <v>1157</v>
      </c>
      <c r="C176" s="3">
        <v>33080</v>
      </c>
      <c r="D176" s="18" t="s">
        <v>109</v>
      </c>
      <c r="E176" s="18" t="s">
        <v>210</v>
      </c>
      <c r="F176" s="2" t="s">
        <v>245</v>
      </c>
      <c r="G176" s="3" t="s">
        <v>3835</v>
      </c>
      <c r="H176" s="4" t="s">
        <v>3818</v>
      </c>
      <c r="I176" s="4" t="s">
        <v>62</v>
      </c>
      <c r="J176" s="23" t="s">
        <v>246</v>
      </c>
      <c r="K176" s="27"/>
      <c r="L176" s="28"/>
      <c r="M176" s="28"/>
      <c r="N176" s="28"/>
      <c r="O176" s="28"/>
      <c r="P176" s="28"/>
      <c r="Q176" s="28"/>
      <c r="R176" s="28">
        <v>1</v>
      </c>
      <c r="S176" s="28"/>
      <c r="T176" s="28"/>
      <c r="U176" s="28"/>
      <c r="V176" s="34"/>
    </row>
    <row r="177" spans="2:22">
      <c r="B177" s="17" t="s">
        <v>1157</v>
      </c>
      <c r="C177" s="3">
        <v>33091</v>
      </c>
      <c r="D177" s="18" t="s">
        <v>109</v>
      </c>
      <c r="E177" s="18" t="s">
        <v>247</v>
      </c>
      <c r="F177" s="2" t="s">
        <v>248</v>
      </c>
      <c r="G177" s="3" t="s">
        <v>3835</v>
      </c>
      <c r="H177" s="4" t="s">
        <v>3839</v>
      </c>
      <c r="I177" s="4" t="s">
        <v>3840</v>
      </c>
      <c r="J177" s="23"/>
      <c r="K177" s="27"/>
      <c r="L177" s="28"/>
      <c r="M177" s="28"/>
      <c r="N177" s="28"/>
      <c r="O177" s="28"/>
      <c r="P177" s="28"/>
      <c r="Q177" s="28"/>
      <c r="R177" s="28"/>
      <c r="S177" s="28">
        <v>5</v>
      </c>
      <c r="T177" s="28">
        <v>5</v>
      </c>
      <c r="U177" s="28">
        <v>2</v>
      </c>
      <c r="V177" s="34">
        <v>2</v>
      </c>
    </row>
    <row r="178" spans="2:22">
      <c r="B178" s="17" t="s">
        <v>1157</v>
      </c>
      <c r="C178" s="3">
        <v>33381</v>
      </c>
      <c r="D178" s="18" t="s">
        <v>109</v>
      </c>
      <c r="E178" s="18" t="s">
        <v>217</v>
      </c>
      <c r="F178" s="2" t="s">
        <v>249</v>
      </c>
      <c r="G178" s="3" t="s">
        <v>3833</v>
      </c>
      <c r="H178" s="4" t="s">
        <v>46</v>
      </c>
      <c r="I178" s="4" t="s">
        <v>250</v>
      </c>
      <c r="J178" s="23" t="s">
        <v>251</v>
      </c>
      <c r="K178" s="27"/>
      <c r="L178" s="28"/>
      <c r="M178" s="28"/>
      <c r="N178" s="28"/>
      <c r="O178" s="28"/>
      <c r="P178" s="28"/>
      <c r="Q178" s="28"/>
      <c r="R178" s="28"/>
      <c r="S178" s="28">
        <v>1</v>
      </c>
      <c r="T178" s="28"/>
      <c r="U178" s="28"/>
      <c r="V178" s="34">
        <v>1</v>
      </c>
    </row>
    <row r="179" spans="2:22">
      <c r="B179" s="17" t="s">
        <v>1157</v>
      </c>
      <c r="C179" s="3">
        <v>33091</v>
      </c>
      <c r="D179" s="18" t="s">
        <v>109</v>
      </c>
      <c r="E179" s="18" t="s">
        <v>247</v>
      </c>
      <c r="F179" s="2" t="s">
        <v>252</v>
      </c>
      <c r="G179" s="3" t="s">
        <v>3835</v>
      </c>
      <c r="H179" s="4" t="s">
        <v>30</v>
      </c>
      <c r="I179" s="4" t="s">
        <v>253</v>
      </c>
      <c r="J179" s="23" t="s">
        <v>254</v>
      </c>
      <c r="K179" s="27"/>
      <c r="L179" s="28"/>
      <c r="M179" s="28"/>
      <c r="N179" s="28"/>
      <c r="O179" s="28"/>
      <c r="P179" s="28"/>
      <c r="Q179" s="28"/>
      <c r="R179" s="28"/>
      <c r="S179" s="28"/>
      <c r="T179" s="28"/>
      <c r="U179" s="28">
        <v>1</v>
      </c>
      <c r="V179" s="34">
        <v>1</v>
      </c>
    </row>
    <row r="180" spans="2:22">
      <c r="B180" s="17" t="s">
        <v>1157</v>
      </c>
      <c r="C180" s="3">
        <v>33079</v>
      </c>
      <c r="D180" s="18" t="s">
        <v>259</v>
      </c>
      <c r="E180" s="18" t="s">
        <v>260</v>
      </c>
      <c r="F180" s="2" t="s">
        <v>261</v>
      </c>
      <c r="G180" s="3" t="s">
        <v>3834</v>
      </c>
      <c r="H180" s="4" t="s">
        <v>21</v>
      </c>
      <c r="I180" s="4" t="s">
        <v>35</v>
      </c>
      <c r="J180" s="23" t="s">
        <v>262</v>
      </c>
      <c r="K180" s="27"/>
      <c r="L180" s="28"/>
      <c r="M180" s="28"/>
      <c r="N180" s="28"/>
      <c r="O180" s="28">
        <v>1</v>
      </c>
      <c r="P180" s="28"/>
      <c r="Q180" s="28"/>
      <c r="R180" s="28"/>
      <c r="S180" s="28"/>
      <c r="T180" s="28"/>
      <c r="U180" s="28"/>
      <c r="V180" s="34"/>
    </row>
    <row r="181" spans="2:22">
      <c r="B181" s="17" t="s">
        <v>1157</v>
      </c>
      <c r="C181" s="3">
        <v>33079</v>
      </c>
      <c r="D181" s="18" t="s">
        <v>259</v>
      </c>
      <c r="E181" s="18" t="s">
        <v>260</v>
      </c>
      <c r="F181" s="2" t="s">
        <v>263</v>
      </c>
      <c r="G181" s="3" t="s">
        <v>3841</v>
      </c>
      <c r="H181" s="4" t="s">
        <v>264</v>
      </c>
      <c r="I181" s="4" t="s">
        <v>265</v>
      </c>
      <c r="J181" s="23" t="s">
        <v>266</v>
      </c>
      <c r="K181" s="27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34"/>
    </row>
    <row r="182" spans="2:22">
      <c r="B182" s="17" t="s">
        <v>1157</v>
      </c>
      <c r="C182" s="3">
        <v>33079</v>
      </c>
      <c r="D182" s="18" t="s">
        <v>259</v>
      </c>
      <c r="E182" s="18" t="s">
        <v>260</v>
      </c>
      <c r="F182" s="2" t="s">
        <v>270</v>
      </c>
      <c r="G182" s="3" t="s">
        <v>3836</v>
      </c>
      <c r="H182" s="4" t="s">
        <v>30</v>
      </c>
      <c r="I182" s="4" t="s">
        <v>271</v>
      </c>
      <c r="J182" s="23" t="s">
        <v>272</v>
      </c>
      <c r="K182" s="27"/>
      <c r="L182" s="28"/>
      <c r="M182" s="28"/>
      <c r="N182" s="28"/>
      <c r="O182" s="28">
        <v>5</v>
      </c>
      <c r="P182" s="28">
        <v>4</v>
      </c>
      <c r="Q182" s="28">
        <v>2</v>
      </c>
      <c r="R182" s="28"/>
      <c r="S182" s="28"/>
      <c r="T182" s="28"/>
      <c r="U182" s="28"/>
      <c r="V182" s="34"/>
    </row>
    <row r="183" spans="2:22">
      <c r="B183" s="17" t="s">
        <v>1157</v>
      </c>
      <c r="C183" s="3">
        <v>33079</v>
      </c>
      <c r="D183" s="18" t="s">
        <v>259</v>
      </c>
      <c r="E183" s="18" t="s">
        <v>260</v>
      </c>
      <c r="F183" s="2" t="s">
        <v>273</v>
      </c>
      <c r="G183" s="3" t="s">
        <v>3836</v>
      </c>
      <c r="H183" s="4" t="s">
        <v>30</v>
      </c>
      <c r="I183" s="4" t="s">
        <v>271</v>
      </c>
      <c r="J183" s="23" t="s">
        <v>274</v>
      </c>
      <c r="K183" s="27"/>
      <c r="L183" s="28"/>
      <c r="M183" s="28"/>
      <c r="N183" s="28">
        <v>2</v>
      </c>
      <c r="O183" s="28">
        <v>6</v>
      </c>
      <c r="P183" s="28"/>
      <c r="Q183" s="28">
        <v>5</v>
      </c>
      <c r="R183" s="28"/>
      <c r="S183" s="28"/>
      <c r="T183" s="28"/>
      <c r="U183" s="28"/>
      <c r="V183" s="34"/>
    </row>
    <row r="184" spans="2:22">
      <c r="B184" s="17" t="s">
        <v>1157</v>
      </c>
      <c r="C184" s="3">
        <v>33079</v>
      </c>
      <c r="D184" s="18" t="s">
        <v>259</v>
      </c>
      <c r="E184" s="18" t="s">
        <v>260</v>
      </c>
      <c r="F184" s="2" t="s">
        <v>275</v>
      </c>
      <c r="G184" s="3" t="s">
        <v>3836</v>
      </c>
      <c r="H184" s="4" t="s">
        <v>30</v>
      </c>
      <c r="I184" s="4" t="s">
        <v>182</v>
      </c>
      <c r="J184" s="23" t="s">
        <v>276</v>
      </c>
      <c r="K184" s="27"/>
      <c r="L184" s="28"/>
      <c r="M184" s="28"/>
      <c r="N184" s="28">
        <v>2</v>
      </c>
      <c r="O184" s="28">
        <v>3</v>
      </c>
      <c r="P184" s="28">
        <v>2</v>
      </c>
      <c r="Q184" s="28">
        <v>3</v>
      </c>
      <c r="R184" s="28"/>
      <c r="S184" s="28"/>
      <c r="T184" s="28"/>
      <c r="U184" s="28"/>
      <c r="V184" s="34"/>
    </row>
    <row r="185" spans="2:22">
      <c r="B185" s="17" t="s">
        <v>1157</v>
      </c>
      <c r="C185" s="3">
        <v>33079</v>
      </c>
      <c r="D185" s="18" t="s">
        <v>259</v>
      </c>
      <c r="E185" s="18" t="s">
        <v>260</v>
      </c>
      <c r="F185" s="2" t="s">
        <v>277</v>
      </c>
      <c r="G185" s="3" t="s">
        <v>3836</v>
      </c>
      <c r="H185" s="4" t="s">
        <v>30</v>
      </c>
      <c r="I185" s="4" t="s">
        <v>182</v>
      </c>
      <c r="J185" s="23" t="s">
        <v>278</v>
      </c>
      <c r="K185" s="27"/>
      <c r="L185" s="28"/>
      <c r="M185" s="28"/>
      <c r="N185" s="28"/>
      <c r="O185" s="28">
        <v>5</v>
      </c>
      <c r="P185" s="28">
        <v>3</v>
      </c>
      <c r="Q185" s="28">
        <v>8</v>
      </c>
      <c r="R185" s="28"/>
      <c r="S185" s="28"/>
      <c r="T185" s="28"/>
      <c r="U185" s="28"/>
      <c r="V185" s="34"/>
    </row>
    <row r="186" spans="2:22">
      <c r="B186" s="17" t="s">
        <v>1157</v>
      </c>
      <c r="C186" s="3">
        <v>33079</v>
      </c>
      <c r="D186" s="18" t="s">
        <v>259</v>
      </c>
      <c r="E186" s="18" t="s">
        <v>260</v>
      </c>
      <c r="F186" s="2" t="s">
        <v>279</v>
      </c>
      <c r="G186" s="3" t="s">
        <v>3836</v>
      </c>
      <c r="H186" s="4" t="s">
        <v>30</v>
      </c>
      <c r="I186" s="4" t="s">
        <v>182</v>
      </c>
      <c r="J186" s="23" t="s">
        <v>280</v>
      </c>
      <c r="K186" s="27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34"/>
    </row>
    <row r="187" spans="2:22">
      <c r="B187" s="17" t="s">
        <v>1157</v>
      </c>
      <c r="C187" s="3">
        <v>33079</v>
      </c>
      <c r="D187" s="18" t="s">
        <v>259</v>
      </c>
      <c r="E187" s="18" t="s">
        <v>260</v>
      </c>
      <c r="F187" s="2" t="s">
        <v>281</v>
      </c>
      <c r="G187" s="3" t="s">
        <v>3833</v>
      </c>
      <c r="H187" s="4" t="s">
        <v>30</v>
      </c>
      <c r="I187" s="4" t="s">
        <v>55</v>
      </c>
      <c r="J187" s="23" t="s">
        <v>282</v>
      </c>
      <c r="K187" s="27"/>
      <c r="L187" s="28"/>
      <c r="M187" s="28"/>
      <c r="N187" s="28"/>
      <c r="O187" s="28"/>
      <c r="P187" s="28"/>
      <c r="Q187" s="28">
        <v>2</v>
      </c>
      <c r="R187" s="28"/>
      <c r="S187" s="28"/>
      <c r="T187" s="28"/>
      <c r="U187" s="28"/>
      <c r="V187" s="34"/>
    </row>
    <row r="188" spans="2:22">
      <c r="B188" s="17" t="s">
        <v>1157</v>
      </c>
      <c r="C188" s="3">
        <v>33079</v>
      </c>
      <c r="D188" s="18" t="s">
        <v>259</v>
      </c>
      <c r="E188" s="18" t="s">
        <v>260</v>
      </c>
      <c r="F188" s="2" t="s">
        <v>283</v>
      </c>
      <c r="G188" s="3" t="s">
        <v>3835</v>
      </c>
      <c r="H188" s="4" t="s">
        <v>30</v>
      </c>
      <c r="I188" s="4" t="s">
        <v>284</v>
      </c>
      <c r="J188" s="23" t="s">
        <v>285</v>
      </c>
      <c r="K188" s="27"/>
      <c r="L188" s="28"/>
      <c r="M188" s="28"/>
      <c r="N188" s="28">
        <v>3</v>
      </c>
      <c r="O188" s="28">
        <v>2</v>
      </c>
      <c r="P188" s="28">
        <v>3</v>
      </c>
      <c r="Q188" s="28">
        <v>3</v>
      </c>
      <c r="R188" s="28"/>
      <c r="S188" s="28"/>
      <c r="T188" s="28"/>
      <c r="U188" s="28"/>
      <c r="V188" s="34"/>
    </row>
    <row r="189" spans="2:22">
      <c r="B189" s="17" t="s">
        <v>1157</v>
      </c>
      <c r="C189" s="3">
        <v>33079</v>
      </c>
      <c r="D189" s="18" t="s">
        <v>259</v>
      </c>
      <c r="E189" s="18" t="s">
        <v>260</v>
      </c>
      <c r="F189" s="2" t="s">
        <v>286</v>
      </c>
      <c r="G189" s="3" t="s">
        <v>3832</v>
      </c>
      <c r="H189" s="4" t="s">
        <v>30</v>
      </c>
      <c r="I189" s="4" t="s">
        <v>287</v>
      </c>
      <c r="J189" s="23" t="s">
        <v>288</v>
      </c>
      <c r="K189" s="27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34"/>
    </row>
    <row r="190" spans="2:22">
      <c r="B190" s="17" t="s">
        <v>1157</v>
      </c>
      <c r="C190" s="3">
        <v>33079</v>
      </c>
      <c r="D190" s="18" t="s">
        <v>259</v>
      </c>
      <c r="E190" s="18" t="s">
        <v>260</v>
      </c>
      <c r="F190" s="2" t="s">
        <v>289</v>
      </c>
      <c r="G190" s="3" t="s">
        <v>3836</v>
      </c>
      <c r="H190" s="4" t="s">
        <v>30</v>
      </c>
      <c r="I190" s="4" t="s">
        <v>72</v>
      </c>
      <c r="J190" s="23" t="s">
        <v>290</v>
      </c>
      <c r="K190" s="27"/>
      <c r="L190" s="28"/>
      <c r="M190" s="28"/>
      <c r="N190" s="28"/>
      <c r="O190" s="28">
        <v>9</v>
      </c>
      <c r="P190" s="28"/>
      <c r="Q190" s="28">
        <v>4</v>
      </c>
      <c r="R190" s="28"/>
      <c r="S190" s="28"/>
      <c r="T190" s="28"/>
      <c r="U190" s="28"/>
      <c r="V190" s="34"/>
    </row>
    <row r="191" spans="2:22">
      <c r="B191" s="17" t="s">
        <v>1157</v>
      </c>
      <c r="C191" s="3">
        <v>33079</v>
      </c>
      <c r="D191" s="18" t="s">
        <v>259</v>
      </c>
      <c r="E191" s="18" t="s">
        <v>260</v>
      </c>
      <c r="F191" s="2" t="s">
        <v>291</v>
      </c>
      <c r="G191" s="3" t="s">
        <v>3836</v>
      </c>
      <c r="H191" s="4" t="s">
        <v>30</v>
      </c>
      <c r="I191" s="4" t="s">
        <v>72</v>
      </c>
      <c r="J191" s="23" t="s">
        <v>292</v>
      </c>
      <c r="K191" s="27"/>
      <c r="L191" s="28"/>
      <c r="M191" s="28"/>
      <c r="N191" s="28"/>
      <c r="O191" s="28">
        <v>6</v>
      </c>
      <c r="P191" s="28">
        <v>5</v>
      </c>
      <c r="Q191" s="28">
        <v>7</v>
      </c>
      <c r="R191" s="28"/>
      <c r="S191" s="28"/>
      <c r="T191" s="28"/>
      <c r="U191" s="28"/>
      <c r="V191" s="34"/>
    </row>
    <row r="192" spans="2:22">
      <c r="B192" s="17" t="s">
        <v>1157</v>
      </c>
      <c r="C192" s="3">
        <v>33079</v>
      </c>
      <c r="D192" s="18" t="s">
        <v>259</v>
      </c>
      <c r="E192" s="18" t="s">
        <v>260</v>
      </c>
      <c r="F192" s="2" t="s">
        <v>293</v>
      </c>
      <c r="G192" s="3" t="s">
        <v>3832</v>
      </c>
      <c r="H192" s="4" t="s">
        <v>30</v>
      </c>
      <c r="I192" s="4" t="s">
        <v>50</v>
      </c>
      <c r="J192" s="23" t="s">
        <v>294</v>
      </c>
      <c r="K192" s="27"/>
      <c r="L192" s="28"/>
      <c r="M192" s="28"/>
      <c r="N192" s="28">
        <v>2</v>
      </c>
      <c r="O192" s="28">
        <v>6</v>
      </c>
      <c r="P192" s="28">
        <v>8</v>
      </c>
      <c r="Q192" s="28">
        <v>8</v>
      </c>
      <c r="R192" s="28"/>
      <c r="S192" s="28"/>
      <c r="T192" s="28"/>
      <c r="U192" s="28"/>
      <c r="V192" s="34"/>
    </row>
    <row r="193" spans="2:22">
      <c r="B193" s="17" t="s">
        <v>1157</v>
      </c>
      <c r="C193" s="3">
        <v>33079</v>
      </c>
      <c r="D193" s="18" t="s">
        <v>259</v>
      </c>
      <c r="E193" s="18" t="s">
        <v>260</v>
      </c>
      <c r="F193" s="2" t="s">
        <v>295</v>
      </c>
      <c r="G193" s="3" t="s">
        <v>3835</v>
      </c>
      <c r="H193" s="4" t="s">
        <v>30</v>
      </c>
      <c r="I193" s="4" t="s">
        <v>296</v>
      </c>
      <c r="J193" s="23" t="s">
        <v>297</v>
      </c>
      <c r="K193" s="27"/>
      <c r="L193" s="28"/>
      <c r="M193" s="28"/>
      <c r="N193" s="28">
        <v>1</v>
      </c>
      <c r="O193" s="28">
        <v>2</v>
      </c>
      <c r="P193" s="28">
        <v>4</v>
      </c>
      <c r="Q193" s="28">
        <v>1</v>
      </c>
      <c r="R193" s="28"/>
      <c r="S193" s="28"/>
      <c r="T193" s="28"/>
      <c r="U193" s="28"/>
      <c r="V193" s="34"/>
    </row>
    <row r="194" spans="2:22">
      <c r="B194" s="17" t="s">
        <v>1157</v>
      </c>
      <c r="C194" s="3">
        <v>33079</v>
      </c>
      <c r="D194" s="18" t="s">
        <v>259</v>
      </c>
      <c r="E194" s="18" t="s">
        <v>260</v>
      </c>
      <c r="F194" s="2" t="s">
        <v>298</v>
      </c>
      <c r="G194" s="3" t="s">
        <v>3832</v>
      </c>
      <c r="H194" s="4" t="s">
        <v>30</v>
      </c>
      <c r="I194" s="4" t="s">
        <v>299</v>
      </c>
      <c r="J194" s="23" t="s">
        <v>300</v>
      </c>
      <c r="K194" s="27"/>
      <c r="L194" s="28"/>
      <c r="M194" s="28"/>
      <c r="N194" s="28">
        <v>1</v>
      </c>
      <c r="O194" s="28">
        <v>3</v>
      </c>
      <c r="P194" s="28">
        <v>4</v>
      </c>
      <c r="Q194" s="28"/>
      <c r="R194" s="28"/>
      <c r="S194" s="28"/>
      <c r="T194" s="28"/>
      <c r="U194" s="28"/>
      <c r="V194" s="34"/>
    </row>
    <row r="195" spans="2:22">
      <c r="B195" s="17" t="s">
        <v>1157</v>
      </c>
      <c r="C195" s="3">
        <v>33079</v>
      </c>
      <c r="D195" s="18" t="s">
        <v>259</v>
      </c>
      <c r="E195" s="18" t="s">
        <v>260</v>
      </c>
      <c r="F195" s="2" t="s">
        <v>301</v>
      </c>
      <c r="G195" s="3" t="s">
        <v>3833</v>
      </c>
      <c r="H195" s="4" t="s">
        <v>30</v>
      </c>
      <c r="I195" s="4" t="s">
        <v>159</v>
      </c>
      <c r="J195" s="23" t="s">
        <v>302</v>
      </c>
      <c r="K195" s="27"/>
      <c r="L195" s="28"/>
      <c r="M195" s="28"/>
      <c r="N195" s="28">
        <v>3</v>
      </c>
      <c r="O195" s="28">
        <v>6</v>
      </c>
      <c r="P195" s="28">
        <v>7</v>
      </c>
      <c r="Q195" s="28">
        <v>6</v>
      </c>
      <c r="R195" s="28"/>
      <c r="S195" s="28"/>
      <c r="T195" s="28"/>
      <c r="U195" s="28"/>
      <c r="V195" s="34"/>
    </row>
    <row r="196" spans="2:22">
      <c r="B196" s="17" t="s">
        <v>1157</v>
      </c>
      <c r="C196" s="3">
        <v>33079</v>
      </c>
      <c r="D196" s="18" t="s">
        <v>259</v>
      </c>
      <c r="E196" s="18" t="s">
        <v>260</v>
      </c>
      <c r="F196" s="2" t="s">
        <v>303</v>
      </c>
      <c r="G196" s="3" t="s">
        <v>3832</v>
      </c>
      <c r="H196" s="4" t="s">
        <v>30</v>
      </c>
      <c r="I196" s="4" t="s">
        <v>304</v>
      </c>
      <c r="J196" s="23" t="s">
        <v>305</v>
      </c>
      <c r="K196" s="27"/>
      <c r="L196" s="28"/>
      <c r="M196" s="28"/>
      <c r="N196" s="28">
        <v>6</v>
      </c>
      <c r="O196" s="28">
        <v>5</v>
      </c>
      <c r="P196" s="28">
        <v>3</v>
      </c>
      <c r="Q196" s="28">
        <v>8</v>
      </c>
      <c r="R196" s="28"/>
      <c r="S196" s="28"/>
      <c r="T196" s="28"/>
      <c r="U196" s="28"/>
      <c r="V196" s="34"/>
    </row>
    <row r="197" spans="2:22">
      <c r="B197" s="17" t="s">
        <v>1157</v>
      </c>
      <c r="C197" s="3">
        <v>33079</v>
      </c>
      <c r="D197" s="18" t="s">
        <v>259</v>
      </c>
      <c r="E197" s="18" t="s">
        <v>260</v>
      </c>
      <c r="F197" s="2" t="s">
        <v>306</v>
      </c>
      <c r="G197" s="3" t="s">
        <v>3832</v>
      </c>
      <c r="H197" s="4" t="s">
        <v>30</v>
      </c>
      <c r="I197" s="4" t="s">
        <v>304</v>
      </c>
      <c r="J197" s="23" t="s">
        <v>307</v>
      </c>
      <c r="K197" s="27"/>
      <c r="L197" s="28"/>
      <c r="M197" s="28"/>
      <c r="N197" s="28">
        <v>2</v>
      </c>
      <c r="O197" s="28">
        <v>3</v>
      </c>
      <c r="P197" s="28">
        <v>2</v>
      </c>
      <c r="Q197" s="28">
        <v>1</v>
      </c>
      <c r="R197" s="28"/>
      <c r="S197" s="28"/>
      <c r="T197" s="28"/>
      <c r="U197" s="28"/>
      <c r="V197" s="34"/>
    </row>
    <row r="198" spans="2:22">
      <c r="B198" s="17" t="s">
        <v>1157</v>
      </c>
      <c r="C198" s="3">
        <v>33079</v>
      </c>
      <c r="D198" s="18" t="s">
        <v>259</v>
      </c>
      <c r="E198" s="18" t="s">
        <v>260</v>
      </c>
      <c r="F198" s="2" t="s">
        <v>308</v>
      </c>
      <c r="G198" s="3" t="s">
        <v>3833</v>
      </c>
      <c r="H198" s="4" t="s">
        <v>30</v>
      </c>
      <c r="I198" s="4" t="s">
        <v>31</v>
      </c>
      <c r="J198" s="23" t="s">
        <v>309</v>
      </c>
      <c r="K198" s="27"/>
      <c r="L198" s="28"/>
      <c r="M198" s="28"/>
      <c r="N198" s="28"/>
      <c r="O198" s="28">
        <v>2</v>
      </c>
      <c r="P198" s="28"/>
      <c r="Q198" s="28">
        <v>1</v>
      </c>
      <c r="R198" s="28"/>
      <c r="S198" s="28"/>
      <c r="T198" s="28"/>
      <c r="U198" s="28"/>
      <c r="V198" s="34"/>
    </row>
    <row r="199" spans="2:22">
      <c r="B199" s="17" t="s">
        <v>1157</v>
      </c>
      <c r="C199" s="3">
        <v>33079</v>
      </c>
      <c r="D199" s="18" t="s">
        <v>259</v>
      </c>
      <c r="E199" s="18" t="s">
        <v>260</v>
      </c>
      <c r="F199" s="2" t="s">
        <v>310</v>
      </c>
      <c r="G199" s="3" t="s">
        <v>3833</v>
      </c>
      <c r="H199" s="4" t="s">
        <v>30</v>
      </c>
      <c r="I199" s="4" t="s">
        <v>31</v>
      </c>
      <c r="J199" s="23" t="s">
        <v>311</v>
      </c>
      <c r="K199" s="27"/>
      <c r="L199" s="28"/>
      <c r="M199" s="28"/>
      <c r="N199" s="28">
        <v>1</v>
      </c>
      <c r="O199" s="28">
        <v>3</v>
      </c>
      <c r="P199" s="28">
        <v>1</v>
      </c>
      <c r="Q199" s="28">
        <v>4</v>
      </c>
      <c r="R199" s="28"/>
      <c r="S199" s="28"/>
      <c r="T199" s="28"/>
      <c r="U199" s="28"/>
      <c r="V199" s="34"/>
    </row>
    <row r="200" spans="2:22">
      <c r="B200" s="17" t="s">
        <v>1157</v>
      </c>
      <c r="C200" s="3">
        <v>33079</v>
      </c>
      <c r="D200" s="18" t="s">
        <v>259</v>
      </c>
      <c r="E200" s="18" t="s">
        <v>260</v>
      </c>
      <c r="F200" s="2" t="s">
        <v>312</v>
      </c>
      <c r="G200" s="3" t="s">
        <v>3833</v>
      </c>
      <c r="H200" s="4" t="s">
        <v>30</v>
      </c>
      <c r="I200" s="4" t="s">
        <v>31</v>
      </c>
      <c r="J200" s="23" t="s">
        <v>313</v>
      </c>
      <c r="K200" s="27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34"/>
    </row>
    <row r="201" spans="2:22">
      <c r="B201" s="17" t="s">
        <v>1157</v>
      </c>
      <c r="C201" s="3">
        <v>33079</v>
      </c>
      <c r="D201" s="18" t="s">
        <v>259</v>
      </c>
      <c r="E201" s="18" t="s">
        <v>260</v>
      </c>
      <c r="F201" s="2" t="s">
        <v>314</v>
      </c>
      <c r="G201" s="3" t="s">
        <v>3836</v>
      </c>
      <c r="H201" s="4" t="s">
        <v>30</v>
      </c>
      <c r="I201" s="4" t="s">
        <v>271</v>
      </c>
      <c r="J201" s="23" t="s">
        <v>315</v>
      </c>
      <c r="K201" s="27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34"/>
    </row>
    <row r="202" spans="2:22">
      <c r="B202" s="17" t="s">
        <v>1157</v>
      </c>
      <c r="C202" s="3">
        <v>33079</v>
      </c>
      <c r="D202" s="18" t="s">
        <v>259</v>
      </c>
      <c r="E202" s="18" t="s">
        <v>260</v>
      </c>
      <c r="F202" s="2" t="s">
        <v>316</v>
      </c>
      <c r="G202" s="3" t="s">
        <v>3833</v>
      </c>
      <c r="H202" s="4" t="s">
        <v>30</v>
      </c>
      <c r="I202" s="4" t="s">
        <v>135</v>
      </c>
      <c r="J202" s="23" t="s">
        <v>317</v>
      </c>
      <c r="K202" s="27"/>
      <c r="L202" s="28"/>
      <c r="M202" s="28"/>
      <c r="N202" s="28">
        <v>2</v>
      </c>
      <c r="O202" s="28">
        <v>2</v>
      </c>
      <c r="P202" s="28">
        <v>3</v>
      </c>
      <c r="Q202" s="28">
        <v>2</v>
      </c>
      <c r="R202" s="28"/>
      <c r="S202" s="28"/>
      <c r="T202" s="28"/>
      <c r="U202" s="28"/>
      <c r="V202" s="34"/>
    </row>
    <row r="203" spans="2:22">
      <c r="B203" s="17" t="s">
        <v>1157</v>
      </c>
      <c r="C203" s="3">
        <v>33079</v>
      </c>
      <c r="D203" s="18" t="s">
        <v>259</v>
      </c>
      <c r="E203" s="18" t="s">
        <v>260</v>
      </c>
      <c r="F203" s="2" t="s">
        <v>318</v>
      </c>
      <c r="G203" s="3" t="s">
        <v>3833</v>
      </c>
      <c r="H203" s="4" t="s">
        <v>30</v>
      </c>
      <c r="I203" s="4" t="s">
        <v>55</v>
      </c>
      <c r="J203" s="23" t="s">
        <v>319</v>
      </c>
      <c r="K203" s="27"/>
      <c r="L203" s="28"/>
      <c r="M203" s="28"/>
      <c r="N203" s="28">
        <v>3</v>
      </c>
      <c r="O203" s="28"/>
      <c r="P203" s="28">
        <v>1</v>
      </c>
      <c r="Q203" s="28"/>
      <c r="R203" s="28"/>
      <c r="S203" s="28"/>
      <c r="T203" s="28"/>
      <c r="U203" s="28"/>
      <c r="V203" s="34"/>
    </row>
    <row r="204" spans="2:22">
      <c r="B204" s="17" t="s">
        <v>1157</v>
      </c>
      <c r="C204" s="3">
        <v>33079</v>
      </c>
      <c r="D204" s="18" t="s">
        <v>259</v>
      </c>
      <c r="E204" s="18" t="s">
        <v>260</v>
      </c>
      <c r="F204" s="2" t="s">
        <v>320</v>
      </c>
      <c r="G204" s="3" t="s">
        <v>3835</v>
      </c>
      <c r="H204" s="4" t="s">
        <v>30</v>
      </c>
      <c r="I204" s="4" t="s">
        <v>138</v>
      </c>
      <c r="J204" s="23" t="s">
        <v>321</v>
      </c>
      <c r="K204" s="27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34"/>
    </row>
    <row r="205" spans="2:22">
      <c r="B205" s="17" t="s">
        <v>1157</v>
      </c>
      <c r="C205" s="3">
        <v>33079</v>
      </c>
      <c r="D205" s="18" t="s">
        <v>259</v>
      </c>
      <c r="E205" s="18" t="s">
        <v>260</v>
      </c>
      <c r="F205" s="2" t="s">
        <v>322</v>
      </c>
      <c r="G205" s="3" t="s">
        <v>3836</v>
      </c>
      <c r="H205" s="4" t="s">
        <v>30</v>
      </c>
      <c r="I205" s="4" t="s">
        <v>72</v>
      </c>
      <c r="J205" s="23" t="s">
        <v>323</v>
      </c>
      <c r="K205" s="27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34"/>
    </row>
    <row r="206" spans="2:22">
      <c r="B206" s="17" t="s">
        <v>1157</v>
      </c>
      <c r="C206" s="3">
        <v>33079</v>
      </c>
      <c r="D206" s="18" t="s">
        <v>259</v>
      </c>
      <c r="E206" s="18" t="s">
        <v>260</v>
      </c>
      <c r="F206" s="2" t="s">
        <v>324</v>
      </c>
      <c r="G206" s="3" t="s">
        <v>3832</v>
      </c>
      <c r="H206" s="4" t="s">
        <v>30</v>
      </c>
      <c r="I206" s="4" t="s">
        <v>325</v>
      </c>
      <c r="J206" s="23" t="s">
        <v>326</v>
      </c>
      <c r="K206" s="27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34"/>
    </row>
    <row r="207" spans="2:22">
      <c r="B207" s="17" t="s">
        <v>1157</v>
      </c>
      <c r="C207" s="3">
        <v>33079</v>
      </c>
      <c r="D207" s="18" t="s">
        <v>259</v>
      </c>
      <c r="E207" s="18" t="s">
        <v>260</v>
      </c>
      <c r="F207" s="2" t="s">
        <v>327</v>
      </c>
      <c r="G207" s="3" t="s">
        <v>3836</v>
      </c>
      <c r="H207" s="4" t="s">
        <v>30</v>
      </c>
      <c r="I207" s="4" t="s">
        <v>328</v>
      </c>
      <c r="J207" s="23" t="s">
        <v>329</v>
      </c>
      <c r="K207" s="27"/>
      <c r="L207" s="28"/>
      <c r="M207" s="28"/>
      <c r="N207" s="28">
        <v>3</v>
      </c>
      <c r="O207" s="28"/>
      <c r="P207" s="28"/>
      <c r="Q207" s="28"/>
      <c r="R207" s="28"/>
      <c r="S207" s="28"/>
      <c r="T207" s="28"/>
      <c r="U207" s="28"/>
      <c r="V207" s="34"/>
    </row>
    <row r="208" spans="2:22">
      <c r="B208" s="17" t="s">
        <v>1157</v>
      </c>
      <c r="C208" s="3">
        <v>33079</v>
      </c>
      <c r="D208" s="18" t="s">
        <v>259</v>
      </c>
      <c r="E208" s="18" t="s">
        <v>260</v>
      </c>
      <c r="F208" s="2" t="s">
        <v>330</v>
      </c>
      <c r="G208" s="3" t="s">
        <v>3835</v>
      </c>
      <c r="H208" s="4" t="s">
        <v>30</v>
      </c>
      <c r="I208" s="4" t="s">
        <v>253</v>
      </c>
      <c r="J208" s="23" t="s">
        <v>331</v>
      </c>
      <c r="K208" s="27"/>
      <c r="L208" s="28"/>
      <c r="M208" s="28"/>
      <c r="N208" s="28">
        <v>2</v>
      </c>
      <c r="O208" s="28">
        <v>5</v>
      </c>
      <c r="P208" s="28">
        <v>6</v>
      </c>
      <c r="Q208" s="28">
        <v>7</v>
      </c>
      <c r="R208" s="28"/>
      <c r="S208" s="28"/>
      <c r="T208" s="28"/>
      <c r="U208" s="28"/>
      <c r="V208" s="34"/>
    </row>
    <row r="209" spans="2:22">
      <c r="B209" s="17" t="s">
        <v>1157</v>
      </c>
      <c r="C209" s="3">
        <v>33079</v>
      </c>
      <c r="D209" s="18" t="s">
        <v>259</v>
      </c>
      <c r="E209" s="18" t="s">
        <v>260</v>
      </c>
      <c r="F209" s="2" t="s">
        <v>332</v>
      </c>
      <c r="G209" s="3" t="s">
        <v>3835</v>
      </c>
      <c r="H209" s="4" t="s">
        <v>30</v>
      </c>
      <c r="I209" s="4" t="s">
        <v>253</v>
      </c>
      <c r="J209" s="23" t="s">
        <v>333</v>
      </c>
      <c r="K209" s="27"/>
      <c r="L209" s="28"/>
      <c r="M209" s="28"/>
      <c r="N209" s="28">
        <v>2</v>
      </c>
      <c r="O209" s="28">
        <v>6</v>
      </c>
      <c r="P209" s="28">
        <v>3</v>
      </c>
      <c r="Q209" s="28">
        <v>4</v>
      </c>
      <c r="R209" s="28"/>
      <c r="S209" s="28"/>
      <c r="T209" s="28"/>
      <c r="U209" s="28"/>
      <c r="V209" s="34"/>
    </row>
    <row r="210" spans="2:22">
      <c r="B210" s="17" t="s">
        <v>1157</v>
      </c>
      <c r="C210" s="3">
        <v>33079</v>
      </c>
      <c r="D210" s="18" t="s">
        <v>259</v>
      </c>
      <c r="E210" s="18" t="s">
        <v>260</v>
      </c>
      <c r="F210" s="2" t="s">
        <v>340</v>
      </c>
      <c r="G210" s="3" t="s">
        <v>3835</v>
      </c>
      <c r="H210" s="4" t="s">
        <v>21</v>
      </c>
      <c r="I210" s="4" t="s">
        <v>341</v>
      </c>
      <c r="J210" s="23" t="s">
        <v>342</v>
      </c>
      <c r="K210" s="27"/>
      <c r="L210" s="28"/>
      <c r="M210" s="28"/>
      <c r="N210" s="28">
        <v>2</v>
      </c>
      <c r="O210" s="28">
        <v>4</v>
      </c>
      <c r="P210" s="28">
        <v>5</v>
      </c>
      <c r="Q210" s="28">
        <v>5</v>
      </c>
      <c r="R210" s="28"/>
      <c r="S210" s="28"/>
      <c r="T210" s="28"/>
      <c r="U210" s="28"/>
      <c r="V210" s="34"/>
    </row>
    <row r="211" spans="2:22">
      <c r="B211" s="17" t="s">
        <v>1157</v>
      </c>
      <c r="C211" s="3">
        <v>33079</v>
      </c>
      <c r="D211" s="18" t="s">
        <v>259</v>
      </c>
      <c r="E211" s="18" t="s">
        <v>260</v>
      </c>
      <c r="F211" s="2" t="s">
        <v>343</v>
      </c>
      <c r="G211" s="3" t="s">
        <v>3832</v>
      </c>
      <c r="H211" s="4" t="s">
        <v>21</v>
      </c>
      <c r="I211" s="4" t="s">
        <v>344</v>
      </c>
      <c r="J211" s="23" t="s">
        <v>345</v>
      </c>
      <c r="K211" s="27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34"/>
    </row>
    <row r="212" spans="2:22">
      <c r="B212" s="17" t="s">
        <v>1157</v>
      </c>
      <c r="C212" s="3">
        <v>33079</v>
      </c>
      <c r="D212" s="18" t="s">
        <v>259</v>
      </c>
      <c r="E212" s="18" t="s">
        <v>260</v>
      </c>
      <c r="F212" s="2" t="s">
        <v>351</v>
      </c>
      <c r="G212" s="3" t="s">
        <v>3835</v>
      </c>
      <c r="H212" s="4" t="s">
        <v>21</v>
      </c>
      <c r="I212" s="4" t="s">
        <v>62</v>
      </c>
      <c r="J212" s="23" t="s">
        <v>352</v>
      </c>
      <c r="K212" s="27"/>
      <c r="L212" s="28"/>
      <c r="M212" s="28"/>
      <c r="N212" s="28">
        <v>4</v>
      </c>
      <c r="O212" s="28">
        <v>6</v>
      </c>
      <c r="P212" s="28">
        <v>8</v>
      </c>
      <c r="Q212" s="28">
        <v>8</v>
      </c>
      <c r="R212" s="28"/>
      <c r="S212" s="28"/>
      <c r="T212" s="28"/>
      <c r="U212" s="28"/>
      <c r="V212" s="34"/>
    </row>
    <row r="213" spans="2:22">
      <c r="B213" s="17" t="s">
        <v>1157</v>
      </c>
      <c r="C213" s="3">
        <v>33079</v>
      </c>
      <c r="D213" s="18" t="s">
        <v>259</v>
      </c>
      <c r="E213" s="18" t="s">
        <v>260</v>
      </c>
      <c r="F213" s="2" t="s">
        <v>353</v>
      </c>
      <c r="G213" s="3" t="s">
        <v>3835</v>
      </c>
      <c r="H213" s="4" t="s">
        <v>21</v>
      </c>
      <c r="I213" s="4" t="s">
        <v>62</v>
      </c>
      <c r="J213" s="23" t="s">
        <v>354</v>
      </c>
      <c r="K213" s="27"/>
      <c r="L213" s="28"/>
      <c r="M213" s="28"/>
      <c r="N213" s="28">
        <v>7</v>
      </c>
      <c r="O213" s="28">
        <v>10</v>
      </c>
      <c r="P213" s="28">
        <v>13</v>
      </c>
      <c r="Q213" s="28">
        <v>17</v>
      </c>
      <c r="R213" s="28"/>
      <c r="S213" s="28"/>
      <c r="T213" s="28"/>
      <c r="U213" s="28"/>
      <c r="V213" s="34"/>
    </row>
    <row r="214" spans="2:22">
      <c r="B214" s="17" t="s">
        <v>1157</v>
      </c>
      <c r="C214" s="3">
        <v>33079</v>
      </c>
      <c r="D214" s="18" t="s">
        <v>259</v>
      </c>
      <c r="E214" s="18" t="s">
        <v>260</v>
      </c>
      <c r="F214" s="2" t="s">
        <v>357</v>
      </c>
      <c r="G214" s="3" t="s">
        <v>3832</v>
      </c>
      <c r="H214" s="4" t="s">
        <v>21</v>
      </c>
      <c r="I214" s="4" t="s">
        <v>358</v>
      </c>
      <c r="J214" s="23" t="s">
        <v>359</v>
      </c>
      <c r="K214" s="27"/>
      <c r="L214" s="28"/>
      <c r="M214" s="28"/>
      <c r="N214" s="28"/>
      <c r="O214" s="28">
        <v>5</v>
      </c>
      <c r="P214" s="28">
        <v>3</v>
      </c>
      <c r="Q214" s="28">
        <v>4</v>
      </c>
      <c r="R214" s="28"/>
      <c r="S214" s="28"/>
      <c r="T214" s="28"/>
      <c r="U214" s="28"/>
      <c r="V214" s="34"/>
    </row>
    <row r="215" spans="2:22">
      <c r="B215" s="17" t="s">
        <v>1157</v>
      </c>
      <c r="C215" s="3">
        <v>33079</v>
      </c>
      <c r="D215" s="18" t="s">
        <v>259</v>
      </c>
      <c r="E215" s="18" t="s">
        <v>260</v>
      </c>
      <c r="F215" s="2" t="s">
        <v>362</v>
      </c>
      <c r="G215" s="3" t="s">
        <v>3834</v>
      </c>
      <c r="H215" s="4" t="s">
        <v>21</v>
      </c>
      <c r="I215" s="4" t="s">
        <v>35</v>
      </c>
      <c r="J215" s="23" t="s">
        <v>363</v>
      </c>
      <c r="K215" s="27"/>
      <c r="L215" s="28"/>
      <c r="M215" s="28"/>
      <c r="N215" s="28">
        <v>6</v>
      </c>
      <c r="O215" s="28">
        <v>15</v>
      </c>
      <c r="P215" s="28">
        <v>11</v>
      </c>
      <c r="Q215" s="28">
        <v>12</v>
      </c>
      <c r="R215" s="28"/>
      <c r="S215" s="28"/>
      <c r="T215" s="28"/>
      <c r="U215" s="28"/>
      <c r="V215" s="34"/>
    </row>
    <row r="216" spans="2:22">
      <c r="B216" s="17" t="s">
        <v>1157</v>
      </c>
      <c r="C216" s="3">
        <v>33079</v>
      </c>
      <c r="D216" s="18" t="s">
        <v>259</v>
      </c>
      <c r="E216" s="18" t="s">
        <v>260</v>
      </c>
      <c r="F216" s="2" t="s">
        <v>364</v>
      </c>
      <c r="G216" s="3" t="s">
        <v>3834</v>
      </c>
      <c r="H216" s="4" t="s">
        <v>21</v>
      </c>
      <c r="I216" s="4" t="s">
        <v>35</v>
      </c>
      <c r="J216" s="23" t="s">
        <v>365</v>
      </c>
      <c r="K216" s="27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34"/>
    </row>
    <row r="217" spans="2:22">
      <c r="B217" s="17" t="s">
        <v>1157</v>
      </c>
      <c r="C217" s="3">
        <v>33079</v>
      </c>
      <c r="D217" s="18" t="s">
        <v>259</v>
      </c>
      <c r="E217" s="18" t="s">
        <v>260</v>
      </c>
      <c r="F217" s="2" t="s">
        <v>366</v>
      </c>
      <c r="G217" s="3" t="s">
        <v>3834</v>
      </c>
      <c r="H217" s="4" t="s">
        <v>21</v>
      </c>
      <c r="I217" s="4" t="s">
        <v>84</v>
      </c>
      <c r="J217" s="23" t="s">
        <v>367</v>
      </c>
      <c r="K217" s="27"/>
      <c r="L217" s="28"/>
      <c r="M217" s="28"/>
      <c r="N217" s="28">
        <v>3</v>
      </c>
      <c r="O217" s="28">
        <v>12</v>
      </c>
      <c r="P217" s="28">
        <v>10</v>
      </c>
      <c r="Q217" s="28">
        <v>6</v>
      </c>
      <c r="R217" s="28"/>
      <c r="S217" s="28"/>
      <c r="T217" s="28"/>
      <c r="U217" s="28"/>
      <c r="V217" s="34"/>
    </row>
    <row r="218" spans="2:22">
      <c r="B218" s="17" t="s">
        <v>1157</v>
      </c>
      <c r="C218" s="3">
        <v>33079</v>
      </c>
      <c r="D218" s="18" t="s">
        <v>259</v>
      </c>
      <c r="E218" s="18" t="s">
        <v>260</v>
      </c>
      <c r="F218" s="2" t="s">
        <v>384</v>
      </c>
      <c r="G218" s="3" t="s">
        <v>3834</v>
      </c>
      <c r="H218" s="4" t="s">
        <v>21</v>
      </c>
      <c r="I218" s="4" t="s">
        <v>35</v>
      </c>
      <c r="J218" s="23" t="s">
        <v>385</v>
      </c>
      <c r="K218" s="27"/>
      <c r="L218" s="28"/>
      <c r="M218" s="28"/>
      <c r="N218" s="28">
        <v>4</v>
      </c>
      <c r="O218" s="28">
        <v>6</v>
      </c>
      <c r="P218" s="28">
        <v>9</v>
      </c>
      <c r="Q218" s="28">
        <v>5</v>
      </c>
      <c r="R218" s="28"/>
      <c r="S218" s="28"/>
      <c r="T218" s="28"/>
      <c r="U218" s="28"/>
      <c r="V218" s="34"/>
    </row>
    <row r="219" spans="2:22">
      <c r="B219" s="17" t="s">
        <v>1157</v>
      </c>
      <c r="C219" s="3">
        <v>33079</v>
      </c>
      <c r="D219" s="18" t="s">
        <v>259</v>
      </c>
      <c r="E219" s="18" t="s">
        <v>260</v>
      </c>
      <c r="F219" s="2" t="s">
        <v>388</v>
      </c>
      <c r="G219" s="3" t="s">
        <v>3833</v>
      </c>
      <c r="H219" s="4" t="s">
        <v>46</v>
      </c>
      <c r="I219" s="4" t="s">
        <v>163</v>
      </c>
      <c r="J219" s="23" t="s">
        <v>389</v>
      </c>
      <c r="K219" s="27"/>
      <c r="L219" s="28"/>
      <c r="M219" s="28"/>
      <c r="N219" s="28">
        <v>2</v>
      </c>
      <c r="O219" s="28">
        <v>4</v>
      </c>
      <c r="P219" s="28">
        <v>4</v>
      </c>
      <c r="Q219" s="28">
        <v>8</v>
      </c>
      <c r="R219" s="28"/>
      <c r="S219" s="28"/>
      <c r="T219" s="28"/>
      <c r="U219" s="28"/>
      <c r="V219" s="34"/>
    </row>
    <row r="220" spans="2:22">
      <c r="B220" s="17" t="s">
        <v>1157</v>
      </c>
      <c r="C220" s="3">
        <v>33079</v>
      </c>
      <c r="D220" s="18" t="s">
        <v>259</v>
      </c>
      <c r="E220" s="18" t="s">
        <v>260</v>
      </c>
      <c r="F220" s="2" t="s">
        <v>390</v>
      </c>
      <c r="G220" s="3" t="s">
        <v>3833</v>
      </c>
      <c r="H220" s="4" t="s">
        <v>46</v>
      </c>
      <c r="I220" s="4" t="s">
        <v>391</v>
      </c>
      <c r="J220" s="23" t="s">
        <v>392</v>
      </c>
      <c r="K220" s="27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34"/>
    </row>
    <row r="221" spans="2:22">
      <c r="B221" s="17" t="s">
        <v>1157</v>
      </c>
      <c r="C221" s="3">
        <v>33079</v>
      </c>
      <c r="D221" s="18" t="s">
        <v>259</v>
      </c>
      <c r="E221" s="18" t="s">
        <v>260</v>
      </c>
      <c r="F221" s="2" t="s">
        <v>393</v>
      </c>
      <c r="G221" s="3" t="s">
        <v>3833</v>
      </c>
      <c r="H221" s="4" t="s">
        <v>46</v>
      </c>
      <c r="I221" s="4" t="s">
        <v>394</v>
      </c>
      <c r="J221" s="23" t="s">
        <v>395</v>
      </c>
      <c r="K221" s="27"/>
      <c r="L221" s="28"/>
      <c r="M221" s="28"/>
      <c r="N221" s="28">
        <v>1</v>
      </c>
      <c r="O221" s="28">
        <v>6</v>
      </c>
      <c r="P221" s="28">
        <v>2</v>
      </c>
      <c r="Q221" s="28">
        <v>3</v>
      </c>
      <c r="R221" s="28"/>
      <c r="S221" s="28"/>
      <c r="T221" s="28"/>
      <c r="U221" s="28"/>
      <c r="V221" s="34"/>
    </row>
    <row r="222" spans="2:22">
      <c r="B222" s="17" t="s">
        <v>1157</v>
      </c>
      <c r="C222" s="3">
        <v>33079</v>
      </c>
      <c r="D222" s="18" t="s">
        <v>259</v>
      </c>
      <c r="E222" s="18" t="s">
        <v>260</v>
      </c>
      <c r="F222" s="2" t="s">
        <v>396</v>
      </c>
      <c r="G222" s="3" t="s">
        <v>3833</v>
      </c>
      <c r="H222" s="4" t="s">
        <v>46</v>
      </c>
      <c r="I222" s="4" t="s">
        <v>47</v>
      </c>
      <c r="J222" s="23" t="s">
        <v>397</v>
      </c>
      <c r="K222" s="27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34"/>
    </row>
    <row r="223" spans="2:22">
      <c r="B223" s="17" t="s">
        <v>1157</v>
      </c>
      <c r="C223" s="3">
        <v>33079</v>
      </c>
      <c r="D223" s="18" t="s">
        <v>259</v>
      </c>
      <c r="E223" s="18" t="s">
        <v>260</v>
      </c>
      <c r="F223" s="2" t="s">
        <v>398</v>
      </c>
      <c r="G223" s="3" t="s">
        <v>3833</v>
      </c>
      <c r="H223" s="4" t="s">
        <v>46</v>
      </c>
      <c r="I223" s="4" t="s">
        <v>47</v>
      </c>
      <c r="J223" s="23" t="s">
        <v>399</v>
      </c>
      <c r="K223" s="27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34"/>
    </row>
    <row r="224" spans="2:22">
      <c r="B224" s="17" t="s">
        <v>1157</v>
      </c>
      <c r="C224" s="3">
        <v>33079</v>
      </c>
      <c r="D224" s="18" t="s">
        <v>259</v>
      </c>
      <c r="E224" s="18" t="s">
        <v>260</v>
      </c>
      <c r="F224" s="2" t="s">
        <v>400</v>
      </c>
      <c r="G224" s="3" t="s">
        <v>3833</v>
      </c>
      <c r="H224" s="4" t="s">
        <v>46</v>
      </c>
      <c r="I224" s="4" t="s">
        <v>401</v>
      </c>
      <c r="J224" s="23" t="s">
        <v>402</v>
      </c>
      <c r="K224" s="27"/>
      <c r="L224" s="28"/>
      <c r="M224" s="28"/>
      <c r="N224" s="28">
        <v>2</v>
      </c>
      <c r="O224" s="28">
        <v>4</v>
      </c>
      <c r="P224" s="28">
        <v>3</v>
      </c>
      <c r="Q224" s="28">
        <v>4</v>
      </c>
      <c r="R224" s="28"/>
      <c r="S224" s="28"/>
      <c r="T224" s="28"/>
      <c r="U224" s="28"/>
      <c r="V224" s="34"/>
    </row>
    <row r="225" spans="2:22">
      <c r="B225" s="17" t="s">
        <v>1157</v>
      </c>
      <c r="C225" s="3">
        <v>33079</v>
      </c>
      <c r="D225" s="18" t="s">
        <v>259</v>
      </c>
      <c r="E225" s="18" t="s">
        <v>260</v>
      </c>
      <c r="F225" s="2" t="s">
        <v>403</v>
      </c>
      <c r="G225" s="3" t="s">
        <v>3833</v>
      </c>
      <c r="H225" s="4" t="s">
        <v>46</v>
      </c>
      <c r="I225" s="4" t="s">
        <v>401</v>
      </c>
      <c r="J225" s="23" t="s">
        <v>404</v>
      </c>
      <c r="K225" s="27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34"/>
    </row>
    <row r="226" spans="2:22">
      <c r="B226" s="17" t="s">
        <v>1157</v>
      </c>
      <c r="C226" s="3">
        <v>33079</v>
      </c>
      <c r="D226" s="18" t="s">
        <v>259</v>
      </c>
      <c r="E226" s="18" t="s">
        <v>260</v>
      </c>
      <c r="F226" s="2" t="s">
        <v>405</v>
      </c>
      <c r="G226" s="3" t="s">
        <v>3833</v>
      </c>
      <c r="H226" s="4" t="s">
        <v>46</v>
      </c>
      <c r="I226" s="4" t="s">
        <v>250</v>
      </c>
      <c r="J226" s="23" t="s">
        <v>406</v>
      </c>
      <c r="K226" s="27"/>
      <c r="L226" s="28"/>
      <c r="M226" s="28"/>
      <c r="N226" s="28">
        <v>2</v>
      </c>
      <c r="O226" s="28">
        <v>3</v>
      </c>
      <c r="P226" s="28">
        <v>5</v>
      </c>
      <c r="Q226" s="28">
        <v>1</v>
      </c>
      <c r="R226" s="28"/>
      <c r="S226" s="28"/>
      <c r="T226" s="28"/>
      <c r="U226" s="28"/>
      <c r="V226" s="34"/>
    </row>
    <row r="227" spans="2:22">
      <c r="B227" s="17" t="s">
        <v>1157</v>
      </c>
      <c r="C227" s="3">
        <v>33079</v>
      </c>
      <c r="D227" s="18" t="s">
        <v>259</v>
      </c>
      <c r="E227" s="18" t="s">
        <v>260</v>
      </c>
      <c r="F227" s="2" t="s">
        <v>407</v>
      </c>
      <c r="G227" s="3" t="s">
        <v>3833</v>
      </c>
      <c r="H227" s="4" t="s">
        <v>46</v>
      </c>
      <c r="I227" s="4" t="s">
        <v>250</v>
      </c>
      <c r="J227" s="23" t="s">
        <v>408</v>
      </c>
      <c r="K227" s="27"/>
      <c r="L227" s="28"/>
      <c r="M227" s="28"/>
      <c r="N227" s="28">
        <v>1</v>
      </c>
      <c r="O227" s="28">
        <v>4</v>
      </c>
      <c r="P227" s="28">
        <v>5</v>
      </c>
      <c r="Q227" s="28">
        <v>4</v>
      </c>
      <c r="R227" s="28"/>
      <c r="S227" s="28"/>
      <c r="T227" s="28"/>
      <c r="U227" s="28"/>
      <c r="V227" s="34"/>
    </row>
    <row r="228" spans="2:22">
      <c r="B228" s="17" t="s">
        <v>1157</v>
      </c>
      <c r="C228" s="3">
        <v>33079</v>
      </c>
      <c r="D228" s="18" t="s">
        <v>259</v>
      </c>
      <c r="E228" s="18" t="s">
        <v>260</v>
      </c>
      <c r="F228" s="2" t="s">
        <v>409</v>
      </c>
      <c r="G228" s="3" t="s">
        <v>3833</v>
      </c>
      <c r="H228" s="4" t="s">
        <v>46</v>
      </c>
      <c r="I228" s="4" t="s">
        <v>410</v>
      </c>
      <c r="J228" s="23" t="s">
        <v>411</v>
      </c>
      <c r="K228" s="27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34"/>
    </row>
    <row r="229" spans="2:22">
      <c r="B229" s="17" t="s">
        <v>1157</v>
      </c>
      <c r="C229" s="3">
        <v>33079</v>
      </c>
      <c r="D229" s="18" t="s">
        <v>259</v>
      </c>
      <c r="E229" s="18" t="s">
        <v>260</v>
      </c>
      <c r="F229" s="2" t="s">
        <v>412</v>
      </c>
      <c r="G229" s="3" t="s">
        <v>3833</v>
      </c>
      <c r="H229" s="4" t="s">
        <v>46</v>
      </c>
      <c r="I229" s="4" t="s">
        <v>401</v>
      </c>
      <c r="J229" s="23" t="s">
        <v>413</v>
      </c>
      <c r="K229" s="27"/>
      <c r="L229" s="28"/>
      <c r="M229" s="28"/>
      <c r="N229" s="28">
        <v>4</v>
      </c>
      <c r="O229" s="28"/>
      <c r="P229" s="28"/>
      <c r="Q229" s="28"/>
      <c r="R229" s="28"/>
      <c r="S229" s="28"/>
      <c r="T229" s="28"/>
      <c r="U229" s="28"/>
      <c r="V229" s="34"/>
    </row>
    <row r="230" spans="2:22">
      <c r="B230" s="17" t="s">
        <v>1157</v>
      </c>
      <c r="C230" s="3">
        <v>33079</v>
      </c>
      <c r="D230" s="18" t="s">
        <v>259</v>
      </c>
      <c r="E230" s="18" t="s">
        <v>260</v>
      </c>
      <c r="F230" s="2" t="s">
        <v>418</v>
      </c>
      <c r="G230" s="3" t="s">
        <v>3836</v>
      </c>
      <c r="H230" s="4" t="s">
        <v>30</v>
      </c>
      <c r="I230" s="4" t="s">
        <v>271</v>
      </c>
      <c r="J230" s="23" t="s">
        <v>419</v>
      </c>
      <c r="K230" s="27"/>
      <c r="L230" s="28"/>
      <c r="M230" s="28"/>
      <c r="N230" s="28"/>
      <c r="O230" s="28">
        <v>1</v>
      </c>
      <c r="P230" s="28"/>
      <c r="Q230" s="28"/>
      <c r="R230" s="28"/>
      <c r="S230" s="28"/>
      <c r="T230" s="28"/>
      <c r="U230" s="28"/>
      <c r="V230" s="34"/>
    </row>
    <row r="231" spans="2:22">
      <c r="B231" s="17" t="s">
        <v>1157</v>
      </c>
      <c r="C231" s="3">
        <v>33092</v>
      </c>
      <c r="D231" s="18" t="s">
        <v>259</v>
      </c>
      <c r="E231" s="18" t="s">
        <v>348</v>
      </c>
      <c r="F231" s="2" t="s">
        <v>420</v>
      </c>
      <c r="G231" s="3" t="s">
        <v>3832</v>
      </c>
      <c r="H231" s="4" t="s">
        <v>30</v>
      </c>
      <c r="I231" s="4" t="s">
        <v>325</v>
      </c>
      <c r="J231" s="23" t="s">
        <v>421</v>
      </c>
      <c r="K231" s="27"/>
      <c r="L231" s="28"/>
      <c r="M231" s="28"/>
      <c r="N231" s="28"/>
      <c r="O231" s="28">
        <v>4</v>
      </c>
      <c r="P231" s="28">
        <v>2</v>
      </c>
      <c r="Q231" s="28"/>
      <c r="R231" s="28"/>
      <c r="S231" s="28"/>
      <c r="T231" s="28"/>
      <c r="U231" s="28"/>
      <c r="V231" s="34"/>
    </row>
    <row r="232" spans="2:22">
      <c r="B232" s="17" t="s">
        <v>1157</v>
      </c>
      <c r="C232" s="3">
        <v>33079</v>
      </c>
      <c r="D232" s="18" t="s">
        <v>259</v>
      </c>
      <c r="E232" s="18" t="s">
        <v>260</v>
      </c>
      <c r="F232" s="2" t="s">
        <v>424</v>
      </c>
      <c r="G232" s="3" t="s">
        <v>3835</v>
      </c>
      <c r="H232" s="4" t="s">
        <v>21</v>
      </c>
      <c r="I232" s="4" t="s">
        <v>128</v>
      </c>
      <c r="J232" s="23" t="s">
        <v>425</v>
      </c>
      <c r="K232" s="27"/>
      <c r="L232" s="28"/>
      <c r="M232" s="28"/>
      <c r="N232" s="28">
        <v>4</v>
      </c>
      <c r="O232" s="28">
        <v>5</v>
      </c>
      <c r="P232" s="28">
        <v>7</v>
      </c>
      <c r="Q232" s="28">
        <v>7</v>
      </c>
      <c r="R232" s="28"/>
      <c r="S232" s="28"/>
      <c r="T232" s="28"/>
      <c r="U232" s="28"/>
      <c r="V232" s="34"/>
    </row>
    <row r="233" spans="2:22">
      <c r="B233" s="17" t="s">
        <v>1157</v>
      </c>
      <c r="C233" s="3">
        <v>81982</v>
      </c>
      <c r="D233" s="18" t="s">
        <v>259</v>
      </c>
      <c r="E233" s="18" t="s">
        <v>426</v>
      </c>
      <c r="F233" s="2" t="s">
        <v>427</v>
      </c>
      <c r="G233" s="3" t="s">
        <v>3835</v>
      </c>
      <c r="H233" s="4" t="s">
        <v>30</v>
      </c>
      <c r="I233" s="4" t="s">
        <v>253</v>
      </c>
      <c r="J233" s="23" t="s">
        <v>428</v>
      </c>
      <c r="K233" s="27"/>
      <c r="L233" s="28"/>
      <c r="M233" s="28"/>
      <c r="N233" s="28"/>
      <c r="O233" s="28"/>
      <c r="P233" s="28"/>
      <c r="Q233" s="28">
        <v>10</v>
      </c>
      <c r="R233" s="28"/>
      <c r="S233" s="28"/>
      <c r="T233" s="28"/>
      <c r="U233" s="28"/>
      <c r="V233" s="34"/>
    </row>
    <row r="234" spans="2:22">
      <c r="B234" s="17" t="s">
        <v>1157</v>
      </c>
      <c r="C234" s="3">
        <v>33179</v>
      </c>
      <c r="D234" s="18" t="s">
        <v>109</v>
      </c>
      <c r="E234" s="18" t="s">
        <v>429</v>
      </c>
      <c r="F234" s="3" t="s">
        <v>430</v>
      </c>
      <c r="G234" s="3" t="s">
        <v>3834</v>
      </c>
      <c r="H234" s="4" t="s">
        <v>21</v>
      </c>
      <c r="I234" s="4" t="s">
        <v>35</v>
      </c>
      <c r="J234" s="23" t="s">
        <v>431</v>
      </c>
      <c r="K234" s="35"/>
      <c r="L234" s="36"/>
      <c r="M234" s="36"/>
      <c r="N234" s="36"/>
      <c r="O234" s="36">
        <v>10</v>
      </c>
      <c r="P234" s="36"/>
      <c r="Q234" s="36"/>
      <c r="R234" s="36"/>
      <c r="S234" s="36">
        <v>2</v>
      </c>
      <c r="T234" s="36">
        <v>2</v>
      </c>
      <c r="U234" s="36">
        <v>2</v>
      </c>
      <c r="V234" s="29"/>
    </row>
    <row r="235" spans="2:22">
      <c r="B235" s="17" t="s">
        <v>1157</v>
      </c>
      <c r="C235" s="3">
        <v>81874</v>
      </c>
      <c r="D235" s="18" t="s">
        <v>432</v>
      </c>
      <c r="E235" s="18" t="s">
        <v>433</v>
      </c>
      <c r="F235" s="3" t="s">
        <v>434</v>
      </c>
      <c r="G235" s="3" t="s">
        <v>3834</v>
      </c>
      <c r="H235" s="4" t="s">
        <v>21</v>
      </c>
      <c r="I235" s="4" t="s">
        <v>35</v>
      </c>
      <c r="J235" s="23" t="s">
        <v>435</v>
      </c>
      <c r="K235" s="35"/>
      <c r="L235" s="36"/>
      <c r="M235" s="36"/>
      <c r="N235" s="36"/>
      <c r="O235" s="36"/>
      <c r="P235" s="36"/>
      <c r="Q235" s="36"/>
      <c r="R235" s="36">
        <v>1</v>
      </c>
      <c r="S235" s="36">
        <v>2</v>
      </c>
      <c r="T235" s="36">
        <v>5</v>
      </c>
      <c r="U235" s="36"/>
      <c r="V235" s="29"/>
    </row>
    <row r="236" spans="2:22">
      <c r="B236" s="17" t="s">
        <v>1157</v>
      </c>
      <c r="C236" s="3">
        <v>81877</v>
      </c>
      <c r="D236" s="18" t="s">
        <v>432</v>
      </c>
      <c r="E236" s="18" t="s">
        <v>436</v>
      </c>
      <c r="F236" s="3" t="s">
        <v>437</v>
      </c>
      <c r="G236" s="3" t="s">
        <v>94</v>
      </c>
      <c r="H236" s="4" t="s">
        <v>21</v>
      </c>
      <c r="I236" s="4" t="s">
        <v>76</v>
      </c>
      <c r="J236" s="23" t="s">
        <v>438</v>
      </c>
      <c r="K236" s="35"/>
      <c r="L236" s="36"/>
      <c r="M236" s="36"/>
      <c r="N236" s="36"/>
      <c r="O236" s="36"/>
      <c r="P236" s="36"/>
      <c r="Q236" s="36"/>
      <c r="R236" s="36">
        <v>10</v>
      </c>
      <c r="S236" s="36"/>
      <c r="T236" s="36"/>
      <c r="U236" s="36">
        <v>3</v>
      </c>
      <c r="V236" s="29"/>
    </row>
    <row r="237" spans="2:22">
      <c r="B237" s="17" t="s">
        <v>1157</v>
      </c>
      <c r="C237" s="3">
        <v>83763</v>
      </c>
      <c r="D237" s="18" t="s">
        <v>432</v>
      </c>
      <c r="E237" s="18" t="s">
        <v>439</v>
      </c>
      <c r="F237" s="3" t="s">
        <v>440</v>
      </c>
      <c r="G237" s="3" t="s">
        <v>94</v>
      </c>
      <c r="H237" s="4" t="s">
        <v>21</v>
      </c>
      <c r="I237" s="4" t="s">
        <v>76</v>
      </c>
      <c r="J237" s="23" t="s">
        <v>441</v>
      </c>
      <c r="K237" s="35"/>
      <c r="L237" s="36"/>
      <c r="M237" s="36"/>
      <c r="N237" s="36"/>
      <c r="O237" s="36"/>
      <c r="P237" s="36"/>
      <c r="Q237" s="36">
        <v>3</v>
      </c>
      <c r="R237" s="36"/>
      <c r="S237" s="36">
        <v>5</v>
      </c>
      <c r="T237" s="36"/>
      <c r="U237" s="36">
        <v>3</v>
      </c>
      <c r="V237" s="29"/>
    </row>
    <row r="238" spans="2:22">
      <c r="B238" s="17" t="s">
        <v>1157</v>
      </c>
      <c r="C238" s="3">
        <v>81891</v>
      </c>
      <c r="D238" s="18" t="s">
        <v>432</v>
      </c>
      <c r="E238" s="18" t="s">
        <v>442</v>
      </c>
      <c r="F238" s="3" t="s">
        <v>443</v>
      </c>
      <c r="G238" s="3" t="s">
        <v>3834</v>
      </c>
      <c r="H238" s="4" t="s">
        <v>21</v>
      </c>
      <c r="I238" s="4" t="s">
        <v>35</v>
      </c>
      <c r="J238" s="23" t="s">
        <v>444</v>
      </c>
      <c r="K238" s="35"/>
      <c r="L238" s="36"/>
      <c r="M238" s="36"/>
      <c r="N238" s="36"/>
      <c r="O238" s="36"/>
      <c r="P238" s="36"/>
      <c r="Q238" s="36">
        <v>1</v>
      </c>
      <c r="R238" s="36">
        <v>3</v>
      </c>
      <c r="S238" s="36"/>
      <c r="T238" s="36"/>
      <c r="U238" s="36">
        <v>2</v>
      </c>
      <c r="V238" s="29"/>
    </row>
    <row r="239" spans="2:22">
      <c r="B239" s="17" t="s">
        <v>1157</v>
      </c>
      <c r="C239" s="3">
        <v>33438</v>
      </c>
      <c r="D239" s="18" t="s">
        <v>259</v>
      </c>
      <c r="E239" s="18" t="s">
        <v>445</v>
      </c>
      <c r="F239" s="3" t="s">
        <v>446</v>
      </c>
      <c r="G239" s="3" t="s">
        <v>3833</v>
      </c>
      <c r="H239" s="4" t="s">
        <v>46</v>
      </c>
      <c r="I239" s="4" t="s">
        <v>119</v>
      </c>
      <c r="J239" s="23" t="s">
        <v>447</v>
      </c>
      <c r="K239" s="35"/>
      <c r="L239" s="36"/>
      <c r="M239" s="36"/>
      <c r="N239" s="36"/>
      <c r="O239" s="36">
        <v>2</v>
      </c>
      <c r="P239" s="36"/>
      <c r="Q239" s="36"/>
      <c r="R239" s="36"/>
      <c r="S239" s="36"/>
      <c r="T239" s="36"/>
      <c r="U239" s="36"/>
      <c r="V239" s="29"/>
    </row>
    <row r="240" spans="2:22">
      <c r="B240" s="17" t="s">
        <v>1157</v>
      </c>
      <c r="C240" s="3">
        <v>33438</v>
      </c>
      <c r="D240" s="18" t="s">
        <v>259</v>
      </c>
      <c r="E240" s="18" t="s">
        <v>445</v>
      </c>
      <c r="F240" s="3" t="s">
        <v>448</v>
      </c>
      <c r="G240" s="3" t="s">
        <v>3833</v>
      </c>
      <c r="H240" s="4" t="s">
        <v>46</v>
      </c>
      <c r="I240" s="4" t="s">
        <v>119</v>
      </c>
      <c r="J240" s="23" t="s">
        <v>449</v>
      </c>
      <c r="K240" s="35"/>
      <c r="L240" s="36"/>
      <c r="M240" s="36"/>
      <c r="N240" s="36"/>
      <c r="O240" s="36">
        <v>2</v>
      </c>
      <c r="P240" s="36"/>
      <c r="Q240" s="36"/>
      <c r="R240" s="36"/>
      <c r="S240" s="36"/>
      <c r="T240" s="36"/>
      <c r="U240" s="36"/>
      <c r="V240" s="29"/>
    </row>
    <row r="241" spans="2:26">
      <c r="B241" s="17" t="s">
        <v>1157</v>
      </c>
      <c r="C241" s="3">
        <v>33426</v>
      </c>
      <c r="D241" s="18" t="s">
        <v>259</v>
      </c>
      <c r="E241" s="18" t="s">
        <v>450</v>
      </c>
      <c r="F241" s="3" t="s">
        <v>451</v>
      </c>
      <c r="G241" s="3" t="s">
        <v>3833</v>
      </c>
      <c r="H241" s="4" t="s">
        <v>46</v>
      </c>
      <c r="I241" s="4" t="s">
        <v>119</v>
      </c>
      <c r="J241" s="23" t="s">
        <v>452</v>
      </c>
      <c r="K241" s="35"/>
      <c r="L241" s="36"/>
      <c r="M241" s="36"/>
      <c r="N241" s="36"/>
      <c r="O241" s="36">
        <v>2</v>
      </c>
      <c r="P241" s="36"/>
      <c r="Q241" s="36"/>
      <c r="R241" s="36"/>
      <c r="S241" s="36"/>
      <c r="T241" s="36"/>
      <c r="U241" s="36"/>
      <c r="V241" s="29"/>
    </row>
    <row r="242" spans="2:26">
      <c r="B242" s="17" t="s">
        <v>1157</v>
      </c>
      <c r="C242" s="3">
        <v>33438</v>
      </c>
      <c r="D242" s="18" t="s">
        <v>259</v>
      </c>
      <c r="E242" s="18" t="s">
        <v>445</v>
      </c>
      <c r="F242" s="3" t="s">
        <v>453</v>
      </c>
      <c r="G242" s="3" t="s">
        <v>3833</v>
      </c>
      <c r="H242" s="4" t="s">
        <v>46</v>
      </c>
      <c r="I242" s="4" t="s">
        <v>119</v>
      </c>
      <c r="J242" s="23" t="s">
        <v>454</v>
      </c>
      <c r="K242" s="35"/>
      <c r="L242" s="36"/>
      <c r="M242" s="36"/>
      <c r="N242" s="36"/>
      <c r="O242" s="36">
        <v>2</v>
      </c>
      <c r="P242" s="36"/>
      <c r="Q242" s="36"/>
      <c r="R242" s="36"/>
      <c r="S242" s="36"/>
      <c r="T242" s="36"/>
      <c r="U242" s="36"/>
      <c r="V242" s="29"/>
    </row>
    <row r="243" spans="2:26">
      <c r="B243" s="17" t="s">
        <v>1157</v>
      </c>
      <c r="C243" s="3">
        <v>33431</v>
      </c>
      <c r="D243" s="18" t="s">
        <v>259</v>
      </c>
      <c r="E243" s="18" t="s">
        <v>455</v>
      </c>
      <c r="F243" s="3" t="s">
        <v>456</v>
      </c>
      <c r="G243" s="3" t="s">
        <v>3833</v>
      </c>
      <c r="H243" s="4" t="s">
        <v>46</v>
      </c>
      <c r="I243" s="4" t="s">
        <v>119</v>
      </c>
      <c r="J243" s="23" t="s">
        <v>457</v>
      </c>
      <c r="K243" s="35"/>
      <c r="L243" s="36"/>
      <c r="M243" s="36"/>
      <c r="N243" s="36"/>
      <c r="O243" s="36"/>
      <c r="P243" s="36">
        <v>10</v>
      </c>
      <c r="Q243" s="36"/>
      <c r="R243" s="36"/>
      <c r="S243" s="36"/>
      <c r="T243" s="36"/>
      <c r="U243" s="36"/>
      <c r="V243" s="29"/>
    </row>
    <row r="244" spans="2:26">
      <c r="B244" s="17" t="s">
        <v>1157</v>
      </c>
      <c r="C244" s="3">
        <v>33433</v>
      </c>
      <c r="D244" s="18" t="s">
        <v>259</v>
      </c>
      <c r="E244" s="18" t="s">
        <v>458</v>
      </c>
      <c r="F244" s="3" t="s">
        <v>459</v>
      </c>
      <c r="G244" s="3" t="s">
        <v>3833</v>
      </c>
      <c r="H244" s="4" t="s">
        <v>55</v>
      </c>
      <c r="I244" s="4" t="s">
        <v>460</v>
      </c>
      <c r="J244" s="23" t="s">
        <v>461</v>
      </c>
      <c r="K244" s="35"/>
      <c r="L244" s="36"/>
      <c r="M244" s="36"/>
      <c r="N244" s="36"/>
      <c r="O244" s="36"/>
      <c r="P244" s="36"/>
      <c r="Q244" s="36">
        <v>4</v>
      </c>
      <c r="R244" s="36"/>
      <c r="S244" s="36"/>
      <c r="T244" s="36"/>
      <c r="U244" s="36"/>
      <c r="V244" s="29"/>
    </row>
    <row r="245" spans="2:26">
      <c r="B245" s="17" t="s">
        <v>1157</v>
      </c>
      <c r="C245" s="3">
        <v>33426</v>
      </c>
      <c r="D245" s="18" t="s">
        <v>259</v>
      </c>
      <c r="E245" s="18" t="s">
        <v>450</v>
      </c>
      <c r="F245" s="60" t="s">
        <v>462</v>
      </c>
      <c r="G245" s="3" t="s">
        <v>3835</v>
      </c>
      <c r="H245" s="4" t="s">
        <v>3818</v>
      </c>
      <c r="I245" s="4" t="s">
        <v>128</v>
      </c>
      <c r="J245" s="23" t="s">
        <v>463</v>
      </c>
      <c r="K245" s="35"/>
      <c r="L245" s="36"/>
      <c r="M245" s="36"/>
      <c r="N245" s="36"/>
      <c r="O245" s="36"/>
      <c r="P245" s="36"/>
      <c r="Q245" s="36"/>
      <c r="R245" s="36">
        <v>1</v>
      </c>
      <c r="S245" s="36"/>
      <c r="T245" s="36"/>
      <c r="U245" s="36"/>
      <c r="V245" s="29"/>
    </row>
    <row r="246" spans="2:26">
      <c r="B246" s="17" t="s">
        <v>1157</v>
      </c>
      <c r="C246" s="3">
        <v>33426</v>
      </c>
      <c r="D246" s="18" t="s">
        <v>259</v>
      </c>
      <c r="E246" s="18" t="s">
        <v>450</v>
      </c>
      <c r="F246" s="3" t="s">
        <v>464</v>
      </c>
      <c r="G246" s="3" t="s">
        <v>3833</v>
      </c>
      <c r="H246" s="4" t="s">
        <v>46</v>
      </c>
      <c r="I246" s="4" t="s">
        <v>250</v>
      </c>
      <c r="J246" s="23" t="s">
        <v>465</v>
      </c>
      <c r="K246" s="35"/>
      <c r="L246" s="36"/>
      <c r="M246" s="36"/>
      <c r="N246" s="36"/>
      <c r="O246" s="36"/>
      <c r="P246" s="36"/>
      <c r="Q246" s="36"/>
      <c r="R246" s="36"/>
      <c r="S246" s="36">
        <v>1</v>
      </c>
      <c r="T246" s="36"/>
      <c r="U246" s="36"/>
      <c r="V246" s="29"/>
    </row>
    <row r="247" spans="2:26">
      <c r="B247" s="17" t="s">
        <v>1157</v>
      </c>
      <c r="C247" s="3">
        <v>81995</v>
      </c>
      <c r="D247" s="18" t="s">
        <v>109</v>
      </c>
      <c r="E247" s="18" t="s">
        <v>466</v>
      </c>
      <c r="F247" s="3" t="s">
        <v>467</v>
      </c>
      <c r="G247" s="3" t="s">
        <v>3833</v>
      </c>
      <c r="H247" s="4" t="s">
        <v>46</v>
      </c>
      <c r="I247" s="4" t="s">
        <v>119</v>
      </c>
      <c r="J247" s="23" t="s">
        <v>468</v>
      </c>
      <c r="K247" s="35"/>
      <c r="L247" s="36"/>
      <c r="M247" s="36"/>
      <c r="N247" s="36"/>
      <c r="O247" s="36"/>
      <c r="P247" s="36"/>
      <c r="Q247" s="36"/>
      <c r="R247" s="36"/>
      <c r="S247" s="36">
        <v>3</v>
      </c>
      <c r="T247" s="36"/>
      <c r="U247" s="36"/>
      <c r="V247" s="29"/>
    </row>
    <row r="248" spans="2:26">
      <c r="B248" s="17" t="s">
        <v>1157</v>
      </c>
      <c r="C248" s="3">
        <v>33270</v>
      </c>
      <c r="D248" s="18" t="s">
        <v>109</v>
      </c>
      <c r="E248" s="18" t="s">
        <v>469</v>
      </c>
      <c r="F248" s="3" t="s">
        <v>470</v>
      </c>
      <c r="G248" s="3" t="s">
        <v>3833</v>
      </c>
      <c r="H248" s="4" t="s">
        <v>46</v>
      </c>
      <c r="I248" s="4" t="s">
        <v>47</v>
      </c>
      <c r="J248" s="23" t="s">
        <v>471</v>
      </c>
      <c r="K248" s="35"/>
      <c r="L248" s="36"/>
      <c r="M248" s="36"/>
      <c r="N248" s="36"/>
      <c r="O248" s="36"/>
      <c r="P248" s="36"/>
      <c r="Q248" s="36"/>
      <c r="R248" s="36"/>
      <c r="S248" s="36"/>
      <c r="T248" s="36">
        <v>1</v>
      </c>
      <c r="U248" s="36"/>
      <c r="V248" s="29"/>
    </row>
    <row r="249" spans="2:26">
      <c r="B249" s="17" t="s">
        <v>1157</v>
      </c>
      <c r="C249" s="3">
        <v>81995</v>
      </c>
      <c r="D249" s="18" t="s">
        <v>109</v>
      </c>
      <c r="E249" s="18" t="s">
        <v>466</v>
      </c>
      <c r="F249" s="3" t="s">
        <v>467</v>
      </c>
      <c r="G249" s="3" t="s">
        <v>3833</v>
      </c>
      <c r="H249" s="4" t="s">
        <v>46</v>
      </c>
      <c r="I249" s="4" t="s">
        <v>119</v>
      </c>
      <c r="J249" s="23" t="s">
        <v>468</v>
      </c>
      <c r="K249" s="35"/>
      <c r="L249" s="36"/>
      <c r="M249" s="36"/>
      <c r="N249" s="36"/>
      <c r="O249" s="36"/>
      <c r="P249" s="36"/>
      <c r="Q249" s="36"/>
      <c r="R249" s="36"/>
      <c r="S249" s="36">
        <v>3</v>
      </c>
      <c r="T249" s="36"/>
      <c r="U249" s="36"/>
      <c r="V249" s="29"/>
    </row>
    <row r="250" spans="2:26">
      <c r="B250" s="17" t="s">
        <v>1157</v>
      </c>
      <c r="C250" s="3">
        <v>81995</v>
      </c>
      <c r="D250" s="18" t="s">
        <v>109</v>
      </c>
      <c r="E250" s="18" t="s">
        <v>466</v>
      </c>
      <c r="F250" s="3" t="s">
        <v>467</v>
      </c>
      <c r="G250" s="3" t="s">
        <v>3833</v>
      </c>
      <c r="H250" s="4" t="s">
        <v>46</v>
      </c>
      <c r="I250" s="4" t="s">
        <v>119</v>
      </c>
      <c r="J250" s="23" t="s">
        <v>468</v>
      </c>
      <c r="K250" s="35"/>
      <c r="L250" s="36"/>
      <c r="M250" s="36"/>
      <c r="N250" s="36"/>
      <c r="O250" s="36"/>
      <c r="P250" s="36"/>
      <c r="Q250" s="36"/>
      <c r="R250" s="36"/>
      <c r="S250" s="36">
        <v>3</v>
      </c>
      <c r="T250" s="36"/>
      <c r="U250" s="36"/>
      <c r="V250" s="29"/>
    </row>
    <row r="251" spans="2:26">
      <c r="B251" s="17" t="s">
        <v>1157</v>
      </c>
      <c r="C251" s="3">
        <v>81995</v>
      </c>
      <c r="D251" s="18" t="s">
        <v>109</v>
      </c>
      <c r="E251" s="18" t="s">
        <v>466</v>
      </c>
      <c r="F251" s="3" t="s">
        <v>467</v>
      </c>
      <c r="G251" s="3" t="s">
        <v>3833</v>
      </c>
      <c r="H251" s="4" t="s">
        <v>46</v>
      </c>
      <c r="I251" s="4" t="s">
        <v>119</v>
      </c>
      <c r="J251" s="23" t="s">
        <v>468</v>
      </c>
      <c r="K251" s="35"/>
      <c r="L251" s="36"/>
      <c r="M251" s="36"/>
      <c r="N251" s="36"/>
      <c r="O251" s="36"/>
      <c r="P251" s="36"/>
      <c r="Q251" s="36"/>
      <c r="R251" s="36"/>
      <c r="S251" s="36">
        <v>3</v>
      </c>
      <c r="T251" s="36"/>
      <c r="U251" s="36"/>
      <c r="V251" s="29"/>
    </row>
    <row r="252" spans="2:26">
      <c r="B252" s="17" t="s">
        <v>1157</v>
      </c>
      <c r="C252" s="3">
        <v>81995</v>
      </c>
      <c r="D252" s="18" t="s">
        <v>109</v>
      </c>
      <c r="E252" s="18" t="s">
        <v>466</v>
      </c>
      <c r="F252" s="3" t="s">
        <v>467</v>
      </c>
      <c r="G252" s="3" t="s">
        <v>3833</v>
      </c>
      <c r="H252" s="4" t="s">
        <v>46</v>
      </c>
      <c r="I252" s="4" t="s">
        <v>119</v>
      </c>
      <c r="J252" s="23" t="s">
        <v>468</v>
      </c>
      <c r="K252" s="35"/>
      <c r="L252" s="36"/>
      <c r="M252" s="36"/>
      <c r="N252" s="36"/>
      <c r="O252" s="36"/>
      <c r="P252" s="36"/>
      <c r="Q252" s="36"/>
      <c r="R252" s="36"/>
      <c r="S252" s="36">
        <v>3</v>
      </c>
      <c r="T252" s="36"/>
      <c r="U252" s="36"/>
      <c r="V252" s="29"/>
    </row>
    <row r="253" spans="2:26">
      <c r="B253" s="17" t="s">
        <v>1157</v>
      </c>
      <c r="C253" s="3">
        <v>33474</v>
      </c>
      <c r="D253" s="18" t="s">
        <v>1218</v>
      </c>
      <c r="E253" s="18" t="s">
        <v>472</v>
      </c>
      <c r="F253" s="3" t="s">
        <v>473</v>
      </c>
      <c r="G253" s="3" t="s">
        <v>3841</v>
      </c>
      <c r="H253" s="4" t="s">
        <v>474</v>
      </c>
      <c r="I253" s="4" t="s">
        <v>475</v>
      </c>
      <c r="J253" s="23" t="s">
        <v>476</v>
      </c>
      <c r="K253" s="35"/>
      <c r="L253" s="36"/>
      <c r="M253" s="36"/>
      <c r="N253" s="36"/>
      <c r="O253" s="36">
        <v>1</v>
      </c>
      <c r="P253" s="36">
        <v>0</v>
      </c>
      <c r="Q253" s="36"/>
      <c r="R253" s="36"/>
      <c r="S253" s="36"/>
      <c r="T253" s="36"/>
      <c r="U253" s="36"/>
      <c r="V253" s="29"/>
    </row>
    <row r="254" spans="2:26">
      <c r="B254" s="17" t="s">
        <v>1157</v>
      </c>
      <c r="C254" s="3">
        <v>33474</v>
      </c>
      <c r="D254" s="18" t="s">
        <v>1218</v>
      </c>
      <c r="E254" s="18" t="s">
        <v>472</v>
      </c>
      <c r="F254" s="3" t="s">
        <v>477</v>
      </c>
      <c r="G254" s="3" t="s">
        <v>3841</v>
      </c>
      <c r="H254" s="4" t="s">
        <v>474</v>
      </c>
      <c r="I254" s="4" t="s">
        <v>475</v>
      </c>
      <c r="J254" s="23" t="s">
        <v>478</v>
      </c>
      <c r="K254" s="35"/>
      <c r="L254" s="36"/>
      <c r="M254" s="36"/>
      <c r="N254" s="36"/>
      <c r="O254" s="36">
        <v>2</v>
      </c>
      <c r="P254" s="36">
        <v>0</v>
      </c>
      <c r="Q254" s="36"/>
      <c r="R254" s="36"/>
      <c r="S254" s="36"/>
      <c r="T254" s="36"/>
      <c r="U254" s="36"/>
      <c r="V254" s="29"/>
    </row>
    <row r="255" spans="2:26">
      <c r="B255" s="17" t="s">
        <v>1157</v>
      </c>
      <c r="C255" s="3">
        <v>81997</v>
      </c>
      <c r="D255" s="18" t="s">
        <v>91</v>
      </c>
      <c r="E255" s="18" t="s">
        <v>479</v>
      </c>
      <c r="F255" s="3" t="s">
        <v>480</v>
      </c>
      <c r="G255" s="3" t="s">
        <v>3835</v>
      </c>
      <c r="H255" s="4" t="s">
        <v>21</v>
      </c>
      <c r="I255" s="4" t="s">
        <v>62</v>
      </c>
      <c r="J255" s="23" t="s">
        <v>481</v>
      </c>
      <c r="K255" s="35"/>
      <c r="L255" s="36"/>
      <c r="M255" s="36"/>
      <c r="N255" s="36">
        <v>1</v>
      </c>
      <c r="O255" s="36">
        <v>2</v>
      </c>
      <c r="P255" s="36">
        <v>3</v>
      </c>
      <c r="Q255" s="36">
        <v>2</v>
      </c>
      <c r="R255" s="36"/>
      <c r="S255" s="36"/>
      <c r="T255" s="36"/>
      <c r="U255" s="36"/>
      <c r="V255" s="29"/>
      <c r="Z255" s="32">
        <v>5</v>
      </c>
    </row>
    <row r="256" spans="2:26">
      <c r="B256" s="17" t="s">
        <v>1157</v>
      </c>
      <c r="C256" s="3">
        <v>81997</v>
      </c>
      <c r="D256" s="18" t="s">
        <v>91</v>
      </c>
      <c r="E256" s="18" t="s">
        <v>479</v>
      </c>
      <c r="F256" s="3" t="s">
        <v>482</v>
      </c>
      <c r="G256" s="3" t="s">
        <v>3835</v>
      </c>
      <c r="H256" s="4" t="s">
        <v>21</v>
      </c>
      <c r="I256" s="4" t="s">
        <v>62</v>
      </c>
      <c r="J256" s="23" t="s">
        <v>483</v>
      </c>
      <c r="K256" s="35"/>
      <c r="L256" s="36"/>
      <c r="M256" s="36"/>
      <c r="N256" s="36">
        <v>4</v>
      </c>
      <c r="O256" s="36">
        <v>5</v>
      </c>
      <c r="P256" s="36">
        <v>20</v>
      </c>
      <c r="Q256" s="36">
        <v>20</v>
      </c>
      <c r="R256" s="36"/>
      <c r="S256" s="36"/>
      <c r="T256" s="36"/>
      <c r="U256" s="36"/>
      <c r="V256" s="29"/>
      <c r="Z256" s="32">
        <v>20</v>
      </c>
    </row>
    <row r="257" spans="2:26">
      <c r="B257" s="17" t="s">
        <v>1157</v>
      </c>
      <c r="C257" s="3">
        <v>33248</v>
      </c>
      <c r="D257" s="18" t="s">
        <v>91</v>
      </c>
      <c r="E257" s="18" t="s">
        <v>484</v>
      </c>
      <c r="F257" s="3" t="s">
        <v>485</v>
      </c>
      <c r="G257" s="3" t="s">
        <v>3835</v>
      </c>
      <c r="H257" s="4" t="s">
        <v>21</v>
      </c>
      <c r="I257" s="4" t="s">
        <v>62</v>
      </c>
      <c r="J257" s="23" t="s">
        <v>486</v>
      </c>
      <c r="K257" s="35"/>
      <c r="L257" s="36"/>
      <c r="M257" s="36"/>
      <c r="N257" s="36">
        <v>1</v>
      </c>
      <c r="O257" s="36">
        <v>2</v>
      </c>
      <c r="P257" s="36">
        <v>3</v>
      </c>
      <c r="Q257" s="36"/>
      <c r="R257" s="36"/>
      <c r="S257" s="36"/>
      <c r="T257" s="36"/>
      <c r="U257" s="36"/>
      <c r="V257" s="29"/>
    </row>
    <row r="258" spans="2:26">
      <c r="B258" s="17" t="s">
        <v>1157</v>
      </c>
      <c r="C258" s="3">
        <v>81997</v>
      </c>
      <c r="D258" s="18" t="s">
        <v>91</v>
      </c>
      <c r="E258" s="18" t="s">
        <v>479</v>
      </c>
      <c r="F258" s="3" t="s">
        <v>487</v>
      </c>
      <c r="G258" s="3" t="s">
        <v>3835</v>
      </c>
      <c r="H258" s="4" t="s">
        <v>21</v>
      </c>
      <c r="I258" s="4" t="s">
        <v>62</v>
      </c>
      <c r="J258" s="23" t="s">
        <v>488</v>
      </c>
      <c r="K258" s="35"/>
      <c r="L258" s="36"/>
      <c r="M258" s="36"/>
      <c r="N258" s="36">
        <v>16</v>
      </c>
      <c r="O258" s="36">
        <v>16</v>
      </c>
      <c r="P258" s="36">
        <v>19</v>
      </c>
      <c r="Q258" s="36">
        <v>20</v>
      </c>
      <c r="R258" s="36"/>
      <c r="S258" s="36"/>
      <c r="T258" s="36"/>
      <c r="U258" s="36"/>
      <c r="V258" s="29"/>
    </row>
    <row r="259" spans="2:26">
      <c r="B259" s="17" t="s">
        <v>1157</v>
      </c>
      <c r="C259" s="3">
        <v>81997</v>
      </c>
      <c r="D259" s="18" t="s">
        <v>91</v>
      </c>
      <c r="E259" s="18" t="s">
        <v>479</v>
      </c>
      <c r="F259" s="3" t="s">
        <v>489</v>
      </c>
      <c r="G259" s="3" t="s">
        <v>3835</v>
      </c>
      <c r="H259" s="4" t="s">
        <v>21</v>
      </c>
      <c r="I259" s="4" t="s">
        <v>62</v>
      </c>
      <c r="J259" s="23" t="s">
        <v>490</v>
      </c>
      <c r="K259" s="35"/>
      <c r="L259" s="36"/>
      <c r="M259" s="36"/>
      <c r="N259" s="36">
        <v>6</v>
      </c>
      <c r="O259" s="36">
        <v>6</v>
      </c>
      <c r="P259" s="36">
        <v>10</v>
      </c>
      <c r="Q259" s="36">
        <v>10</v>
      </c>
      <c r="R259" s="36"/>
      <c r="S259" s="36"/>
      <c r="T259" s="36"/>
      <c r="U259" s="36"/>
      <c r="V259" s="29"/>
    </row>
    <row r="260" spans="2:26">
      <c r="B260" s="17" t="s">
        <v>1157</v>
      </c>
      <c r="C260" s="3">
        <v>33159</v>
      </c>
      <c r="D260" s="18" t="s">
        <v>993</v>
      </c>
      <c r="E260" s="18" t="s">
        <v>491</v>
      </c>
      <c r="F260" s="60" t="s">
        <v>492</v>
      </c>
      <c r="G260" s="3" t="s">
        <v>3835</v>
      </c>
      <c r="H260" s="4" t="s">
        <v>21</v>
      </c>
      <c r="I260" s="4" t="s">
        <v>62</v>
      </c>
      <c r="J260" s="23" t="s">
        <v>493</v>
      </c>
      <c r="K260" s="35"/>
      <c r="L260" s="36"/>
      <c r="M260" s="36"/>
      <c r="N260" s="36">
        <v>1</v>
      </c>
      <c r="O260" s="36">
        <v>0</v>
      </c>
      <c r="P260" s="36">
        <v>0</v>
      </c>
      <c r="Q260" s="36"/>
      <c r="R260" s="36"/>
      <c r="S260" s="36"/>
      <c r="T260" s="36"/>
      <c r="U260" s="36"/>
      <c r="V260" s="29"/>
    </row>
    <row r="261" spans="2:26">
      <c r="B261" s="17" t="s">
        <v>1157</v>
      </c>
      <c r="C261" s="3">
        <v>33149</v>
      </c>
      <c r="D261" s="18" t="s">
        <v>91</v>
      </c>
      <c r="E261" s="18" t="s">
        <v>498</v>
      </c>
      <c r="F261" s="3" t="s">
        <v>501</v>
      </c>
      <c r="G261" s="3" t="s">
        <v>3833</v>
      </c>
      <c r="H261" s="4" t="s">
        <v>3842</v>
      </c>
      <c r="I261" s="4" t="s">
        <v>47</v>
      </c>
      <c r="J261" s="4" t="s">
        <v>502</v>
      </c>
      <c r="K261" s="37">
        <v>0</v>
      </c>
      <c r="L261" s="37">
        <v>0</v>
      </c>
      <c r="M261" s="37">
        <v>0</v>
      </c>
      <c r="N261" s="37">
        <v>3</v>
      </c>
      <c r="O261" s="37">
        <v>0</v>
      </c>
      <c r="P261" s="37">
        <v>3</v>
      </c>
      <c r="Q261" s="37">
        <v>4</v>
      </c>
      <c r="R261" s="37">
        <v>0</v>
      </c>
      <c r="S261" s="37">
        <v>0</v>
      </c>
      <c r="T261" s="37">
        <v>0</v>
      </c>
      <c r="U261" s="37"/>
      <c r="V261" s="38"/>
    </row>
    <row r="262" spans="2:26">
      <c r="B262" s="17" t="s">
        <v>1157</v>
      </c>
      <c r="C262" s="3">
        <v>33061</v>
      </c>
      <c r="D262" s="18" t="s">
        <v>993</v>
      </c>
      <c r="E262" s="18" t="s">
        <v>505</v>
      </c>
      <c r="F262" s="3" t="s">
        <v>506</v>
      </c>
      <c r="G262" s="3" t="s">
        <v>3835</v>
      </c>
      <c r="H262" s="4" t="s">
        <v>30</v>
      </c>
      <c r="I262" s="4" t="s">
        <v>507</v>
      </c>
      <c r="J262" s="4" t="s">
        <v>508</v>
      </c>
      <c r="K262" s="36"/>
      <c r="L262" s="36"/>
      <c r="M262" s="36"/>
      <c r="N262" s="36">
        <v>3</v>
      </c>
      <c r="O262" s="36"/>
      <c r="P262" s="36">
        <v>0</v>
      </c>
      <c r="Q262" s="36"/>
      <c r="R262" s="36"/>
      <c r="S262" s="36"/>
      <c r="T262" s="36"/>
      <c r="U262" s="36"/>
      <c r="V262" s="29"/>
    </row>
    <row r="263" spans="2:26">
      <c r="B263" s="17" t="s">
        <v>1157</v>
      </c>
      <c r="C263" s="3">
        <v>81995</v>
      </c>
      <c r="D263" s="18" t="s">
        <v>109</v>
      </c>
      <c r="E263" s="18" t="s">
        <v>466</v>
      </c>
      <c r="F263" s="3" t="s">
        <v>509</v>
      </c>
      <c r="G263" s="3" t="s">
        <v>3832</v>
      </c>
      <c r="H263" s="4" t="s">
        <v>3818</v>
      </c>
      <c r="I263" s="4" t="s">
        <v>3843</v>
      </c>
      <c r="J263" s="4" t="s">
        <v>510</v>
      </c>
      <c r="K263" s="36"/>
      <c r="L263" s="36"/>
      <c r="M263" s="36"/>
      <c r="N263" s="36">
        <v>4</v>
      </c>
      <c r="O263" s="36">
        <v>2</v>
      </c>
      <c r="P263" s="36">
        <v>4</v>
      </c>
      <c r="Q263" s="36"/>
      <c r="R263" s="36"/>
      <c r="S263" s="36"/>
      <c r="T263" s="36"/>
      <c r="U263" s="36"/>
      <c r="V263" s="29"/>
    </row>
    <row r="264" spans="2:26">
      <c r="B264" s="17" t="s">
        <v>1157</v>
      </c>
      <c r="C264" s="3">
        <v>81995</v>
      </c>
      <c r="D264" s="18" t="s">
        <v>109</v>
      </c>
      <c r="E264" s="18" t="s">
        <v>466</v>
      </c>
      <c r="F264" s="3" t="s">
        <v>511</v>
      </c>
      <c r="G264" s="3" t="s">
        <v>3835</v>
      </c>
      <c r="H264" s="4" t="s">
        <v>30</v>
      </c>
      <c r="I264" s="4" t="s">
        <v>3840</v>
      </c>
      <c r="J264" s="4" t="s">
        <v>512</v>
      </c>
      <c r="K264" s="36"/>
      <c r="L264" s="36"/>
      <c r="M264" s="36"/>
      <c r="N264" s="36">
        <v>2</v>
      </c>
      <c r="O264" s="36">
        <v>2</v>
      </c>
      <c r="P264" s="36">
        <v>1</v>
      </c>
      <c r="Q264" s="36">
        <v>3</v>
      </c>
      <c r="R264" s="36"/>
      <c r="S264" s="36"/>
      <c r="T264" s="36"/>
      <c r="U264" s="36"/>
      <c r="V264" s="29"/>
    </row>
    <row r="265" spans="2:26">
      <c r="B265" s="17" t="s">
        <v>1157</v>
      </c>
      <c r="C265" s="3">
        <v>81995</v>
      </c>
      <c r="D265" s="18" t="s">
        <v>109</v>
      </c>
      <c r="E265" s="18" t="s">
        <v>466</v>
      </c>
      <c r="F265" s="3" t="s">
        <v>513</v>
      </c>
      <c r="G265" s="3" t="s">
        <v>3836</v>
      </c>
      <c r="H265" s="4" t="s">
        <v>30</v>
      </c>
      <c r="I265" s="4" t="s">
        <v>3844</v>
      </c>
      <c r="J265" s="4" t="s">
        <v>514</v>
      </c>
      <c r="K265" s="36"/>
      <c r="L265" s="36"/>
      <c r="M265" s="36"/>
      <c r="N265" s="36">
        <v>1</v>
      </c>
      <c r="O265" s="36">
        <v>1</v>
      </c>
      <c r="P265" s="36">
        <v>1</v>
      </c>
      <c r="Q265" s="36">
        <v>4</v>
      </c>
      <c r="R265" s="36"/>
      <c r="S265" s="36"/>
      <c r="T265" s="36"/>
      <c r="U265" s="36"/>
      <c r="V265" s="29"/>
    </row>
    <row r="266" spans="2:26">
      <c r="B266" s="17" t="s">
        <v>1157</v>
      </c>
      <c r="C266" s="3">
        <v>81995</v>
      </c>
      <c r="D266" s="18" t="s">
        <v>109</v>
      </c>
      <c r="E266" s="18" t="s">
        <v>466</v>
      </c>
      <c r="F266" s="3" t="s">
        <v>515</v>
      </c>
      <c r="G266" s="3" t="s">
        <v>3845</v>
      </c>
      <c r="H266" s="4" t="s">
        <v>516</v>
      </c>
      <c r="I266" s="4" t="s">
        <v>517</v>
      </c>
      <c r="J266" s="4" t="s">
        <v>518</v>
      </c>
      <c r="K266" s="36"/>
      <c r="L266" s="36"/>
      <c r="M266" s="36"/>
      <c r="N266" s="36">
        <v>1</v>
      </c>
      <c r="O266" s="36">
        <v>2</v>
      </c>
      <c r="P266" s="36">
        <v>1</v>
      </c>
      <c r="Q266" s="36">
        <v>3</v>
      </c>
      <c r="R266" s="36"/>
      <c r="S266" s="36"/>
      <c r="T266" s="36"/>
      <c r="U266" s="36"/>
      <c r="V266" s="29"/>
    </row>
    <row r="267" spans="2:26">
      <c r="B267" s="17" t="s">
        <v>1157</v>
      </c>
      <c r="C267" s="3">
        <v>81995</v>
      </c>
      <c r="D267" s="18" t="s">
        <v>109</v>
      </c>
      <c r="E267" s="18" t="s">
        <v>466</v>
      </c>
      <c r="F267" s="3" t="s">
        <v>519</v>
      </c>
      <c r="G267" s="3" t="s">
        <v>3836</v>
      </c>
      <c r="H267" s="4" t="s">
        <v>3837</v>
      </c>
      <c r="I267" s="4" t="s">
        <v>182</v>
      </c>
      <c r="J267" s="4" t="s">
        <v>520</v>
      </c>
      <c r="K267" s="36"/>
      <c r="L267" s="36"/>
      <c r="M267" s="36"/>
      <c r="N267" s="36">
        <v>1</v>
      </c>
      <c r="O267" s="36">
        <v>0</v>
      </c>
      <c r="P267" s="36">
        <v>0</v>
      </c>
      <c r="Q267" s="36">
        <v>4</v>
      </c>
      <c r="R267" s="36"/>
      <c r="S267" s="36"/>
      <c r="T267" s="36"/>
      <c r="U267" s="36"/>
      <c r="V267" s="29"/>
    </row>
    <row r="268" spans="2:26">
      <c r="B268" s="17" t="s">
        <v>1157</v>
      </c>
      <c r="C268" s="3">
        <v>81995</v>
      </c>
      <c r="D268" s="18" t="s">
        <v>109</v>
      </c>
      <c r="E268" s="18" t="s">
        <v>466</v>
      </c>
      <c r="F268" s="3" t="s">
        <v>521</v>
      </c>
      <c r="G268" s="3" t="s">
        <v>3835</v>
      </c>
      <c r="H268" s="4" t="s">
        <v>30</v>
      </c>
      <c r="I268" s="4" t="s">
        <v>3840</v>
      </c>
      <c r="J268" s="4" t="s">
        <v>522</v>
      </c>
      <c r="K268" s="36"/>
      <c r="L268" s="36"/>
      <c r="M268" s="36"/>
      <c r="N268" s="36">
        <v>5</v>
      </c>
      <c r="O268" s="36">
        <v>2</v>
      </c>
      <c r="P268" s="36">
        <v>2</v>
      </c>
      <c r="Q268" s="36">
        <v>3</v>
      </c>
      <c r="R268" s="36"/>
      <c r="S268" s="36"/>
      <c r="T268" s="36"/>
      <c r="U268" s="36"/>
      <c r="V268" s="29"/>
    </row>
    <row r="269" spans="2:26">
      <c r="B269" s="17" t="s">
        <v>1157</v>
      </c>
      <c r="C269" s="3">
        <v>81995</v>
      </c>
      <c r="D269" s="18" t="s">
        <v>109</v>
      </c>
      <c r="E269" s="18" t="s">
        <v>466</v>
      </c>
      <c r="F269" s="3" t="s">
        <v>523</v>
      </c>
      <c r="G269" s="3" t="s">
        <v>3845</v>
      </c>
      <c r="H269" s="4" t="s">
        <v>3846</v>
      </c>
      <c r="I269" s="4" t="s">
        <v>524</v>
      </c>
      <c r="J269" s="4" t="s">
        <v>525</v>
      </c>
      <c r="K269" s="36"/>
      <c r="L269" s="36"/>
      <c r="M269" s="36"/>
      <c r="N269" s="36">
        <v>5</v>
      </c>
      <c r="O269" s="36">
        <v>2</v>
      </c>
      <c r="P269" s="36">
        <v>1</v>
      </c>
      <c r="Q269" s="36">
        <v>3</v>
      </c>
      <c r="R269" s="36"/>
      <c r="S269" s="36"/>
      <c r="T269" s="36"/>
      <c r="U269" s="36"/>
      <c r="V269" s="29"/>
    </row>
    <row r="270" spans="2:26">
      <c r="B270" s="17" t="s">
        <v>1157</v>
      </c>
      <c r="C270" s="3">
        <v>81997</v>
      </c>
      <c r="D270" s="18" t="s">
        <v>91</v>
      </c>
      <c r="E270" s="18" t="s">
        <v>479</v>
      </c>
      <c r="F270" s="3" t="s">
        <v>526</v>
      </c>
      <c r="G270" s="3" t="s">
        <v>3835</v>
      </c>
      <c r="H270" s="4" t="s">
        <v>21</v>
      </c>
      <c r="I270" s="4" t="s">
        <v>62</v>
      </c>
      <c r="J270" s="4" t="s">
        <v>527</v>
      </c>
      <c r="K270" s="36"/>
      <c r="L270" s="36"/>
      <c r="M270" s="36"/>
      <c r="N270" s="36"/>
      <c r="O270" s="36">
        <v>3</v>
      </c>
      <c r="P270" s="36">
        <v>14</v>
      </c>
      <c r="Q270" s="36">
        <v>10</v>
      </c>
      <c r="R270" s="36"/>
      <c r="S270" s="36"/>
      <c r="T270" s="36"/>
      <c r="U270" s="36"/>
      <c r="V270" s="29"/>
      <c r="Z270" s="32">
        <v>10</v>
      </c>
    </row>
    <row r="271" spans="2:26">
      <c r="B271" s="17" t="s">
        <v>1157</v>
      </c>
      <c r="C271" s="3">
        <v>81995</v>
      </c>
      <c r="D271" s="18" t="s">
        <v>109</v>
      </c>
      <c r="E271" s="18" t="s">
        <v>466</v>
      </c>
      <c r="F271" s="3" t="s">
        <v>528</v>
      </c>
      <c r="G271" s="3" t="s">
        <v>3835</v>
      </c>
      <c r="H271" s="4" t="s">
        <v>21</v>
      </c>
      <c r="I271" s="4" t="s">
        <v>62</v>
      </c>
      <c r="J271" s="4" t="s">
        <v>529</v>
      </c>
      <c r="K271" s="36"/>
      <c r="L271" s="36"/>
      <c r="M271" s="36"/>
      <c r="N271" s="36"/>
      <c r="O271" s="36"/>
      <c r="P271" s="36">
        <v>5</v>
      </c>
      <c r="Q271" s="36">
        <v>0</v>
      </c>
      <c r="R271" s="36"/>
      <c r="S271" s="36"/>
      <c r="T271" s="36"/>
      <c r="U271" s="36"/>
      <c r="V271" s="29"/>
      <c r="Z271" s="32">
        <v>5</v>
      </c>
    </row>
    <row r="272" spans="2:26">
      <c r="B272" s="17" t="s">
        <v>1157</v>
      </c>
      <c r="C272" s="3">
        <v>81997</v>
      </c>
      <c r="D272" s="18" t="s">
        <v>91</v>
      </c>
      <c r="E272" s="18" t="s">
        <v>479</v>
      </c>
      <c r="F272" s="3" t="s">
        <v>537</v>
      </c>
      <c r="G272" s="3" t="s">
        <v>3832</v>
      </c>
      <c r="H272" s="4" t="s">
        <v>30</v>
      </c>
      <c r="I272" s="4" t="s">
        <v>538</v>
      </c>
      <c r="J272" s="4" t="s">
        <v>539</v>
      </c>
      <c r="K272" s="36"/>
      <c r="L272" s="36"/>
      <c r="M272" s="36"/>
      <c r="N272" s="36">
        <v>1</v>
      </c>
      <c r="O272" s="36">
        <v>1</v>
      </c>
      <c r="P272" s="36">
        <v>2</v>
      </c>
      <c r="Q272" s="36">
        <v>3</v>
      </c>
      <c r="R272" s="36"/>
      <c r="S272" s="36"/>
      <c r="T272" s="36"/>
      <c r="U272" s="36"/>
      <c r="V272" s="29"/>
    </row>
    <row r="273" spans="2:22">
      <c r="B273" s="17" t="s">
        <v>1157</v>
      </c>
      <c r="C273" s="3">
        <v>33364</v>
      </c>
      <c r="D273" s="18" t="s">
        <v>432</v>
      </c>
      <c r="E273" s="18" t="s">
        <v>542</v>
      </c>
      <c r="F273" s="3" t="s">
        <v>543</v>
      </c>
      <c r="G273" s="3" t="s">
        <v>3847</v>
      </c>
      <c r="H273" s="4" t="s">
        <v>30</v>
      </c>
      <c r="I273" s="4" t="s">
        <v>544</v>
      </c>
      <c r="J273" s="4" t="s">
        <v>545</v>
      </c>
      <c r="K273" s="36"/>
      <c r="L273" s="36"/>
      <c r="M273" s="36"/>
      <c r="N273" s="36"/>
      <c r="O273" s="36">
        <v>1</v>
      </c>
      <c r="P273" s="36">
        <v>0</v>
      </c>
      <c r="Q273" s="36"/>
      <c r="R273" s="36"/>
      <c r="S273" s="36"/>
      <c r="T273" s="36"/>
      <c r="U273" s="36"/>
      <c r="V273" s="29"/>
    </row>
    <row r="274" spans="2:22">
      <c r="B274" s="17" t="s">
        <v>1157</v>
      </c>
      <c r="C274" s="3">
        <v>33375</v>
      </c>
      <c r="D274" s="18" t="s">
        <v>91</v>
      </c>
      <c r="E274" s="18" t="s">
        <v>546</v>
      </c>
      <c r="F274" s="3" t="s">
        <v>547</v>
      </c>
      <c r="G274" s="3" t="s">
        <v>3847</v>
      </c>
      <c r="H274" s="4" t="s">
        <v>30</v>
      </c>
      <c r="I274" s="4" t="s">
        <v>548</v>
      </c>
      <c r="J274" s="4" t="s">
        <v>549</v>
      </c>
      <c r="K274" s="36"/>
      <c r="L274" s="36"/>
      <c r="M274" s="36"/>
      <c r="N274" s="36"/>
      <c r="O274" s="36">
        <v>1</v>
      </c>
      <c r="P274" s="36">
        <v>0</v>
      </c>
      <c r="Q274" s="36"/>
      <c r="R274" s="36"/>
      <c r="S274" s="36"/>
      <c r="T274" s="36"/>
      <c r="U274" s="36"/>
      <c r="V274" s="29"/>
    </row>
    <row r="275" spans="2:22">
      <c r="B275" s="17" t="s">
        <v>1157</v>
      </c>
      <c r="C275" s="3">
        <v>81995</v>
      </c>
      <c r="D275" s="18" t="s">
        <v>109</v>
      </c>
      <c r="E275" s="18" t="s">
        <v>466</v>
      </c>
      <c r="F275" s="3" t="s">
        <v>550</v>
      </c>
      <c r="G275" s="3" t="s">
        <v>3835</v>
      </c>
      <c r="H275" s="4" t="s">
        <v>30</v>
      </c>
      <c r="I275" s="4" t="s">
        <v>253</v>
      </c>
      <c r="J275" s="4" t="s">
        <v>551</v>
      </c>
      <c r="K275" s="36"/>
      <c r="L275" s="36"/>
      <c r="M275" s="36"/>
      <c r="N275" s="36"/>
      <c r="O275" s="36">
        <v>2</v>
      </c>
      <c r="P275" s="36">
        <v>3</v>
      </c>
      <c r="Q275" s="36">
        <v>3</v>
      </c>
      <c r="R275" s="36"/>
      <c r="S275" s="36"/>
      <c r="T275" s="36"/>
      <c r="U275" s="36"/>
      <c r="V275" s="29"/>
    </row>
    <row r="276" spans="2:22">
      <c r="B276" s="17" t="s">
        <v>1157</v>
      </c>
      <c r="C276" s="3">
        <v>33474</v>
      </c>
      <c r="D276" s="18" t="s">
        <v>1218</v>
      </c>
      <c r="E276" s="18" t="s">
        <v>472</v>
      </c>
      <c r="F276" s="3" t="s">
        <v>473</v>
      </c>
      <c r="G276" s="3" t="s">
        <v>3841</v>
      </c>
      <c r="H276" s="4" t="s">
        <v>474</v>
      </c>
      <c r="I276" s="4" t="s">
        <v>475</v>
      </c>
      <c r="J276" s="4" t="s">
        <v>476</v>
      </c>
      <c r="K276" s="36"/>
      <c r="L276" s="36"/>
      <c r="M276" s="36"/>
      <c r="N276" s="36"/>
      <c r="O276" s="36">
        <v>1</v>
      </c>
      <c r="P276" s="36">
        <v>0</v>
      </c>
      <c r="Q276" s="36"/>
      <c r="R276" s="36"/>
      <c r="S276" s="36"/>
      <c r="T276" s="36"/>
      <c r="U276" s="36"/>
      <c r="V276" s="29"/>
    </row>
    <row r="277" spans="2:22">
      <c r="B277" s="17" t="s">
        <v>1157</v>
      </c>
      <c r="C277" s="3">
        <v>33474</v>
      </c>
      <c r="D277" s="18" t="s">
        <v>1218</v>
      </c>
      <c r="E277" s="18" t="s">
        <v>472</v>
      </c>
      <c r="F277" s="3" t="s">
        <v>477</v>
      </c>
      <c r="G277" s="3" t="s">
        <v>3841</v>
      </c>
      <c r="H277" s="4" t="s">
        <v>474</v>
      </c>
      <c r="I277" s="4" t="s">
        <v>475</v>
      </c>
      <c r="J277" s="4" t="s">
        <v>478</v>
      </c>
      <c r="K277" s="36"/>
      <c r="L277" s="36"/>
      <c r="M277" s="36"/>
      <c r="N277" s="36"/>
      <c r="O277" s="36">
        <v>2</v>
      </c>
      <c r="P277" s="36">
        <v>0</v>
      </c>
      <c r="Q277" s="36"/>
      <c r="R277" s="36"/>
      <c r="S277" s="36"/>
      <c r="T277" s="36"/>
      <c r="U277" s="36"/>
      <c r="V277" s="29"/>
    </row>
    <row r="278" spans="2:22">
      <c r="B278" s="17" t="s">
        <v>1157</v>
      </c>
      <c r="C278" s="3">
        <v>33444</v>
      </c>
      <c r="D278" s="18" t="s">
        <v>552</v>
      </c>
      <c r="E278" s="18" t="s">
        <v>553</v>
      </c>
      <c r="F278" s="3" t="s">
        <v>554</v>
      </c>
      <c r="G278" s="3" t="s">
        <v>3848</v>
      </c>
      <c r="H278" s="4" t="s">
        <v>264</v>
      </c>
      <c r="I278" s="4" t="s">
        <v>555</v>
      </c>
      <c r="J278" s="4" t="s">
        <v>556</v>
      </c>
      <c r="K278" s="36"/>
      <c r="L278" s="36"/>
      <c r="M278" s="36"/>
      <c r="N278" s="36"/>
      <c r="O278" s="36">
        <v>1</v>
      </c>
      <c r="P278" s="36">
        <v>0</v>
      </c>
      <c r="Q278" s="36"/>
      <c r="R278" s="36"/>
      <c r="S278" s="36"/>
      <c r="T278" s="36"/>
      <c r="U278" s="36"/>
      <c r="V278" s="29"/>
    </row>
    <row r="279" spans="2:22">
      <c r="B279" s="17" t="s">
        <v>1157</v>
      </c>
      <c r="C279" s="3">
        <v>33444</v>
      </c>
      <c r="D279" s="18" t="s">
        <v>552</v>
      </c>
      <c r="E279" s="18" t="s">
        <v>553</v>
      </c>
      <c r="F279" s="3" t="s">
        <v>557</v>
      </c>
      <c r="G279" s="3" t="s">
        <v>3848</v>
      </c>
      <c r="H279" s="4" t="s">
        <v>264</v>
      </c>
      <c r="I279" s="4" t="s">
        <v>555</v>
      </c>
      <c r="J279" s="4" t="s">
        <v>558</v>
      </c>
      <c r="K279" s="36"/>
      <c r="L279" s="36"/>
      <c r="M279" s="36"/>
      <c r="N279" s="36"/>
      <c r="O279" s="36">
        <v>1</v>
      </c>
      <c r="P279" s="36">
        <v>0</v>
      </c>
      <c r="Q279" s="36"/>
      <c r="R279" s="36"/>
      <c r="S279" s="36"/>
      <c r="T279" s="36"/>
      <c r="U279" s="36"/>
      <c r="V279" s="29"/>
    </row>
    <row r="280" spans="2:22">
      <c r="B280" s="17" t="s">
        <v>1157</v>
      </c>
      <c r="C280" s="3">
        <v>33375</v>
      </c>
      <c r="D280" s="18" t="s">
        <v>91</v>
      </c>
      <c r="E280" s="18" t="s">
        <v>546</v>
      </c>
      <c r="F280" s="3" t="s">
        <v>563</v>
      </c>
      <c r="G280" s="3" t="s">
        <v>3845</v>
      </c>
      <c r="H280" s="4" t="s">
        <v>3846</v>
      </c>
      <c r="I280" s="4" t="s">
        <v>565</v>
      </c>
      <c r="J280" s="4" t="s">
        <v>566</v>
      </c>
      <c r="K280" s="36"/>
      <c r="L280" s="36"/>
      <c r="M280" s="36"/>
      <c r="N280" s="36"/>
      <c r="O280" s="36">
        <v>2</v>
      </c>
      <c r="P280" s="36">
        <v>0</v>
      </c>
      <c r="Q280" s="36"/>
      <c r="R280" s="36"/>
      <c r="S280" s="36"/>
      <c r="T280" s="36"/>
      <c r="U280" s="36"/>
      <c r="V280" s="29"/>
    </row>
    <row r="281" spans="2:22">
      <c r="B281" s="17" t="s">
        <v>1157</v>
      </c>
      <c r="C281" s="3">
        <v>81995</v>
      </c>
      <c r="D281" s="18" t="s">
        <v>109</v>
      </c>
      <c r="E281" s="18" t="s">
        <v>466</v>
      </c>
      <c r="F281" s="3" t="s">
        <v>567</v>
      </c>
      <c r="G281" s="3" t="s">
        <v>3835</v>
      </c>
      <c r="H281" s="4" t="s">
        <v>21</v>
      </c>
      <c r="I281" s="4" t="s">
        <v>62</v>
      </c>
      <c r="J281" s="4" t="s">
        <v>568</v>
      </c>
      <c r="K281" s="36"/>
      <c r="L281" s="36"/>
      <c r="M281" s="36"/>
      <c r="N281" s="36"/>
      <c r="O281" s="36">
        <v>4</v>
      </c>
      <c r="P281" s="36">
        <v>22</v>
      </c>
      <c r="Q281" s="36">
        <v>15</v>
      </c>
      <c r="R281" s="36"/>
      <c r="S281" s="36"/>
      <c r="T281" s="36"/>
      <c r="U281" s="36"/>
      <c r="V281" s="29"/>
    </row>
    <row r="282" spans="2:22">
      <c r="B282" s="17" t="s">
        <v>1157</v>
      </c>
      <c r="C282" s="3">
        <v>33443</v>
      </c>
      <c r="D282" s="18" t="s">
        <v>552</v>
      </c>
      <c r="E282" s="18" t="s">
        <v>569</v>
      </c>
      <c r="F282" s="3" t="s">
        <v>570</v>
      </c>
      <c r="G282" s="3" t="s">
        <v>3848</v>
      </c>
      <c r="H282" s="4" t="s">
        <v>264</v>
      </c>
      <c r="I282" s="4" t="s">
        <v>555</v>
      </c>
      <c r="J282" s="4" t="s">
        <v>571</v>
      </c>
      <c r="K282" s="36"/>
      <c r="L282" s="36"/>
      <c r="M282" s="36"/>
      <c r="N282" s="36"/>
      <c r="O282" s="36">
        <v>1</v>
      </c>
      <c r="P282" s="36">
        <v>0</v>
      </c>
      <c r="Q282" s="36"/>
      <c r="R282" s="36"/>
      <c r="S282" s="36"/>
      <c r="T282" s="36"/>
      <c r="U282" s="36"/>
      <c r="V282" s="29"/>
    </row>
    <row r="283" spans="2:22">
      <c r="B283" s="17" t="s">
        <v>1157</v>
      </c>
      <c r="C283" s="3">
        <v>33455</v>
      </c>
      <c r="D283" s="18" t="s">
        <v>1218</v>
      </c>
      <c r="E283" s="18" t="s">
        <v>572</v>
      </c>
      <c r="F283" s="3" t="s">
        <v>573</v>
      </c>
      <c r="G283" s="3" t="s">
        <v>3841</v>
      </c>
      <c r="H283" s="4" t="s">
        <v>264</v>
      </c>
      <c r="I283" s="4" t="s">
        <v>265</v>
      </c>
      <c r="J283" s="4" t="s">
        <v>574</v>
      </c>
      <c r="K283" s="36"/>
      <c r="L283" s="36"/>
      <c r="M283" s="36"/>
      <c r="N283" s="36"/>
      <c r="O283" s="36">
        <v>1</v>
      </c>
      <c r="P283" s="36">
        <v>0</v>
      </c>
      <c r="Q283" s="36"/>
      <c r="R283" s="36"/>
      <c r="S283" s="36"/>
      <c r="T283" s="36"/>
      <c r="U283" s="36"/>
      <c r="V283" s="29"/>
    </row>
    <row r="284" spans="2:22">
      <c r="B284" s="17" t="s">
        <v>1157</v>
      </c>
      <c r="C284" s="3">
        <v>33455</v>
      </c>
      <c r="D284" s="18" t="s">
        <v>1218</v>
      </c>
      <c r="E284" s="18" t="s">
        <v>572</v>
      </c>
      <c r="F284" s="3" t="s">
        <v>575</v>
      </c>
      <c r="G284" s="3" t="s">
        <v>3841</v>
      </c>
      <c r="H284" s="4" t="s">
        <v>264</v>
      </c>
      <c r="I284" s="4" t="s">
        <v>265</v>
      </c>
      <c r="J284" s="4" t="s">
        <v>576</v>
      </c>
      <c r="K284" s="36"/>
      <c r="L284" s="36"/>
      <c r="M284" s="36"/>
      <c r="N284" s="36"/>
      <c r="O284" s="36">
        <v>1</v>
      </c>
      <c r="P284" s="36">
        <v>0</v>
      </c>
      <c r="Q284" s="36"/>
      <c r="R284" s="36"/>
      <c r="S284" s="36"/>
      <c r="T284" s="36"/>
      <c r="U284" s="36"/>
      <c r="V284" s="29"/>
    </row>
    <row r="285" spans="2:22">
      <c r="B285" s="17" t="s">
        <v>1157</v>
      </c>
      <c r="C285" s="3">
        <v>33458</v>
      </c>
      <c r="D285" s="18" t="s">
        <v>1218</v>
      </c>
      <c r="E285" s="18" t="s">
        <v>577</v>
      </c>
      <c r="F285" s="2" t="s">
        <v>578</v>
      </c>
      <c r="G285" s="3" t="s">
        <v>3841</v>
      </c>
      <c r="H285" s="4" t="s">
        <v>264</v>
      </c>
      <c r="I285" s="4" t="s">
        <v>265</v>
      </c>
      <c r="J285" s="4" t="s">
        <v>579</v>
      </c>
      <c r="K285" s="28"/>
      <c r="L285" s="28"/>
      <c r="M285" s="28"/>
      <c r="N285" s="28"/>
      <c r="O285" s="28">
        <v>1</v>
      </c>
      <c r="P285" s="28">
        <v>0</v>
      </c>
      <c r="Q285" s="28"/>
      <c r="R285" s="28"/>
      <c r="S285" s="28"/>
      <c r="T285" s="28"/>
      <c r="U285" s="28"/>
      <c r="V285" s="34"/>
    </row>
    <row r="286" spans="2:22">
      <c r="B286" s="17" t="s">
        <v>1157</v>
      </c>
      <c r="C286" s="3">
        <v>81997</v>
      </c>
      <c r="D286" s="18" t="s">
        <v>91</v>
      </c>
      <c r="E286" s="18" t="s">
        <v>479</v>
      </c>
      <c r="F286" s="2" t="s">
        <v>580</v>
      </c>
      <c r="G286" s="3" t="s">
        <v>3832</v>
      </c>
      <c r="H286" s="4" t="s">
        <v>3837</v>
      </c>
      <c r="I286" s="4" t="s">
        <v>304</v>
      </c>
      <c r="J286" s="4" t="s">
        <v>581</v>
      </c>
      <c r="K286" s="28"/>
      <c r="L286" s="28"/>
      <c r="M286" s="28"/>
      <c r="N286" s="28"/>
      <c r="O286" s="28">
        <v>1</v>
      </c>
      <c r="P286" s="28">
        <v>1</v>
      </c>
      <c r="Q286" s="28">
        <v>2</v>
      </c>
      <c r="R286" s="28"/>
      <c r="S286" s="28"/>
      <c r="T286" s="28"/>
      <c r="U286" s="28"/>
      <c r="V286" s="34"/>
    </row>
    <row r="287" spans="2:22">
      <c r="B287" s="17" t="s">
        <v>1157</v>
      </c>
      <c r="C287" s="3">
        <v>81995</v>
      </c>
      <c r="D287" s="18" t="s">
        <v>109</v>
      </c>
      <c r="E287" s="18" t="s">
        <v>466</v>
      </c>
      <c r="F287" s="2" t="s">
        <v>584</v>
      </c>
      <c r="G287" s="3" t="s">
        <v>3834</v>
      </c>
      <c r="H287" s="4" t="s">
        <v>3818</v>
      </c>
      <c r="I287" s="4" t="s">
        <v>35</v>
      </c>
      <c r="J287" s="4" t="s">
        <v>585</v>
      </c>
      <c r="K287" s="28"/>
      <c r="L287" s="28"/>
      <c r="M287" s="28"/>
      <c r="N287" s="28"/>
      <c r="O287" s="28">
        <v>2</v>
      </c>
      <c r="P287" s="28">
        <v>15</v>
      </c>
      <c r="Q287" s="28">
        <v>9</v>
      </c>
      <c r="R287" s="28"/>
      <c r="S287" s="28"/>
      <c r="T287" s="28"/>
      <c r="U287" s="28"/>
      <c r="V287" s="34"/>
    </row>
    <row r="288" spans="2:22">
      <c r="B288" s="17" t="s">
        <v>1157</v>
      </c>
      <c r="C288" s="3">
        <v>81995</v>
      </c>
      <c r="D288" s="18" t="s">
        <v>109</v>
      </c>
      <c r="E288" s="18" t="s">
        <v>466</v>
      </c>
      <c r="F288" s="2" t="s">
        <v>586</v>
      </c>
      <c r="G288" s="3" t="s">
        <v>3835</v>
      </c>
      <c r="H288" s="4" t="s">
        <v>3818</v>
      </c>
      <c r="I288" s="4" t="s">
        <v>128</v>
      </c>
      <c r="J288" s="4" t="s">
        <v>587</v>
      </c>
      <c r="K288" s="28"/>
      <c r="L288" s="28"/>
      <c r="M288" s="28"/>
      <c r="N288" s="28"/>
      <c r="O288" s="28">
        <v>2</v>
      </c>
      <c r="P288" s="28">
        <v>2</v>
      </c>
      <c r="Q288" s="28">
        <v>2</v>
      </c>
      <c r="R288" s="28"/>
      <c r="S288" s="28"/>
      <c r="T288" s="28"/>
      <c r="U288" s="28"/>
      <c r="V288" s="34"/>
    </row>
    <row r="289" spans="2:22">
      <c r="B289" s="17" t="s">
        <v>1157</v>
      </c>
      <c r="C289" s="3">
        <v>34841</v>
      </c>
      <c r="D289" s="18" t="s">
        <v>91</v>
      </c>
      <c r="E289" s="18" t="s">
        <v>588</v>
      </c>
      <c r="F289" s="2" t="s">
        <v>589</v>
      </c>
      <c r="G289" s="3" t="s">
        <v>3832</v>
      </c>
      <c r="H289" s="4" t="s">
        <v>3818</v>
      </c>
      <c r="I289" s="4" t="s">
        <v>358</v>
      </c>
      <c r="J289" s="4" t="s">
        <v>590</v>
      </c>
      <c r="K289" s="28"/>
      <c r="L289" s="28"/>
      <c r="M289" s="28"/>
      <c r="N289" s="28"/>
      <c r="O289" s="28">
        <v>3</v>
      </c>
      <c r="P289" s="28">
        <v>0</v>
      </c>
      <c r="Q289" s="28"/>
      <c r="R289" s="28"/>
      <c r="S289" s="28"/>
      <c r="T289" s="28"/>
      <c r="U289" s="28"/>
      <c r="V289" s="34"/>
    </row>
    <row r="290" spans="2:22">
      <c r="B290" s="17" t="s">
        <v>1157</v>
      </c>
      <c r="C290" s="3">
        <v>33050</v>
      </c>
      <c r="D290" s="18" t="s">
        <v>105</v>
      </c>
      <c r="E290" s="18" t="s">
        <v>106</v>
      </c>
      <c r="F290" s="2" t="s">
        <v>591</v>
      </c>
      <c r="G290" s="3" t="s">
        <v>3833</v>
      </c>
      <c r="H290" s="4" t="s">
        <v>46</v>
      </c>
      <c r="I290" s="4" t="s">
        <v>250</v>
      </c>
      <c r="J290" s="4" t="s">
        <v>592</v>
      </c>
      <c r="K290" s="28"/>
      <c r="L290" s="28"/>
      <c r="M290" s="28"/>
      <c r="N290" s="28"/>
      <c r="O290" s="28">
        <v>1</v>
      </c>
      <c r="P290" s="28">
        <v>2</v>
      </c>
      <c r="Q290" s="28">
        <v>2</v>
      </c>
      <c r="R290" s="28"/>
      <c r="S290" s="28"/>
      <c r="T290" s="28"/>
      <c r="U290" s="28"/>
      <c r="V290" s="34"/>
    </row>
    <row r="291" spans="2:22">
      <c r="B291" s="17" t="s">
        <v>1157</v>
      </c>
      <c r="C291" s="3">
        <v>33050</v>
      </c>
      <c r="D291" s="18" t="s">
        <v>105</v>
      </c>
      <c r="E291" s="18" t="s">
        <v>106</v>
      </c>
      <c r="F291" s="2" t="s">
        <v>593</v>
      </c>
      <c r="G291" s="3" t="s">
        <v>3836</v>
      </c>
      <c r="H291" s="4" t="s">
        <v>30</v>
      </c>
      <c r="I291" s="4" t="s">
        <v>182</v>
      </c>
      <c r="J291" s="4" t="s">
        <v>594</v>
      </c>
      <c r="K291" s="28"/>
      <c r="L291" s="28"/>
      <c r="M291" s="28"/>
      <c r="N291" s="28"/>
      <c r="O291" s="28">
        <v>2</v>
      </c>
      <c r="P291" s="28">
        <v>2</v>
      </c>
      <c r="Q291" s="28">
        <v>2</v>
      </c>
      <c r="R291" s="28"/>
      <c r="S291" s="28"/>
      <c r="T291" s="28"/>
      <c r="U291" s="28"/>
      <c r="V291" s="34"/>
    </row>
    <row r="292" spans="2:22">
      <c r="B292" s="17" t="s">
        <v>1157</v>
      </c>
      <c r="C292" s="3">
        <v>33050</v>
      </c>
      <c r="D292" s="18" t="s">
        <v>105</v>
      </c>
      <c r="E292" s="18" t="s">
        <v>106</v>
      </c>
      <c r="F292" s="2" t="s">
        <v>595</v>
      </c>
      <c r="G292" s="3" t="s">
        <v>3836</v>
      </c>
      <c r="H292" s="4" t="s">
        <v>30</v>
      </c>
      <c r="I292" s="4" t="s">
        <v>72</v>
      </c>
      <c r="J292" s="4" t="s">
        <v>596</v>
      </c>
      <c r="K292" s="28"/>
      <c r="L292" s="28"/>
      <c r="M292" s="28"/>
      <c r="N292" s="28"/>
      <c r="O292" s="28">
        <v>1</v>
      </c>
      <c r="P292" s="28">
        <v>2</v>
      </c>
      <c r="Q292" s="28">
        <v>2</v>
      </c>
      <c r="R292" s="28"/>
      <c r="S292" s="28"/>
      <c r="T292" s="28"/>
      <c r="U292" s="28"/>
      <c r="V292" s="34"/>
    </row>
    <row r="293" spans="2:22">
      <c r="B293" s="17" t="s">
        <v>1157</v>
      </c>
      <c r="C293" s="3">
        <v>33050</v>
      </c>
      <c r="D293" s="18" t="s">
        <v>105</v>
      </c>
      <c r="E293" s="18" t="s">
        <v>106</v>
      </c>
      <c r="F293" s="2" t="s">
        <v>597</v>
      </c>
      <c r="G293" s="3" t="s">
        <v>3835</v>
      </c>
      <c r="H293" s="4" t="s">
        <v>30</v>
      </c>
      <c r="I293" s="4" t="s">
        <v>253</v>
      </c>
      <c r="J293" s="4" t="s">
        <v>598</v>
      </c>
      <c r="K293" s="28"/>
      <c r="L293" s="28"/>
      <c r="M293" s="28"/>
      <c r="N293" s="28"/>
      <c r="O293" s="28">
        <v>2</v>
      </c>
      <c r="P293" s="28">
        <v>1</v>
      </c>
      <c r="Q293" s="28">
        <v>1</v>
      </c>
      <c r="R293" s="28"/>
      <c r="S293" s="28"/>
      <c r="T293" s="28"/>
      <c r="U293" s="28"/>
      <c r="V293" s="34"/>
    </row>
    <row r="294" spans="2:22">
      <c r="B294" s="17" t="s">
        <v>1157</v>
      </c>
      <c r="C294" s="3">
        <v>81997</v>
      </c>
      <c r="D294" s="18" t="s">
        <v>91</v>
      </c>
      <c r="E294" s="18" t="s">
        <v>479</v>
      </c>
      <c r="F294" s="2" t="s">
        <v>599</v>
      </c>
      <c r="G294" s="3" t="s">
        <v>3832</v>
      </c>
      <c r="H294" s="4" t="s">
        <v>21</v>
      </c>
      <c r="I294" s="4" t="s">
        <v>358</v>
      </c>
      <c r="J294" s="4" t="s">
        <v>600</v>
      </c>
      <c r="K294" s="28"/>
      <c r="L294" s="28"/>
      <c r="M294" s="28"/>
      <c r="N294" s="28"/>
      <c r="O294" s="28">
        <v>1</v>
      </c>
      <c r="P294" s="28">
        <v>1</v>
      </c>
      <c r="Q294" s="28">
        <v>2</v>
      </c>
      <c r="R294" s="28"/>
      <c r="S294" s="28"/>
      <c r="T294" s="28"/>
      <c r="U294" s="28"/>
      <c r="V294" s="34"/>
    </row>
    <row r="295" spans="2:22">
      <c r="B295" s="17" t="s">
        <v>1157</v>
      </c>
      <c r="C295" s="3">
        <v>33100</v>
      </c>
      <c r="D295" s="18" t="s">
        <v>91</v>
      </c>
      <c r="E295" s="18" t="s">
        <v>605</v>
      </c>
      <c r="F295" s="2" t="s">
        <v>606</v>
      </c>
      <c r="G295" s="3" t="s">
        <v>3832</v>
      </c>
      <c r="H295" s="4" t="s">
        <v>3818</v>
      </c>
      <c r="I295" s="4" t="s">
        <v>344</v>
      </c>
      <c r="J295" s="4" t="s">
        <v>607</v>
      </c>
      <c r="K295" s="28"/>
      <c r="L295" s="28"/>
      <c r="M295" s="28"/>
      <c r="N295" s="28"/>
      <c r="O295" s="28">
        <v>3</v>
      </c>
      <c r="P295" s="28">
        <v>2</v>
      </c>
      <c r="Q295" s="28">
        <v>3</v>
      </c>
      <c r="R295" s="28"/>
      <c r="S295" s="28"/>
      <c r="T295" s="28"/>
      <c r="U295" s="28"/>
      <c r="V295" s="34"/>
    </row>
    <row r="296" spans="2:22">
      <c r="B296" s="17" t="s">
        <v>1157</v>
      </c>
      <c r="C296" s="3">
        <v>81995</v>
      </c>
      <c r="D296" s="18" t="s">
        <v>109</v>
      </c>
      <c r="E296" s="18" t="s">
        <v>466</v>
      </c>
      <c r="F296" s="2" t="s">
        <v>608</v>
      </c>
      <c r="G296" s="3" t="s">
        <v>3835</v>
      </c>
      <c r="H296" s="4" t="s">
        <v>3818</v>
      </c>
      <c r="I296" s="4" t="s">
        <v>62</v>
      </c>
      <c r="J296" s="4" t="s">
        <v>609</v>
      </c>
      <c r="K296" s="28"/>
      <c r="L296" s="28"/>
      <c r="M296" s="28"/>
      <c r="N296" s="28"/>
      <c r="O296" s="28">
        <v>3</v>
      </c>
      <c r="P296" s="28">
        <v>2</v>
      </c>
      <c r="Q296" s="28">
        <v>4</v>
      </c>
      <c r="R296" s="28"/>
      <c r="S296" s="28"/>
      <c r="T296" s="28"/>
      <c r="U296" s="28"/>
      <c r="V296" s="34"/>
    </row>
    <row r="297" spans="2:22">
      <c r="B297" s="17" t="s">
        <v>1157</v>
      </c>
      <c r="C297" s="3">
        <v>33112</v>
      </c>
      <c r="D297" s="18" t="s">
        <v>109</v>
      </c>
      <c r="E297" s="18" t="s">
        <v>559</v>
      </c>
      <c r="F297" s="2" t="s">
        <v>614</v>
      </c>
      <c r="G297" s="3" t="s">
        <v>3834</v>
      </c>
      <c r="H297" s="4" t="s">
        <v>3818</v>
      </c>
      <c r="I297" s="4" t="s">
        <v>35</v>
      </c>
      <c r="J297" s="4" t="s">
        <v>615</v>
      </c>
      <c r="K297" s="28">
        <v>0</v>
      </c>
      <c r="L297" s="28">
        <v>0</v>
      </c>
      <c r="M297" s="28">
        <v>0</v>
      </c>
      <c r="N297" s="28">
        <v>0</v>
      </c>
      <c r="O297" s="28">
        <v>3</v>
      </c>
      <c r="P297" s="28">
        <v>1</v>
      </c>
      <c r="Q297" s="28">
        <v>0</v>
      </c>
      <c r="R297" s="28">
        <v>0</v>
      </c>
      <c r="S297" s="28">
        <v>0</v>
      </c>
      <c r="T297" s="28">
        <v>0</v>
      </c>
      <c r="U297" s="28"/>
      <c r="V297" s="34"/>
    </row>
    <row r="298" spans="2:22">
      <c r="B298" s="17" t="s">
        <v>1157</v>
      </c>
      <c r="C298" s="3">
        <v>81995</v>
      </c>
      <c r="D298" s="18" t="s">
        <v>109</v>
      </c>
      <c r="E298" s="18" t="s">
        <v>466</v>
      </c>
      <c r="F298" s="2" t="s">
        <v>619</v>
      </c>
      <c r="G298" s="3" t="s">
        <v>3834</v>
      </c>
      <c r="H298" s="4" t="s">
        <v>3818</v>
      </c>
      <c r="I298" s="4" t="s">
        <v>76</v>
      </c>
      <c r="J298" s="4" t="s">
        <v>620</v>
      </c>
      <c r="K298" s="28"/>
      <c r="L298" s="28"/>
      <c r="M298" s="28"/>
      <c r="N298" s="28"/>
      <c r="O298" s="28"/>
      <c r="P298" s="28">
        <v>2</v>
      </c>
      <c r="Q298" s="28">
        <v>9</v>
      </c>
      <c r="R298" s="28"/>
      <c r="S298" s="28"/>
      <c r="T298" s="28"/>
      <c r="U298" s="28"/>
      <c r="V298" s="34"/>
    </row>
    <row r="299" spans="2:22">
      <c r="B299" s="17" t="s">
        <v>1157</v>
      </c>
      <c r="C299" s="3">
        <v>81995</v>
      </c>
      <c r="D299" s="18" t="s">
        <v>109</v>
      </c>
      <c r="E299" s="18" t="s">
        <v>466</v>
      </c>
      <c r="F299" s="2" t="s">
        <v>621</v>
      </c>
      <c r="G299" s="3" t="s">
        <v>3832</v>
      </c>
      <c r="H299" s="4" t="s">
        <v>30</v>
      </c>
      <c r="I299" s="4" t="s">
        <v>299</v>
      </c>
      <c r="J299" s="4" t="s">
        <v>622</v>
      </c>
      <c r="K299" s="28"/>
      <c r="L299" s="28"/>
      <c r="M299" s="28"/>
      <c r="N299" s="28"/>
      <c r="O299" s="28">
        <v>0</v>
      </c>
      <c r="P299" s="28">
        <v>2</v>
      </c>
      <c r="Q299" s="28">
        <v>4</v>
      </c>
      <c r="R299" s="28"/>
      <c r="S299" s="28"/>
      <c r="T299" s="28"/>
      <c r="U299" s="28"/>
      <c r="V299" s="34"/>
    </row>
    <row r="300" spans="2:22">
      <c r="B300" s="17" t="s">
        <v>1157</v>
      </c>
      <c r="C300" s="3">
        <v>81995</v>
      </c>
      <c r="D300" s="18" t="s">
        <v>109</v>
      </c>
      <c r="E300" s="18" t="s">
        <v>466</v>
      </c>
      <c r="F300" s="2" t="s">
        <v>623</v>
      </c>
      <c r="G300" s="3" t="s">
        <v>3835</v>
      </c>
      <c r="H300" s="4" t="s">
        <v>30</v>
      </c>
      <c r="I300" s="4" t="s">
        <v>253</v>
      </c>
      <c r="J300" s="4" t="s">
        <v>624</v>
      </c>
      <c r="K300" s="28"/>
      <c r="L300" s="28"/>
      <c r="M300" s="28"/>
      <c r="N300" s="28"/>
      <c r="O300" s="28">
        <v>0</v>
      </c>
      <c r="P300" s="28">
        <v>3</v>
      </c>
      <c r="Q300" s="28">
        <v>3</v>
      </c>
      <c r="R300" s="28"/>
      <c r="S300" s="28"/>
      <c r="T300" s="28"/>
      <c r="U300" s="28"/>
      <c r="V300" s="34"/>
    </row>
    <row r="301" spans="2:22">
      <c r="B301" s="17" t="s">
        <v>1157</v>
      </c>
      <c r="C301" s="3">
        <v>33050</v>
      </c>
      <c r="D301" s="18" t="s">
        <v>105</v>
      </c>
      <c r="E301" s="18" t="s">
        <v>106</v>
      </c>
      <c r="F301" s="2" t="s">
        <v>629</v>
      </c>
      <c r="G301" s="3" t="s">
        <v>3833</v>
      </c>
      <c r="H301" s="4" t="s">
        <v>3837</v>
      </c>
      <c r="I301" s="4" t="s">
        <v>31</v>
      </c>
      <c r="J301" s="4" t="s">
        <v>630</v>
      </c>
      <c r="K301" s="28"/>
      <c r="L301" s="28"/>
      <c r="M301" s="28"/>
      <c r="N301" s="28"/>
      <c r="O301" s="28"/>
      <c r="P301" s="28">
        <v>3</v>
      </c>
      <c r="Q301" s="28">
        <v>4</v>
      </c>
      <c r="R301" s="28"/>
      <c r="S301" s="28"/>
      <c r="T301" s="28"/>
      <c r="U301" s="28"/>
      <c r="V301" s="34"/>
    </row>
    <row r="302" spans="2:22">
      <c r="B302" s="17" t="s">
        <v>1157</v>
      </c>
      <c r="C302" s="3">
        <v>81997</v>
      </c>
      <c r="D302" s="18" t="s">
        <v>91</v>
      </c>
      <c r="E302" s="18" t="s">
        <v>479</v>
      </c>
      <c r="F302" s="2" t="s">
        <v>631</v>
      </c>
      <c r="G302" s="3" t="s">
        <v>3834</v>
      </c>
      <c r="H302" s="4" t="s">
        <v>3818</v>
      </c>
      <c r="I302" s="4" t="s">
        <v>35</v>
      </c>
      <c r="J302" s="4" t="s">
        <v>632</v>
      </c>
      <c r="K302" s="28"/>
      <c r="L302" s="28"/>
      <c r="M302" s="28"/>
      <c r="N302" s="28"/>
      <c r="O302" s="28"/>
      <c r="P302" s="28">
        <v>5</v>
      </c>
      <c r="Q302" s="28">
        <v>2</v>
      </c>
      <c r="R302" s="28"/>
      <c r="S302" s="28"/>
      <c r="T302" s="28"/>
      <c r="U302" s="28"/>
      <c r="V302" s="34"/>
    </row>
    <row r="303" spans="2:22">
      <c r="B303" s="17" t="s">
        <v>1157</v>
      </c>
      <c r="C303" s="3">
        <v>35483</v>
      </c>
      <c r="D303" s="18" t="s">
        <v>91</v>
      </c>
      <c r="E303" s="18" t="s">
        <v>633</v>
      </c>
      <c r="F303" s="2" t="s">
        <v>634</v>
      </c>
      <c r="G303" s="3" t="s">
        <v>3835</v>
      </c>
      <c r="H303" s="4" t="s">
        <v>30</v>
      </c>
      <c r="I303" s="4" t="s">
        <v>253</v>
      </c>
      <c r="J303" s="4" t="s">
        <v>635</v>
      </c>
      <c r="K303" s="28"/>
      <c r="L303" s="28"/>
      <c r="M303" s="28"/>
      <c r="N303" s="28"/>
      <c r="O303" s="28"/>
      <c r="P303" s="28">
        <v>10</v>
      </c>
      <c r="Q303" s="28"/>
      <c r="R303" s="28"/>
      <c r="S303" s="28"/>
      <c r="T303" s="28"/>
      <c r="U303" s="28"/>
      <c r="V303" s="34"/>
    </row>
    <row r="304" spans="2:22">
      <c r="B304" s="17" t="s">
        <v>1157</v>
      </c>
      <c r="C304" s="3">
        <v>33376</v>
      </c>
      <c r="D304" s="18" t="s">
        <v>91</v>
      </c>
      <c r="E304" s="18" t="s">
        <v>638</v>
      </c>
      <c r="F304" s="2" t="s">
        <v>639</v>
      </c>
      <c r="G304" s="3" t="s">
        <v>3832</v>
      </c>
      <c r="H304" s="4" t="s">
        <v>3837</v>
      </c>
      <c r="I304" s="4" t="s">
        <v>50</v>
      </c>
      <c r="J304" s="4" t="s">
        <v>640</v>
      </c>
      <c r="K304" s="28"/>
      <c r="L304" s="28"/>
      <c r="M304" s="28"/>
      <c r="N304" s="28"/>
      <c r="O304" s="28"/>
      <c r="P304" s="28">
        <v>6</v>
      </c>
      <c r="Q304" s="28">
        <v>4</v>
      </c>
      <c r="R304" s="28"/>
      <c r="S304" s="28"/>
      <c r="T304" s="28"/>
      <c r="U304" s="28"/>
      <c r="V304" s="29"/>
    </row>
    <row r="305" spans="2:22">
      <c r="B305" s="17" t="s">
        <v>1157</v>
      </c>
      <c r="C305" s="3">
        <v>81995</v>
      </c>
      <c r="D305" s="18" t="s">
        <v>109</v>
      </c>
      <c r="E305" s="18" t="s">
        <v>466</v>
      </c>
      <c r="F305" s="2" t="s">
        <v>641</v>
      </c>
      <c r="G305" s="3" t="s">
        <v>3833</v>
      </c>
      <c r="H305" s="4" t="s">
        <v>3837</v>
      </c>
      <c r="I305" s="4" t="s">
        <v>135</v>
      </c>
      <c r="J305" s="4" t="s">
        <v>642</v>
      </c>
      <c r="K305" s="28"/>
      <c r="L305" s="28"/>
      <c r="M305" s="28"/>
      <c r="N305" s="28"/>
      <c r="O305" s="28"/>
      <c r="P305" s="28">
        <v>5</v>
      </c>
      <c r="Q305" s="28">
        <v>0</v>
      </c>
      <c r="R305" s="28"/>
      <c r="S305" s="28"/>
      <c r="T305" s="28"/>
      <c r="U305" s="28"/>
      <c r="V305" s="29"/>
    </row>
    <row r="306" spans="2:22">
      <c r="B306" s="17" t="s">
        <v>1157</v>
      </c>
      <c r="C306" s="3">
        <v>81995</v>
      </c>
      <c r="D306" s="18" t="s">
        <v>109</v>
      </c>
      <c r="E306" s="18" t="s">
        <v>466</v>
      </c>
      <c r="F306" s="2" t="s">
        <v>643</v>
      </c>
      <c r="G306" s="3" t="s">
        <v>3833</v>
      </c>
      <c r="H306" s="4" t="s">
        <v>46</v>
      </c>
      <c r="I306" s="4" t="s">
        <v>644</v>
      </c>
      <c r="J306" s="4" t="s">
        <v>645</v>
      </c>
      <c r="K306" s="28"/>
      <c r="L306" s="28"/>
      <c r="M306" s="28"/>
      <c r="N306" s="28"/>
      <c r="O306" s="28"/>
      <c r="P306" s="28">
        <v>5</v>
      </c>
      <c r="Q306" s="28">
        <v>0</v>
      </c>
      <c r="R306" s="28"/>
      <c r="S306" s="28"/>
      <c r="T306" s="28"/>
      <c r="U306" s="28"/>
      <c r="V306" s="29"/>
    </row>
    <row r="307" spans="2:22">
      <c r="B307" s="17" t="s">
        <v>1157</v>
      </c>
      <c r="C307" s="3">
        <v>81995</v>
      </c>
      <c r="D307" s="18" t="s">
        <v>109</v>
      </c>
      <c r="E307" s="18" t="s">
        <v>466</v>
      </c>
      <c r="F307" s="2" t="s">
        <v>646</v>
      </c>
      <c r="G307" s="3" t="s">
        <v>3833</v>
      </c>
      <c r="H307" s="4" t="s">
        <v>46</v>
      </c>
      <c r="I307" s="4" t="s">
        <v>391</v>
      </c>
      <c r="J307" s="4" t="s">
        <v>647</v>
      </c>
      <c r="K307" s="28"/>
      <c r="L307" s="28"/>
      <c r="M307" s="28"/>
      <c r="N307" s="28"/>
      <c r="O307" s="28"/>
      <c r="P307" s="28"/>
      <c r="Q307" s="28">
        <v>1</v>
      </c>
      <c r="R307" s="28"/>
      <c r="S307" s="28"/>
      <c r="T307" s="28"/>
      <c r="U307" s="28"/>
      <c r="V307" s="29"/>
    </row>
    <row r="308" spans="2:22">
      <c r="B308" s="17" t="s">
        <v>1157</v>
      </c>
      <c r="C308" s="3">
        <v>81995</v>
      </c>
      <c r="D308" s="18" t="s">
        <v>109</v>
      </c>
      <c r="E308" s="18" t="s">
        <v>466</v>
      </c>
      <c r="F308" s="2" t="s">
        <v>650</v>
      </c>
      <c r="G308" s="3" t="s">
        <v>3845</v>
      </c>
      <c r="H308" s="4" t="s">
        <v>1145</v>
      </c>
      <c r="I308" s="4" t="s">
        <v>516</v>
      </c>
      <c r="J308" s="4" t="s">
        <v>652</v>
      </c>
      <c r="K308" s="28"/>
      <c r="L308" s="28"/>
      <c r="M308" s="28"/>
      <c r="N308" s="28"/>
      <c r="O308" s="28"/>
      <c r="P308" s="28">
        <v>0</v>
      </c>
      <c r="Q308" s="28">
        <v>1</v>
      </c>
      <c r="R308" s="28"/>
      <c r="S308" s="28"/>
      <c r="T308" s="28"/>
      <c r="U308" s="28"/>
      <c r="V308" s="29"/>
    </row>
    <row r="309" spans="2:22">
      <c r="B309" s="17" t="s">
        <v>1157</v>
      </c>
      <c r="C309" s="3">
        <v>81995</v>
      </c>
      <c r="D309" s="18" t="s">
        <v>109</v>
      </c>
      <c r="E309" s="18" t="s">
        <v>466</v>
      </c>
      <c r="F309" s="2" t="s">
        <v>653</v>
      </c>
      <c r="G309" s="3" t="s">
        <v>3832</v>
      </c>
      <c r="H309" s="4" t="s">
        <v>3818</v>
      </c>
      <c r="I309" s="4" t="s">
        <v>22</v>
      </c>
      <c r="J309" s="4" t="s">
        <v>654</v>
      </c>
      <c r="K309" s="28"/>
      <c r="L309" s="28"/>
      <c r="M309" s="28"/>
      <c r="N309" s="28"/>
      <c r="O309" s="28"/>
      <c r="P309" s="28"/>
      <c r="Q309" s="28">
        <v>1</v>
      </c>
      <c r="R309" s="28"/>
      <c r="S309" s="28"/>
      <c r="T309" s="28"/>
      <c r="U309" s="28"/>
      <c r="V309" s="29"/>
    </row>
    <row r="310" spans="2:22">
      <c r="B310" s="17" t="s">
        <v>1157</v>
      </c>
      <c r="C310" s="3">
        <v>81995</v>
      </c>
      <c r="D310" s="18" t="s">
        <v>109</v>
      </c>
      <c r="E310" s="18" t="s">
        <v>466</v>
      </c>
      <c r="F310" s="2" t="s">
        <v>655</v>
      </c>
      <c r="G310" s="3" t="s">
        <v>3832</v>
      </c>
      <c r="H310" s="4" t="s">
        <v>3818</v>
      </c>
      <c r="I310" s="4" t="s">
        <v>358</v>
      </c>
      <c r="J310" s="4" t="s">
        <v>656</v>
      </c>
      <c r="K310" s="28"/>
      <c r="L310" s="28"/>
      <c r="M310" s="28"/>
      <c r="N310" s="28"/>
      <c r="O310" s="28"/>
      <c r="P310" s="28"/>
      <c r="Q310" s="28">
        <v>1</v>
      </c>
      <c r="R310" s="28"/>
      <c r="S310" s="28"/>
      <c r="T310" s="28"/>
      <c r="U310" s="28"/>
      <c r="V310" s="29"/>
    </row>
    <row r="311" spans="2:22">
      <c r="B311" s="17" t="s">
        <v>1157</v>
      </c>
      <c r="C311" s="3">
        <v>81995</v>
      </c>
      <c r="D311" s="18" t="s">
        <v>109</v>
      </c>
      <c r="E311" s="18" t="s">
        <v>466</v>
      </c>
      <c r="F311" s="2" t="s">
        <v>659</v>
      </c>
      <c r="G311" s="3" t="s">
        <v>3835</v>
      </c>
      <c r="H311" s="4" t="s">
        <v>3818</v>
      </c>
      <c r="I311" s="4" t="s">
        <v>62</v>
      </c>
      <c r="J311" s="4" t="s">
        <v>660</v>
      </c>
      <c r="K311" s="28"/>
      <c r="L311" s="28"/>
      <c r="M311" s="28"/>
      <c r="N311" s="28"/>
      <c r="O311" s="28"/>
      <c r="P311" s="28"/>
      <c r="Q311" s="28">
        <v>4</v>
      </c>
      <c r="R311" s="28"/>
      <c r="S311" s="28"/>
      <c r="T311" s="28"/>
      <c r="U311" s="28"/>
      <c r="V311" s="29"/>
    </row>
    <row r="312" spans="2:22">
      <c r="B312" s="17" t="s">
        <v>1157</v>
      </c>
      <c r="C312" s="3">
        <v>33192</v>
      </c>
      <c r="D312" s="18" t="s">
        <v>109</v>
      </c>
      <c r="E312" s="18" t="s">
        <v>661</v>
      </c>
      <c r="F312" s="2" t="s">
        <v>662</v>
      </c>
      <c r="G312" s="3" t="s">
        <v>3832</v>
      </c>
      <c r="H312" s="4" t="s">
        <v>663</v>
      </c>
      <c r="I312" s="4" t="s">
        <v>299</v>
      </c>
      <c r="J312" s="4" t="s">
        <v>664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5</v>
      </c>
      <c r="Q312" s="28">
        <v>25</v>
      </c>
      <c r="R312" s="28">
        <v>13</v>
      </c>
      <c r="S312" s="28">
        <v>0</v>
      </c>
      <c r="T312" s="28"/>
      <c r="U312" s="28"/>
      <c r="V312" s="29"/>
    </row>
    <row r="313" spans="2:22">
      <c r="B313" s="17" t="s">
        <v>1157</v>
      </c>
      <c r="C313" s="3">
        <v>33192</v>
      </c>
      <c r="D313" s="18" t="s">
        <v>109</v>
      </c>
      <c r="E313" s="18" t="s">
        <v>661</v>
      </c>
      <c r="F313" s="2" t="s">
        <v>674</v>
      </c>
      <c r="G313" s="3" t="s">
        <v>3832</v>
      </c>
      <c r="H313" s="4" t="s">
        <v>663</v>
      </c>
      <c r="I313" s="4" t="s">
        <v>299</v>
      </c>
      <c r="J313" s="4" t="s">
        <v>675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1</v>
      </c>
      <c r="R313" s="28">
        <v>0</v>
      </c>
      <c r="S313" s="28">
        <v>0</v>
      </c>
      <c r="T313" s="28"/>
      <c r="U313" s="28"/>
      <c r="V313" s="29"/>
    </row>
    <row r="314" spans="2:22">
      <c r="B314" s="17" t="s">
        <v>1157</v>
      </c>
      <c r="C314" s="3">
        <v>33192</v>
      </c>
      <c r="D314" s="18" t="s">
        <v>109</v>
      </c>
      <c r="E314" s="18" t="s">
        <v>661</v>
      </c>
      <c r="F314" s="2" t="s">
        <v>676</v>
      </c>
      <c r="G314" s="3" t="s">
        <v>3832</v>
      </c>
      <c r="H314" s="4" t="s">
        <v>663</v>
      </c>
      <c r="I314" s="4" t="s">
        <v>299</v>
      </c>
      <c r="J314" s="4" t="s">
        <v>677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1</v>
      </c>
      <c r="R314" s="28">
        <v>0</v>
      </c>
      <c r="S314" s="28">
        <v>0</v>
      </c>
      <c r="T314" s="28"/>
      <c r="U314" s="28"/>
      <c r="V314" s="29"/>
    </row>
    <row r="315" spans="2:22">
      <c r="B315" s="17" t="s">
        <v>1157</v>
      </c>
      <c r="C315" s="3">
        <v>81997</v>
      </c>
      <c r="D315" s="18" t="s">
        <v>91</v>
      </c>
      <c r="E315" s="18" t="s">
        <v>479</v>
      </c>
      <c r="F315" s="59" t="s">
        <v>680</v>
      </c>
      <c r="G315" s="3" t="s">
        <v>3835</v>
      </c>
      <c r="H315" s="4" t="s">
        <v>3818</v>
      </c>
      <c r="I315" s="4" t="s">
        <v>62</v>
      </c>
      <c r="J315" s="4" t="s">
        <v>681</v>
      </c>
      <c r="K315" s="28"/>
      <c r="L315" s="28"/>
      <c r="M315" s="28"/>
      <c r="N315" s="28"/>
      <c r="O315" s="28"/>
      <c r="P315" s="28"/>
      <c r="Q315" s="28">
        <v>2</v>
      </c>
      <c r="R315" s="28"/>
      <c r="S315" s="28"/>
      <c r="T315" s="28"/>
      <c r="U315" s="28"/>
      <c r="V315" s="29"/>
    </row>
    <row r="316" spans="2:22">
      <c r="B316" s="17" t="s">
        <v>1157</v>
      </c>
      <c r="C316" s="3">
        <v>33223</v>
      </c>
      <c r="D316" s="18" t="s">
        <v>91</v>
      </c>
      <c r="E316" s="18" t="s">
        <v>682</v>
      </c>
      <c r="F316" s="59" t="s">
        <v>683</v>
      </c>
      <c r="G316" s="3" t="s">
        <v>3835</v>
      </c>
      <c r="H316" s="4" t="s">
        <v>21</v>
      </c>
      <c r="I316" s="4" t="s">
        <v>128</v>
      </c>
      <c r="J316" s="4" t="s">
        <v>684</v>
      </c>
      <c r="K316" s="28"/>
      <c r="L316" s="28"/>
      <c r="M316" s="28"/>
      <c r="N316" s="28">
        <v>5</v>
      </c>
      <c r="O316" s="28"/>
      <c r="P316" s="28"/>
      <c r="Q316" s="28"/>
      <c r="R316" s="28"/>
      <c r="S316" s="28"/>
      <c r="T316" s="28"/>
      <c r="U316" s="28"/>
      <c r="V316" s="29"/>
    </row>
    <row r="317" spans="2:22">
      <c r="B317" s="17" t="s">
        <v>1157</v>
      </c>
      <c r="C317" s="3">
        <v>81997</v>
      </c>
      <c r="D317" s="18" t="s">
        <v>91</v>
      </c>
      <c r="E317" s="18" t="s">
        <v>479</v>
      </c>
      <c r="F317" s="2" t="s">
        <v>685</v>
      </c>
      <c r="G317" s="3" t="s">
        <v>3835</v>
      </c>
      <c r="H317" s="4" t="s">
        <v>21</v>
      </c>
      <c r="I317" s="4" t="s">
        <v>128</v>
      </c>
      <c r="J317" s="4" t="s">
        <v>686</v>
      </c>
      <c r="K317" s="28"/>
      <c r="L317" s="28"/>
      <c r="M317" s="28"/>
      <c r="N317" s="28"/>
      <c r="O317" s="28">
        <v>12</v>
      </c>
      <c r="P317" s="28">
        <v>15</v>
      </c>
      <c r="Q317" s="28">
        <v>10</v>
      </c>
      <c r="R317" s="28"/>
      <c r="S317" s="28"/>
      <c r="T317" s="28"/>
      <c r="U317" s="28"/>
      <c r="V317" s="29"/>
    </row>
    <row r="318" spans="2:22">
      <c r="B318" s="17" t="s">
        <v>1157</v>
      </c>
      <c r="C318" s="3">
        <v>81997</v>
      </c>
      <c r="D318" s="18" t="s">
        <v>91</v>
      </c>
      <c r="E318" s="18" t="s">
        <v>479</v>
      </c>
      <c r="F318" s="2" t="s">
        <v>687</v>
      </c>
      <c r="G318" s="3" t="s">
        <v>3835</v>
      </c>
      <c r="H318" s="4" t="s">
        <v>21</v>
      </c>
      <c r="I318" s="4" t="s">
        <v>128</v>
      </c>
      <c r="J318" s="4" t="s">
        <v>688</v>
      </c>
      <c r="K318" s="28"/>
      <c r="L318" s="28"/>
      <c r="M318" s="28"/>
      <c r="N318" s="28"/>
      <c r="O318" s="28">
        <v>3</v>
      </c>
      <c r="P318" s="28">
        <v>10</v>
      </c>
      <c r="Q318" s="28">
        <v>10</v>
      </c>
      <c r="R318" s="28"/>
      <c r="S318" s="28"/>
      <c r="T318" s="28"/>
      <c r="U318" s="28"/>
      <c r="V318" s="29"/>
    </row>
    <row r="319" spans="2:22">
      <c r="B319" s="17" t="s">
        <v>1157</v>
      </c>
      <c r="C319" s="3">
        <v>81995</v>
      </c>
      <c r="D319" s="18" t="s">
        <v>109</v>
      </c>
      <c r="E319" s="18" t="s">
        <v>466</v>
      </c>
      <c r="F319" s="2" t="s">
        <v>689</v>
      </c>
      <c r="G319" s="3" t="s">
        <v>3832</v>
      </c>
      <c r="H319" s="4" t="s">
        <v>30</v>
      </c>
      <c r="I319" s="4" t="s">
        <v>299</v>
      </c>
      <c r="J319" s="4" t="s">
        <v>690</v>
      </c>
      <c r="K319" s="28"/>
      <c r="L319" s="28"/>
      <c r="M319" s="28"/>
      <c r="N319" s="28"/>
      <c r="O319" s="28"/>
      <c r="P319" s="28"/>
      <c r="Q319" s="28">
        <v>5</v>
      </c>
      <c r="R319" s="28"/>
      <c r="S319" s="28"/>
      <c r="T319" s="28"/>
      <c r="U319" s="28"/>
      <c r="V319" s="29"/>
    </row>
    <row r="320" spans="2:22">
      <c r="B320" s="17" t="s">
        <v>1157</v>
      </c>
      <c r="C320" s="3">
        <v>81995</v>
      </c>
      <c r="D320" s="18" t="s">
        <v>109</v>
      </c>
      <c r="E320" s="18" t="s">
        <v>466</v>
      </c>
      <c r="F320" s="2" t="s">
        <v>691</v>
      </c>
      <c r="G320" s="3" t="s">
        <v>3834</v>
      </c>
      <c r="H320" s="4" t="s">
        <v>3818</v>
      </c>
      <c r="I320" s="4" t="s">
        <v>76</v>
      </c>
      <c r="J320" s="4" t="s">
        <v>692</v>
      </c>
      <c r="K320" s="28"/>
      <c r="L320" s="28"/>
      <c r="M320" s="28"/>
      <c r="N320" s="28"/>
      <c r="O320" s="28"/>
      <c r="P320" s="28"/>
      <c r="Q320" s="28">
        <v>4</v>
      </c>
      <c r="R320" s="28"/>
      <c r="S320" s="28"/>
      <c r="T320" s="28"/>
      <c r="U320" s="28"/>
      <c r="V320" s="29"/>
    </row>
    <row r="321" spans="2:22">
      <c r="B321" s="17" t="s">
        <v>1157</v>
      </c>
      <c r="C321" s="3">
        <v>81995</v>
      </c>
      <c r="D321" s="18" t="s">
        <v>109</v>
      </c>
      <c r="E321" s="18" t="s">
        <v>466</v>
      </c>
      <c r="F321" s="2" t="s">
        <v>693</v>
      </c>
      <c r="G321" s="3" t="s">
        <v>3833</v>
      </c>
      <c r="H321" s="4" t="s">
        <v>3837</v>
      </c>
      <c r="I321" s="4" t="s">
        <v>55</v>
      </c>
      <c r="J321" s="4" t="s">
        <v>694</v>
      </c>
      <c r="K321" s="28"/>
      <c r="L321" s="28"/>
      <c r="M321" s="28"/>
      <c r="N321" s="28"/>
      <c r="O321" s="28"/>
      <c r="P321" s="28"/>
      <c r="Q321" s="28">
        <v>2</v>
      </c>
      <c r="R321" s="28"/>
      <c r="S321" s="28"/>
      <c r="T321" s="28"/>
      <c r="U321" s="28"/>
      <c r="V321" s="29"/>
    </row>
    <row r="322" spans="2:22">
      <c r="B322" s="17" t="s">
        <v>1157</v>
      </c>
      <c r="C322" s="3">
        <v>81874</v>
      </c>
      <c r="D322" s="18" t="s">
        <v>432</v>
      </c>
      <c r="E322" s="18" t="s">
        <v>433</v>
      </c>
      <c r="F322" s="2" t="s">
        <v>434</v>
      </c>
      <c r="G322" s="3" t="s">
        <v>3834</v>
      </c>
      <c r="H322" s="4" t="s">
        <v>21</v>
      </c>
      <c r="I322" s="4" t="s">
        <v>35</v>
      </c>
      <c r="J322" s="4" t="s">
        <v>435</v>
      </c>
      <c r="K322" s="28"/>
      <c r="L322" s="28"/>
      <c r="M322" s="28"/>
      <c r="N322" s="28"/>
      <c r="O322" s="28"/>
      <c r="P322" s="28"/>
      <c r="Q322" s="28"/>
      <c r="R322" s="28">
        <v>1</v>
      </c>
      <c r="S322" s="28">
        <v>2</v>
      </c>
      <c r="T322" s="28">
        <v>5</v>
      </c>
      <c r="U322" s="28"/>
      <c r="V322" s="29"/>
    </row>
    <row r="323" spans="2:22">
      <c r="B323" s="17" t="s">
        <v>1157</v>
      </c>
      <c r="C323" s="3">
        <v>81877</v>
      </c>
      <c r="D323" s="18" t="s">
        <v>432</v>
      </c>
      <c r="E323" s="18" t="s">
        <v>436</v>
      </c>
      <c r="F323" s="2" t="s">
        <v>437</v>
      </c>
      <c r="G323" s="3" t="s">
        <v>94</v>
      </c>
      <c r="H323" s="4" t="s">
        <v>21</v>
      </c>
      <c r="I323" s="4" t="s">
        <v>76</v>
      </c>
      <c r="J323" s="4" t="s">
        <v>438</v>
      </c>
      <c r="K323" s="28"/>
      <c r="L323" s="28"/>
      <c r="M323" s="28"/>
      <c r="N323" s="28"/>
      <c r="O323" s="28"/>
      <c r="P323" s="28"/>
      <c r="Q323" s="28"/>
      <c r="R323" s="28">
        <v>10</v>
      </c>
      <c r="S323" s="28"/>
      <c r="T323" s="28"/>
      <c r="U323" s="28">
        <v>3</v>
      </c>
      <c r="V323" s="29"/>
    </row>
    <row r="324" spans="2:22">
      <c r="B324" s="17" t="s">
        <v>1157</v>
      </c>
      <c r="C324" s="3">
        <v>83763</v>
      </c>
      <c r="D324" s="18" t="s">
        <v>432</v>
      </c>
      <c r="E324" s="18" t="s">
        <v>439</v>
      </c>
      <c r="F324" s="2" t="s">
        <v>440</v>
      </c>
      <c r="G324" s="3" t="s">
        <v>94</v>
      </c>
      <c r="H324" s="4" t="s">
        <v>21</v>
      </c>
      <c r="I324" s="4" t="s">
        <v>76</v>
      </c>
      <c r="J324" s="4" t="s">
        <v>441</v>
      </c>
      <c r="K324" s="28"/>
      <c r="L324" s="28"/>
      <c r="M324" s="28"/>
      <c r="N324" s="28"/>
      <c r="O324" s="28"/>
      <c r="P324" s="28"/>
      <c r="Q324" s="28">
        <v>3</v>
      </c>
      <c r="R324" s="28"/>
      <c r="S324" s="28">
        <v>5</v>
      </c>
      <c r="T324" s="28"/>
      <c r="U324" s="28">
        <v>3</v>
      </c>
      <c r="V324" s="29"/>
    </row>
    <row r="325" spans="2:22">
      <c r="B325" s="17" t="s">
        <v>1157</v>
      </c>
      <c r="C325" s="3">
        <v>81891</v>
      </c>
      <c r="D325" s="18" t="s">
        <v>432</v>
      </c>
      <c r="E325" s="18" t="s">
        <v>442</v>
      </c>
      <c r="F325" s="2" t="s">
        <v>443</v>
      </c>
      <c r="G325" s="3" t="s">
        <v>3834</v>
      </c>
      <c r="H325" s="4" t="s">
        <v>21</v>
      </c>
      <c r="I325" s="4" t="s">
        <v>35</v>
      </c>
      <c r="J325" s="4" t="s">
        <v>444</v>
      </c>
      <c r="K325" s="28"/>
      <c r="L325" s="28"/>
      <c r="M325" s="28"/>
      <c r="N325" s="28"/>
      <c r="O325" s="28"/>
      <c r="P325" s="28"/>
      <c r="Q325" s="28">
        <v>1</v>
      </c>
      <c r="R325" s="28">
        <v>3</v>
      </c>
      <c r="S325" s="28"/>
      <c r="T325" s="28"/>
      <c r="U325" s="28">
        <v>2</v>
      </c>
      <c r="V325" s="29"/>
    </row>
    <row r="326" spans="2:22">
      <c r="B326" s="17" t="s">
        <v>1157</v>
      </c>
      <c r="C326" s="3">
        <v>81874</v>
      </c>
      <c r="D326" s="18" t="s">
        <v>432</v>
      </c>
      <c r="E326" s="18" t="s">
        <v>433</v>
      </c>
      <c r="F326" s="2" t="s">
        <v>434</v>
      </c>
      <c r="G326" s="3" t="s">
        <v>3834</v>
      </c>
      <c r="H326" s="4" t="s">
        <v>21</v>
      </c>
      <c r="I326" s="4" t="s">
        <v>35</v>
      </c>
      <c r="J326" s="4" t="s">
        <v>435</v>
      </c>
      <c r="K326" s="28"/>
      <c r="L326" s="28"/>
      <c r="M326" s="28"/>
      <c r="N326" s="28"/>
      <c r="O326" s="28"/>
      <c r="P326" s="28"/>
      <c r="Q326" s="28"/>
      <c r="R326" s="28">
        <v>1</v>
      </c>
      <c r="S326" s="28">
        <v>2</v>
      </c>
      <c r="T326" s="28">
        <v>5</v>
      </c>
      <c r="U326" s="28"/>
      <c r="V326" s="29"/>
    </row>
    <row r="327" spans="2:22">
      <c r="B327" s="17" t="s">
        <v>1157</v>
      </c>
      <c r="C327" s="3">
        <v>81877</v>
      </c>
      <c r="D327" s="18" t="s">
        <v>432</v>
      </c>
      <c r="E327" s="18" t="s">
        <v>436</v>
      </c>
      <c r="F327" s="2" t="s">
        <v>437</v>
      </c>
      <c r="G327" s="3" t="s">
        <v>94</v>
      </c>
      <c r="H327" s="4" t="s">
        <v>21</v>
      </c>
      <c r="I327" s="4" t="s">
        <v>76</v>
      </c>
      <c r="J327" s="4" t="s">
        <v>438</v>
      </c>
      <c r="K327" s="28"/>
      <c r="L327" s="28"/>
      <c r="M327" s="28"/>
      <c r="N327" s="28"/>
      <c r="O327" s="28"/>
      <c r="P327" s="28"/>
      <c r="Q327" s="28"/>
      <c r="R327" s="28">
        <v>10</v>
      </c>
      <c r="S327" s="28"/>
      <c r="T327" s="28"/>
      <c r="U327" s="28">
        <v>3</v>
      </c>
      <c r="V327" s="29"/>
    </row>
    <row r="328" spans="2:22">
      <c r="B328" s="17" t="s">
        <v>1157</v>
      </c>
      <c r="C328" s="3">
        <v>83763</v>
      </c>
      <c r="D328" s="18" t="s">
        <v>432</v>
      </c>
      <c r="E328" s="18" t="s">
        <v>439</v>
      </c>
      <c r="F328" s="2" t="s">
        <v>440</v>
      </c>
      <c r="G328" s="3" t="s">
        <v>94</v>
      </c>
      <c r="H328" s="4" t="s">
        <v>21</v>
      </c>
      <c r="I328" s="4" t="s">
        <v>76</v>
      </c>
      <c r="J328" s="4" t="s">
        <v>441</v>
      </c>
      <c r="K328" s="28"/>
      <c r="L328" s="28"/>
      <c r="M328" s="28"/>
      <c r="N328" s="28"/>
      <c r="O328" s="28"/>
      <c r="P328" s="28"/>
      <c r="Q328" s="28">
        <v>3</v>
      </c>
      <c r="R328" s="28"/>
      <c r="S328" s="28">
        <v>5</v>
      </c>
      <c r="T328" s="28"/>
      <c r="U328" s="28">
        <v>3</v>
      </c>
      <c r="V328" s="29"/>
    </row>
    <row r="329" spans="2:22">
      <c r="B329" s="17" t="s">
        <v>1157</v>
      </c>
      <c r="C329" s="3">
        <v>81891</v>
      </c>
      <c r="D329" s="18" t="s">
        <v>432</v>
      </c>
      <c r="E329" s="18" t="s">
        <v>442</v>
      </c>
      <c r="F329" s="2" t="s">
        <v>443</v>
      </c>
      <c r="G329" s="3" t="s">
        <v>3834</v>
      </c>
      <c r="H329" s="4" t="s">
        <v>21</v>
      </c>
      <c r="I329" s="4" t="s">
        <v>35</v>
      </c>
      <c r="J329" s="4" t="s">
        <v>444</v>
      </c>
      <c r="K329" s="28"/>
      <c r="L329" s="28"/>
      <c r="M329" s="28"/>
      <c r="N329" s="28"/>
      <c r="O329" s="28"/>
      <c r="P329" s="28"/>
      <c r="Q329" s="28">
        <v>1</v>
      </c>
      <c r="R329" s="28">
        <v>3</v>
      </c>
      <c r="S329" s="28"/>
      <c r="T329" s="28"/>
      <c r="U329" s="28">
        <v>2</v>
      </c>
      <c r="V329" s="29"/>
    </row>
    <row r="330" spans="2:22">
      <c r="B330" s="17" t="s">
        <v>1157</v>
      </c>
      <c r="C330" s="3">
        <v>81874</v>
      </c>
      <c r="D330" s="18" t="s">
        <v>432</v>
      </c>
      <c r="E330" s="18" t="s">
        <v>433</v>
      </c>
      <c r="F330" s="2" t="s">
        <v>434</v>
      </c>
      <c r="G330" s="3" t="s">
        <v>3834</v>
      </c>
      <c r="H330" s="4" t="s">
        <v>21</v>
      </c>
      <c r="I330" s="4" t="s">
        <v>35</v>
      </c>
      <c r="J330" s="4" t="s">
        <v>435</v>
      </c>
      <c r="K330" s="28"/>
      <c r="L330" s="28"/>
      <c r="M330" s="28"/>
      <c r="N330" s="28"/>
      <c r="O330" s="28"/>
      <c r="P330" s="28"/>
      <c r="Q330" s="28"/>
      <c r="R330" s="28">
        <v>1</v>
      </c>
      <c r="S330" s="28">
        <v>2</v>
      </c>
      <c r="T330" s="28">
        <v>5</v>
      </c>
      <c r="U330" s="28"/>
      <c r="V330" s="29"/>
    </row>
    <row r="331" spans="2:22">
      <c r="B331" s="17" t="s">
        <v>1157</v>
      </c>
      <c r="C331" s="3">
        <v>81877</v>
      </c>
      <c r="D331" s="18" t="s">
        <v>432</v>
      </c>
      <c r="E331" s="18" t="s">
        <v>436</v>
      </c>
      <c r="F331" s="2" t="s">
        <v>437</v>
      </c>
      <c r="G331" s="3" t="s">
        <v>94</v>
      </c>
      <c r="H331" s="4" t="s">
        <v>21</v>
      </c>
      <c r="I331" s="4" t="s">
        <v>76</v>
      </c>
      <c r="J331" s="4" t="s">
        <v>438</v>
      </c>
      <c r="K331" s="28"/>
      <c r="L331" s="28"/>
      <c r="M331" s="28"/>
      <c r="N331" s="28"/>
      <c r="O331" s="28"/>
      <c r="P331" s="28"/>
      <c r="Q331" s="28"/>
      <c r="R331" s="28">
        <v>10</v>
      </c>
      <c r="S331" s="28"/>
      <c r="T331" s="28"/>
      <c r="U331" s="28">
        <v>3</v>
      </c>
      <c r="V331" s="29"/>
    </row>
    <row r="332" spans="2:22">
      <c r="B332" s="17" t="s">
        <v>1157</v>
      </c>
      <c r="C332" s="3">
        <v>83763</v>
      </c>
      <c r="D332" s="18" t="s">
        <v>432</v>
      </c>
      <c r="E332" s="18" t="s">
        <v>439</v>
      </c>
      <c r="F332" s="2" t="s">
        <v>440</v>
      </c>
      <c r="G332" s="3" t="s">
        <v>94</v>
      </c>
      <c r="H332" s="4" t="s">
        <v>21</v>
      </c>
      <c r="I332" s="4" t="s">
        <v>76</v>
      </c>
      <c r="J332" s="4" t="s">
        <v>441</v>
      </c>
      <c r="K332" s="28"/>
      <c r="L332" s="28"/>
      <c r="M332" s="28"/>
      <c r="N332" s="28"/>
      <c r="O332" s="28"/>
      <c r="P332" s="28"/>
      <c r="Q332" s="28">
        <v>3</v>
      </c>
      <c r="R332" s="28"/>
      <c r="S332" s="28">
        <v>5</v>
      </c>
      <c r="T332" s="28"/>
      <c r="U332" s="28">
        <v>3</v>
      </c>
      <c r="V332" s="29"/>
    </row>
    <row r="333" spans="2:22">
      <c r="B333" s="17" t="s">
        <v>1157</v>
      </c>
      <c r="C333" s="3">
        <v>81891</v>
      </c>
      <c r="D333" s="18" t="s">
        <v>432</v>
      </c>
      <c r="E333" s="18" t="s">
        <v>442</v>
      </c>
      <c r="F333" s="2" t="s">
        <v>443</v>
      </c>
      <c r="G333" s="3" t="s">
        <v>3834</v>
      </c>
      <c r="H333" s="4" t="s">
        <v>21</v>
      </c>
      <c r="I333" s="4" t="s">
        <v>35</v>
      </c>
      <c r="J333" s="4" t="s">
        <v>444</v>
      </c>
      <c r="K333" s="28"/>
      <c r="L333" s="28"/>
      <c r="M333" s="28"/>
      <c r="N333" s="28"/>
      <c r="O333" s="28"/>
      <c r="P333" s="28"/>
      <c r="Q333" s="28">
        <v>1</v>
      </c>
      <c r="R333" s="28">
        <v>3</v>
      </c>
      <c r="S333" s="28"/>
      <c r="T333" s="28"/>
      <c r="U333" s="28">
        <v>2</v>
      </c>
      <c r="V333" s="29"/>
    </row>
    <row r="334" spans="2:22">
      <c r="B334" s="17" t="s">
        <v>1157</v>
      </c>
      <c r="C334" s="3">
        <v>81874</v>
      </c>
      <c r="D334" s="18" t="s">
        <v>432</v>
      </c>
      <c r="E334" s="18" t="s">
        <v>433</v>
      </c>
      <c r="F334" s="2" t="s">
        <v>434</v>
      </c>
      <c r="G334" s="3" t="s">
        <v>3834</v>
      </c>
      <c r="H334" s="4" t="s">
        <v>21</v>
      </c>
      <c r="I334" s="4" t="s">
        <v>35</v>
      </c>
      <c r="J334" s="4" t="s">
        <v>435</v>
      </c>
      <c r="K334" s="28"/>
      <c r="L334" s="28"/>
      <c r="M334" s="28"/>
      <c r="N334" s="28"/>
      <c r="O334" s="28"/>
      <c r="P334" s="28"/>
      <c r="Q334" s="28"/>
      <c r="R334" s="28">
        <v>1</v>
      </c>
      <c r="S334" s="28">
        <v>2</v>
      </c>
      <c r="T334" s="28">
        <v>5</v>
      </c>
      <c r="U334" s="28"/>
      <c r="V334" s="29"/>
    </row>
    <row r="335" spans="2:22">
      <c r="B335" s="17" t="s">
        <v>1157</v>
      </c>
      <c r="C335" s="3">
        <v>81877</v>
      </c>
      <c r="D335" s="18" t="s">
        <v>432</v>
      </c>
      <c r="E335" s="18" t="s">
        <v>436</v>
      </c>
      <c r="F335" s="2" t="s">
        <v>437</v>
      </c>
      <c r="G335" s="3" t="s">
        <v>94</v>
      </c>
      <c r="H335" s="4" t="s">
        <v>21</v>
      </c>
      <c r="I335" s="4" t="s">
        <v>76</v>
      </c>
      <c r="J335" s="4" t="s">
        <v>438</v>
      </c>
      <c r="K335" s="28"/>
      <c r="L335" s="28"/>
      <c r="M335" s="28"/>
      <c r="N335" s="28"/>
      <c r="O335" s="28"/>
      <c r="P335" s="28"/>
      <c r="Q335" s="28"/>
      <c r="R335" s="28">
        <v>10</v>
      </c>
      <c r="S335" s="28"/>
      <c r="T335" s="28"/>
      <c r="U335" s="28"/>
      <c r="V335" s="29"/>
    </row>
    <row r="336" spans="2:22">
      <c r="B336" s="17" t="s">
        <v>1157</v>
      </c>
      <c r="C336" s="3">
        <v>83763</v>
      </c>
      <c r="D336" s="18" t="s">
        <v>432</v>
      </c>
      <c r="E336" s="18" t="s">
        <v>439</v>
      </c>
      <c r="F336" s="2" t="s">
        <v>440</v>
      </c>
      <c r="G336" s="3" t="s">
        <v>94</v>
      </c>
      <c r="H336" s="4" t="s">
        <v>21</v>
      </c>
      <c r="I336" s="4" t="s">
        <v>76</v>
      </c>
      <c r="J336" s="4" t="s">
        <v>441</v>
      </c>
      <c r="K336" s="28"/>
      <c r="L336" s="28"/>
      <c r="M336" s="28"/>
      <c r="N336" s="28"/>
      <c r="O336" s="28"/>
      <c r="P336" s="28"/>
      <c r="Q336" s="28">
        <v>3</v>
      </c>
      <c r="R336" s="28"/>
      <c r="S336" s="28">
        <v>5</v>
      </c>
      <c r="T336" s="28"/>
      <c r="U336" s="28"/>
      <c r="V336" s="29"/>
    </row>
    <row r="337" spans="2:22">
      <c r="B337" s="17" t="s">
        <v>1157</v>
      </c>
      <c r="C337" s="3">
        <v>81891</v>
      </c>
      <c r="D337" s="18" t="s">
        <v>432</v>
      </c>
      <c r="E337" s="18" t="s">
        <v>442</v>
      </c>
      <c r="F337" s="2" t="s">
        <v>443</v>
      </c>
      <c r="G337" s="3" t="s">
        <v>3834</v>
      </c>
      <c r="H337" s="4" t="s">
        <v>21</v>
      </c>
      <c r="I337" s="4" t="s">
        <v>35</v>
      </c>
      <c r="J337" s="4" t="s">
        <v>444</v>
      </c>
      <c r="K337" s="28"/>
      <c r="L337" s="28"/>
      <c r="M337" s="28"/>
      <c r="N337" s="28"/>
      <c r="O337" s="28"/>
      <c r="P337" s="28"/>
      <c r="Q337" s="28">
        <v>1</v>
      </c>
      <c r="R337" s="28">
        <v>3</v>
      </c>
      <c r="S337" s="28"/>
      <c r="T337" s="28"/>
      <c r="U337" s="28"/>
      <c r="V337" s="29"/>
    </row>
    <row r="338" spans="2:22">
      <c r="B338" s="17" t="s">
        <v>1157</v>
      </c>
      <c r="C338" s="3">
        <v>81873</v>
      </c>
      <c r="D338" s="18" t="s">
        <v>993</v>
      </c>
      <c r="E338" s="18" t="s">
        <v>697</v>
      </c>
      <c r="F338" s="2" t="s">
        <v>434</v>
      </c>
      <c r="G338" s="3" t="s">
        <v>3834</v>
      </c>
      <c r="H338" s="4" t="s">
        <v>3818</v>
      </c>
      <c r="I338" s="4" t="s">
        <v>3849</v>
      </c>
      <c r="J338" s="4"/>
      <c r="K338" s="28"/>
      <c r="L338" s="28"/>
      <c r="M338" s="28"/>
      <c r="N338" s="28"/>
      <c r="O338" s="28"/>
      <c r="P338" s="28"/>
      <c r="Q338" s="28"/>
      <c r="R338" s="28"/>
      <c r="S338" s="28">
        <v>2</v>
      </c>
      <c r="T338" s="28"/>
      <c r="U338" s="28"/>
      <c r="V338" s="29"/>
    </row>
    <row r="339" spans="2:22">
      <c r="B339" s="17" t="s">
        <v>1157</v>
      </c>
      <c r="C339" s="3">
        <v>81891</v>
      </c>
      <c r="D339" s="18" t="s">
        <v>432</v>
      </c>
      <c r="E339" s="18" t="s">
        <v>442</v>
      </c>
      <c r="F339" s="2" t="s">
        <v>703</v>
      </c>
      <c r="G339" s="3" t="s">
        <v>3834</v>
      </c>
      <c r="H339" s="4" t="s">
        <v>21</v>
      </c>
      <c r="I339" s="4" t="s">
        <v>35</v>
      </c>
      <c r="J339" s="4" t="s">
        <v>704</v>
      </c>
      <c r="K339" s="28"/>
      <c r="L339" s="28"/>
      <c r="M339" s="28"/>
      <c r="N339" s="28"/>
      <c r="O339" s="28">
        <v>2</v>
      </c>
      <c r="P339" s="28">
        <v>2</v>
      </c>
      <c r="Q339" s="28"/>
      <c r="R339" s="28">
        <v>3</v>
      </c>
      <c r="S339" s="28"/>
      <c r="T339" s="28">
        <v>2</v>
      </c>
      <c r="U339" s="28"/>
      <c r="V339" s="34"/>
    </row>
    <row r="340" spans="2:22">
      <c r="B340" s="17" t="s">
        <v>1157</v>
      </c>
      <c r="C340" s="3">
        <v>81877</v>
      </c>
      <c r="D340" s="18" t="s">
        <v>432</v>
      </c>
      <c r="E340" s="18" t="s">
        <v>436</v>
      </c>
      <c r="F340" s="2" t="s">
        <v>709</v>
      </c>
      <c r="G340" s="3" t="s">
        <v>3835</v>
      </c>
      <c r="H340" s="4" t="s">
        <v>3818</v>
      </c>
      <c r="I340" s="4" t="s">
        <v>62</v>
      </c>
      <c r="J340" s="4" t="s">
        <v>710</v>
      </c>
      <c r="K340" s="28"/>
      <c r="L340" s="28"/>
      <c r="M340" s="28"/>
      <c r="N340" s="28"/>
      <c r="O340" s="28"/>
      <c r="P340" s="28"/>
      <c r="Q340" s="28">
        <v>10</v>
      </c>
      <c r="R340" s="28"/>
      <c r="S340" s="28"/>
      <c r="T340" s="28"/>
      <c r="U340" s="28"/>
      <c r="V340" s="34"/>
    </row>
    <row r="341" spans="2:22">
      <c r="B341" s="17" t="s">
        <v>1157</v>
      </c>
      <c r="C341" s="3">
        <v>81873</v>
      </c>
      <c r="D341" s="18" t="s">
        <v>993</v>
      </c>
      <c r="E341" s="18" t="s">
        <v>697</v>
      </c>
      <c r="F341" s="2" t="s">
        <v>711</v>
      </c>
      <c r="G341" s="3" t="s">
        <v>3835</v>
      </c>
      <c r="H341" s="4" t="s">
        <v>3818</v>
      </c>
      <c r="I341" s="4" t="s">
        <v>62</v>
      </c>
      <c r="J341" s="4" t="s">
        <v>712</v>
      </c>
      <c r="K341" s="28"/>
      <c r="L341" s="28"/>
      <c r="M341" s="28"/>
      <c r="N341" s="28"/>
      <c r="O341" s="28"/>
      <c r="P341" s="28"/>
      <c r="Q341" s="28">
        <v>10</v>
      </c>
      <c r="R341" s="28">
        <v>10</v>
      </c>
      <c r="S341" s="28">
        <v>10</v>
      </c>
      <c r="T341" s="28"/>
      <c r="U341" s="28"/>
      <c r="V341" s="34"/>
    </row>
    <row r="342" spans="2:22">
      <c r="B342" s="17" t="s">
        <v>1157</v>
      </c>
      <c r="C342" s="3">
        <v>81891</v>
      </c>
      <c r="D342" s="18" t="s">
        <v>432</v>
      </c>
      <c r="E342" s="18" t="s">
        <v>442</v>
      </c>
      <c r="F342" s="2" t="s">
        <v>713</v>
      </c>
      <c r="G342" s="3" t="s">
        <v>3834</v>
      </c>
      <c r="H342" s="4" t="s">
        <v>21</v>
      </c>
      <c r="I342" s="4" t="s">
        <v>35</v>
      </c>
      <c r="J342" s="4" t="s">
        <v>714</v>
      </c>
      <c r="K342" s="28"/>
      <c r="L342" s="28"/>
      <c r="M342" s="28"/>
      <c r="N342" s="28"/>
      <c r="O342" s="28">
        <v>6</v>
      </c>
      <c r="P342" s="28">
        <v>0</v>
      </c>
      <c r="Q342" s="28"/>
      <c r="R342" s="28"/>
      <c r="S342" s="28">
        <v>2</v>
      </c>
      <c r="T342" s="28">
        <v>2</v>
      </c>
      <c r="U342" s="28"/>
      <c r="V342" s="34"/>
    </row>
    <row r="343" spans="2:22">
      <c r="B343" s="17" t="s">
        <v>1157</v>
      </c>
      <c r="C343" s="3">
        <v>81874</v>
      </c>
      <c r="D343" s="18" t="s">
        <v>432</v>
      </c>
      <c r="E343" s="18" t="s">
        <v>433</v>
      </c>
      <c r="F343" s="2" t="s">
        <v>715</v>
      </c>
      <c r="G343" s="3" t="s">
        <v>3835</v>
      </c>
      <c r="H343" s="4" t="s">
        <v>30</v>
      </c>
      <c r="I343" s="4" t="s">
        <v>507</v>
      </c>
      <c r="J343" s="4" t="s">
        <v>716</v>
      </c>
      <c r="K343" s="28"/>
      <c r="L343" s="28"/>
      <c r="M343" s="28"/>
      <c r="N343" s="28">
        <v>1</v>
      </c>
      <c r="O343" s="28">
        <v>4</v>
      </c>
      <c r="P343" s="28">
        <v>2</v>
      </c>
      <c r="Q343" s="28">
        <v>5</v>
      </c>
      <c r="R343" s="28"/>
      <c r="S343" s="28"/>
      <c r="T343" s="28"/>
      <c r="U343" s="28"/>
      <c r="V343" s="34"/>
    </row>
    <row r="344" spans="2:22">
      <c r="B344" s="17" t="s">
        <v>1157</v>
      </c>
      <c r="C344" s="3">
        <v>81874</v>
      </c>
      <c r="D344" s="18" t="s">
        <v>432</v>
      </c>
      <c r="E344" s="18" t="s">
        <v>433</v>
      </c>
      <c r="F344" s="2" t="s">
        <v>717</v>
      </c>
      <c r="G344" s="3" t="s">
        <v>3835</v>
      </c>
      <c r="H344" s="4" t="s">
        <v>30</v>
      </c>
      <c r="I344" s="4" t="s">
        <v>284</v>
      </c>
      <c r="J344" s="4" t="s">
        <v>718</v>
      </c>
      <c r="K344" s="28"/>
      <c r="L344" s="28"/>
      <c r="M344" s="28"/>
      <c r="N344" s="28">
        <v>3</v>
      </c>
      <c r="O344" s="28">
        <v>0</v>
      </c>
      <c r="P344" s="28">
        <v>0</v>
      </c>
      <c r="Q344" s="28"/>
      <c r="R344" s="28"/>
      <c r="S344" s="28"/>
      <c r="T344" s="28"/>
      <c r="U344" s="28"/>
      <c r="V344" s="34"/>
    </row>
    <row r="345" spans="2:22">
      <c r="B345" s="17" t="s">
        <v>1157</v>
      </c>
      <c r="C345" s="3">
        <v>81874</v>
      </c>
      <c r="D345" s="18" t="s">
        <v>432</v>
      </c>
      <c r="E345" s="18" t="s">
        <v>433</v>
      </c>
      <c r="F345" s="2" t="s">
        <v>719</v>
      </c>
      <c r="G345" s="3" t="s">
        <v>3835</v>
      </c>
      <c r="H345" s="4" t="s">
        <v>30</v>
      </c>
      <c r="I345" s="4" t="s">
        <v>284</v>
      </c>
      <c r="J345" s="4" t="s">
        <v>720</v>
      </c>
      <c r="K345" s="28"/>
      <c r="L345" s="28"/>
      <c r="M345" s="28"/>
      <c r="N345" s="28">
        <v>2</v>
      </c>
      <c r="O345" s="28">
        <v>2</v>
      </c>
      <c r="P345" s="28">
        <v>3</v>
      </c>
      <c r="Q345" s="28">
        <v>2</v>
      </c>
      <c r="R345" s="28">
        <v>2</v>
      </c>
      <c r="S345" s="28"/>
      <c r="T345" s="28"/>
      <c r="U345" s="28">
        <v>4</v>
      </c>
      <c r="V345" s="34"/>
    </row>
    <row r="346" spans="2:22">
      <c r="B346" s="17" t="s">
        <v>1157</v>
      </c>
      <c r="C346" s="3">
        <v>81874</v>
      </c>
      <c r="D346" s="18" t="s">
        <v>432</v>
      </c>
      <c r="E346" s="18" t="s">
        <v>433</v>
      </c>
      <c r="F346" s="2" t="s">
        <v>721</v>
      </c>
      <c r="G346" s="3" t="s">
        <v>3834</v>
      </c>
      <c r="H346" s="4" t="s">
        <v>21</v>
      </c>
      <c r="I346" s="4" t="s">
        <v>35</v>
      </c>
      <c r="J346" s="4" t="s">
        <v>722</v>
      </c>
      <c r="K346" s="28"/>
      <c r="L346" s="28"/>
      <c r="M346" s="28"/>
      <c r="N346" s="28">
        <v>2</v>
      </c>
      <c r="O346" s="28">
        <v>2</v>
      </c>
      <c r="P346" s="28">
        <v>0</v>
      </c>
      <c r="Q346" s="28"/>
      <c r="R346" s="28"/>
      <c r="S346" s="28"/>
      <c r="T346" s="28"/>
      <c r="U346" s="28"/>
      <c r="V346" s="34"/>
    </row>
    <row r="347" spans="2:22">
      <c r="B347" s="17" t="s">
        <v>1157</v>
      </c>
      <c r="C347" s="3">
        <v>81874</v>
      </c>
      <c r="D347" s="18" t="s">
        <v>432</v>
      </c>
      <c r="E347" s="18" t="s">
        <v>433</v>
      </c>
      <c r="F347" s="2" t="s">
        <v>723</v>
      </c>
      <c r="G347" s="3" t="s">
        <v>3834</v>
      </c>
      <c r="H347" s="4" t="s">
        <v>21</v>
      </c>
      <c r="I347" s="4" t="s">
        <v>35</v>
      </c>
      <c r="J347" s="4" t="s">
        <v>724</v>
      </c>
      <c r="K347" s="28"/>
      <c r="L347" s="28"/>
      <c r="M347" s="28"/>
      <c r="N347" s="28">
        <v>2</v>
      </c>
      <c r="O347" s="28">
        <v>2</v>
      </c>
      <c r="P347" s="28">
        <v>0</v>
      </c>
      <c r="Q347" s="28"/>
      <c r="R347" s="28"/>
      <c r="S347" s="28"/>
      <c r="T347" s="28"/>
      <c r="U347" s="28"/>
      <c r="V347" s="34"/>
    </row>
    <row r="348" spans="2:22">
      <c r="B348" s="17" t="s">
        <v>1157</v>
      </c>
      <c r="C348" s="3">
        <v>81874</v>
      </c>
      <c r="D348" s="18" t="s">
        <v>432</v>
      </c>
      <c r="E348" s="18" t="s">
        <v>433</v>
      </c>
      <c r="F348" s="2" t="s">
        <v>725</v>
      </c>
      <c r="G348" s="3" t="s">
        <v>3834</v>
      </c>
      <c r="H348" s="4" t="s">
        <v>21</v>
      </c>
      <c r="I348" s="4" t="s">
        <v>35</v>
      </c>
      <c r="J348" s="4" t="s">
        <v>726</v>
      </c>
      <c r="K348" s="28"/>
      <c r="L348" s="28"/>
      <c r="M348" s="28"/>
      <c r="N348" s="28">
        <v>2</v>
      </c>
      <c r="O348" s="28">
        <v>2</v>
      </c>
      <c r="P348" s="28">
        <v>0</v>
      </c>
      <c r="Q348" s="28"/>
      <c r="R348" s="28"/>
      <c r="S348" s="28"/>
      <c r="T348" s="28"/>
      <c r="U348" s="28"/>
      <c r="V348" s="34"/>
    </row>
    <row r="349" spans="2:22">
      <c r="B349" s="17" t="s">
        <v>1157</v>
      </c>
      <c r="C349" s="3">
        <v>83763</v>
      </c>
      <c r="D349" s="18" t="s">
        <v>432</v>
      </c>
      <c r="E349" s="18" t="s">
        <v>439</v>
      </c>
      <c r="F349" s="2" t="s">
        <v>727</v>
      </c>
      <c r="G349" s="3" t="s">
        <v>3835</v>
      </c>
      <c r="H349" s="4" t="s">
        <v>21</v>
      </c>
      <c r="I349" s="4" t="s">
        <v>341</v>
      </c>
      <c r="J349" s="4" t="s">
        <v>728</v>
      </c>
      <c r="K349" s="28"/>
      <c r="L349" s="28"/>
      <c r="M349" s="28"/>
      <c r="N349" s="28">
        <v>2</v>
      </c>
      <c r="O349" s="28">
        <v>0</v>
      </c>
      <c r="P349" s="28">
        <v>0</v>
      </c>
      <c r="Q349" s="28">
        <v>0</v>
      </c>
      <c r="R349" s="28"/>
      <c r="S349" s="28"/>
      <c r="T349" s="28"/>
      <c r="U349" s="28"/>
      <c r="V349" s="34"/>
    </row>
    <row r="350" spans="2:22">
      <c r="B350" s="17" t="s">
        <v>1157</v>
      </c>
      <c r="C350" s="3">
        <v>81891</v>
      </c>
      <c r="D350" s="18" t="s">
        <v>432</v>
      </c>
      <c r="E350" s="18" t="s">
        <v>442</v>
      </c>
      <c r="F350" s="2" t="s">
        <v>729</v>
      </c>
      <c r="G350" s="3" t="s">
        <v>3834</v>
      </c>
      <c r="H350" s="4" t="s">
        <v>21</v>
      </c>
      <c r="I350" s="4" t="s">
        <v>35</v>
      </c>
      <c r="J350" s="4" t="s">
        <v>730</v>
      </c>
      <c r="K350" s="28"/>
      <c r="L350" s="28"/>
      <c r="M350" s="28"/>
      <c r="N350" s="28"/>
      <c r="O350" s="28">
        <v>2</v>
      </c>
      <c r="P350" s="28">
        <v>0</v>
      </c>
      <c r="Q350" s="28"/>
      <c r="R350" s="28">
        <v>2</v>
      </c>
      <c r="S350" s="28">
        <v>3</v>
      </c>
      <c r="T350" s="28"/>
      <c r="U350" s="28"/>
      <c r="V350" s="34"/>
    </row>
    <row r="351" spans="2:22">
      <c r="B351" s="17" t="s">
        <v>1157</v>
      </c>
      <c r="C351" s="3">
        <v>81891</v>
      </c>
      <c r="D351" s="18" t="s">
        <v>432</v>
      </c>
      <c r="E351" s="18" t="s">
        <v>442</v>
      </c>
      <c r="F351" s="2" t="s">
        <v>731</v>
      </c>
      <c r="G351" s="3" t="s">
        <v>3834</v>
      </c>
      <c r="H351" s="4" t="s">
        <v>21</v>
      </c>
      <c r="I351" s="4" t="s">
        <v>35</v>
      </c>
      <c r="J351" s="4" t="s">
        <v>732</v>
      </c>
      <c r="K351" s="28"/>
      <c r="L351" s="28"/>
      <c r="M351" s="28"/>
      <c r="N351" s="28"/>
      <c r="O351" s="28">
        <v>5</v>
      </c>
      <c r="P351" s="28">
        <v>4</v>
      </c>
      <c r="Q351" s="28"/>
      <c r="R351" s="28">
        <v>5</v>
      </c>
      <c r="S351" s="28">
        <v>3</v>
      </c>
      <c r="T351" s="28">
        <v>2</v>
      </c>
      <c r="U351" s="28"/>
      <c r="V351" s="34"/>
    </row>
    <row r="352" spans="2:22">
      <c r="B352" s="17" t="s">
        <v>1157</v>
      </c>
      <c r="C352" s="3">
        <v>33290</v>
      </c>
      <c r="D352" s="18" t="s">
        <v>432</v>
      </c>
      <c r="E352" s="18" t="s">
        <v>733</v>
      </c>
      <c r="F352" s="2" t="s">
        <v>734</v>
      </c>
      <c r="G352" s="3" t="s">
        <v>3835</v>
      </c>
      <c r="H352" s="4" t="s">
        <v>30</v>
      </c>
      <c r="I352" s="4" t="s">
        <v>138</v>
      </c>
      <c r="J352" s="4" t="s">
        <v>735</v>
      </c>
      <c r="K352" s="28"/>
      <c r="L352" s="28"/>
      <c r="M352" s="28"/>
      <c r="N352" s="28"/>
      <c r="O352" s="28">
        <v>5</v>
      </c>
      <c r="P352" s="28">
        <v>6</v>
      </c>
      <c r="Q352" s="28"/>
      <c r="R352" s="28"/>
      <c r="S352" s="28"/>
      <c r="T352" s="28"/>
      <c r="U352" s="28"/>
      <c r="V352" s="34"/>
    </row>
    <row r="353" spans="2:22">
      <c r="B353" s="17" t="s">
        <v>1157</v>
      </c>
      <c r="C353" s="3">
        <v>81891</v>
      </c>
      <c r="D353" s="18" t="s">
        <v>432</v>
      </c>
      <c r="E353" s="18" t="s">
        <v>442</v>
      </c>
      <c r="F353" s="2" t="s">
        <v>736</v>
      </c>
      <c r="G353" s="3" t="s">
        <v>3834</v>
      </c>
      <c r="H353" s="4" t="s">
        <v>21</v>
      </c>
      <c r="I353" s="4" t="s">
        <v>35</v>
      </c>
      <c r="J353" s="4" t="s">
        <v>737</v>
      </c>
      <c r="K353" s="28"/>
      <c r="L353" s="28"/>
      <c r="M353" s="28"/>
      <c r="N353" s="28"/>
      <c r="O353" s="28">
        <v>7</v>
      </c>
      <c r="P353" s="28">
        <v>0</v>
      </c>
      <c r="Q353" s="28"/>
      <c r="R353" s="28"/>
      <c r="S353" s="28"/>
      <c r="T353" s="28"/>
      <c r="U353" s="28"/>
      <c r="V353" s="34"/>
    </row>
    <row r="354" spans="2:22">
      <c r="B354" s="17" t="s">
        <v>1157</v>
      </c>
      <c r="C354" s="3">
        <v>81891</v>
      </c>
      <c r="D354" s="18" t="s">
        <v>432</v>
      </c>
      <c r="E354" s="18" t="s">
        <v>442</v>
      </c>
      <c r="F354" s="2" t="s">
        <v>740</v>
      </c>
      <c r="G354" s="3" t="s">
        <v>3834</v>
      </c>
      <c r="H354" s="4" t="s">
        <v>21</v>
      </c>
      <c r="I354" s="4" t="s">
        <v>35</v>
      </c>
      <c r="J354" s="4" t="s">
        <v>741</v>
      </c>
      <c r="K354" s="28"/>
      <c r="L354" s="28"/>
      <c r="M354" s="28"/>
      <c r="N354" s="28"/>
      <c r="O354" s="28">
        <v>4</v>
      </c>
      <c r="P354" s="28">
        <v>3</v>
      </c>
      <c r="Q354" s="28"/>
      <c r="R354" s="28">
        <v>1</v>
      </c>
      <c r="S354" s="28"/>
      <c r="T354" s="28"/>
      <c r="U354" s="28"/>
      <c r="V354" s="34"/>
    </row>
    <row r="355" spans="2:22">
      <c r="B355" s="17" t="s">
        <v>1157</v>
      </c>
      <c r="C355" s="3">
        <v>81891</v>
      </c>
      <c r="D355" s="18" t="s">
        <v>432</v>
      </c>
      <c r="E355" s="18" t="s">
        <v>442</v>
      </c>
      <c r="F355" s="2" t="s">
        <v>742</v>
      </c>
      <c r="G355" s="3" t="s">
        <v>3834</v>
      </c>
      <c r="H355" s="4" t="s">
        <v>21</v>
      </c>
      <c r="I355" s="4" t="s">
        <v>35</v>
      </c>
      <c r="J355" s="4" t="s">
        <v>743</v>
      </c>
      <c r="K355" s="28"/>
      <c r="L355" s="28"/>
      <c r="M355" s="28"/>
      <c r="N355" s="28"/>
      <c r="O355" s="28"/>
      <c r="P355" s="28"/>
      <c r="Q355" s="28">
        <v>4</v>
      </c>
      <c r="R355" s="28">
        <v>1</v>
      </c>
      <c r="S355" s="28"/>
      <c r="T355" s="28">
        <v>2</v>
      </c>
      <c r="U355" s="28"/>
      <c r="V355" s="34"/>
    </row>
    <row r="356" spans="2:22">
      <c r="B356" s="17" t="s">
        <v>1157</v>
      </c>
      <c r="C356" s="3">
        <v>81891</v>
      </c>
      <c r="D356" s="18" t="s">
        <v>432</v>
      </c>
      <c r="E356" s="18" t="s">
        <v>442</v>
      </c>
      <c r="F356" s="2" t="s">
        <v>744</v>
      </c>
      <c r="G356" s="3" t="s">
        <v>3834</v>
      </c>
      <c r="H356" s="4" t="s">
        <v>21</v>
      </c>
      <c r="I356" s="4" t="s">
        <v>84</v>
      </c>
      <c r="J356" s="4" t="s">
        <v>745</v>
      </c>
      <c r="K356" s="28"/>
      <c r="L356" s="28"/>
      <c r="M356" s="28"/>
      <c r="N356" s="28"/>
      <c r="O356" s="28">
        <v>2</v>
      </c>
      <c r="P356" s="28">
        <v>2</v>
      </c>
      <c r="Q356" s="28"/>
      <c r="R356" s="28"/>
      <c r="S356" s="28"/>
      <c r="T356" s="28"/>
      <c r="U356" s="28"/>
      <c r="V356" s="34"/>
    </row>
    <row r="357" spans="2:22">
      <c r="B357" s="17" t="s">
        <v>1157</v>
      </c>
      <c r="C357" s="3">
        <v>81891</v>
      </c>
      <c r="D357" s="18" t="s">
        <v>432</v>
      </c>
      <c r="E357" s="18" t="s">
        <v>442</v>
      </c>
      <c r="F357" s="2" t="s">
        <v>746</v>
      </c>
      <c r="G357" s="3" t="s">
        <v>3834</v>
      </c>
      <c r="H357" s="4" t="s">
        <v>21</v>
      </c>
      <c r="I357" s="4" t="s">
        <v>35</v>
      </c>
      <c r="J357" s="4" t="s">
        <v>747</v>
      </c>
      <c r="K357" s="28"/>
      <c r="L357" s="28"/>
      <c r="M357" s="28"/>
      <c r="N357" s="28"/>
      <c r="O357" s="28"/>
      <c r="P357" s="28"/>
      <c r="Q357" s="28">
        <v>6</v>
      </c>
      <c r="R357" s="28"/>
      <c r="S357" s="28">
        <v>5</v>
      </c>
      <c r="T357" s="28">
        <v>5</v>
      </c>
      <c r="U357" s="28">
        <v>6</v>
      </c>
      <c r="V357" s="34"/>
    </row>
    <row r="358" spans="2:22">
      <c r="B358" s="17" t="s">
        <v>1157</v>
      </c>
      <c r="C358" s="3">
        <v>81874</v>
      </c>
      <c r="D358" s="18" t="s">
        <v>432</v>
      </c>
      <c r="E358" s="18" t="s">
        <v>433</v>
      </c>
      <c r="F358" s="2" t="s">
        <v>748</v>
      </c>
      <c r="G358" s="3" t="s">
        <v>3835</v>
      </c>
      <c r="H358" s="4" t="s">
        <v>30</v>
      </c>
      <c r="I358" s="4" t="s">
        <v>284</v>
      </c>
      <c r="J358" s="4" t="s">
        <v>749</v>
      </c>
      <c r="K358" s="28"/>
      <c r="L358" s="28"/>
      <c r="M358" s="28"/>
      <c r="N358" s="28"/>
      <c r="O358" s="28">
        <v>1</v>
      </c>
      <c r="P358" s="28">
        <v>0</v>
      </c>
      <c r="Q358" s="28">
        <v>2</v>
      </c>
      <c r="R358" s="28"/>
      <c r="S358" s="28"/>
      <c r="T358" s="28"/>
      <c r="U358" s="28"/>
      <c r="V358" s="34"/>
    </row>
    <row r="359" spans="2:22">
      <c r="B359" s="17" t="s">
        <v>1157</v>
      </c>
      <c r="C359" s="3">
        <v>81877</v>
      </c>
      <c r="D359" s="18" t="s">
        <v>432</v>
      </c>
      <c r="E359" s="18" t="s">
        <v>436</v>
      </c>
      <c r="F359" s="2" t="s">
        <v>750</v>
      </c>
      <c r="G359" s="3" t="s">
        <v>3833</v>
      </c>
      <c r="H359" s="4" t="s">
        <v>46</v>
      </c>
      <c r="I359" s="4" t="s">
        <v>163</v>
      </c>
      <c r="J359" s="4" t="s">
        <v>751</v>
      </c>
      <c r="K359" s="28"/>
      <c r="L359" s="28"/>
      <c r="M359" s="28"/>
      <c r="N359" s="28"/>
      <c r="O359" s="28">
        <v>3</v>
      </c>
      <c r="P359" s="28">
        <v>5</v>
      </c>
      <c r="Q359" s="28"/>
      <c r="R359" s="28">
        <v>5</v>
      </c>
      <c r="S359" s="28"/>
      <c r="T359" s="28"/>
      <c r="U359" s="28"/>
      <c r="V359" s="34"/>
    </row>
    <row r="360" spans="2:22">
      <c r="B360" s="17" t="s">
        <v>1157</v>
      </c>
      <c r="C360" s="3">
        <v>81877</v>
      </c>
      <c r="D360" s="18" t="s">
        <v>432</v>
      </c>
      <c r="E360" s="18" t="s">
        <v>436</v>
      </c>
      <c r="F360" s="2" t="s">
        <v>752</v>
      </c>
      <c r="G360" s="3" t="s">
        <v>3833</v>
      </c>
      <c r="H360" s="4" t="s">
        <v>30</v>
      </c>
      <c r="I360" s="4" t="s">
        <v>159</v>
      </c>
      <c r="J360" s="4" t="s">
        <v>753</v>
      </c>
      <c r="K360" s="28"/>
      <c r="L360" s="28"/>
      <c r="M360" s="28"/>
      <c r="N360" s="28"/>
      <c r="O360" s="28">
        <v>7</v>
      </c>
      <c r="P360" s="28">
        <v>3</v>
      </c>
      <c r="Q360" s="28"/>
      <c r="R360" s="28">
        <v>2</v>
      </c>
      <c r="S360" s="28"/>
      <c r="T360" s="28">
        <v>2</v>
      </c>
      <c r="U360" s="28"/>
      <c r="V360" s="34"/>
    </row>
    <row r="361" spans="2:22">
      <c r="B361" s="17" t="s">
        <v>1157</v>
      </c>
      <c r="C361" s="3">
        <v>81877</v>
      </c>
      <c r="D361" s="18" t="s">
        <v>432</v>
      </c>
      <c r="E361" s="18" t="s">
        <v>436</v>
      </c>
      <c r="F361" s="2" t="s">
        <v>754</v>
      </c>
      <c r="G361" s="3" t="s">
        <v>3832</v>
      </c>
      <c r="H361" s="4" t="s">
        <v>30</v>
      </c>
      <c r="I361" s="4" t="s">
        <v>325</v>
      </c>
      <c r="J361" s="4" t="s">
        <v>755</v>
      </c>
      <c r="K361" s="28"/>
      <c r="L361" s="28"/>
      <c r="M361" s="28"/>
      <c r="N361" s="28"/>
      <c r="O361" s="28">
        <v>2</v>
      </c>
      <c r="P361" s="28">
        <v>0</v>
      </c>
      <c r="Q361" s="28"/>
      <c r="R361" s="28">
        <v>1</v>
      </c>
      <c r="S361" s="28"/>
      <c r="T361" s="28"/>
      <c r="U361" s="28"/>
      <c r="V361" s="34"/>
    </row>
    <row r="362" spans="2:22">
      <c r="B362" s="17" t="s">
        <v>1157</v>
      </c>
      <c r="C362" s="3">
        <v>81877</v>
      </c>
      <c r="D362" s="18" t="s">
        <v>432</v>
      </c>
      <c r="E362" s="18" t="s">
        <v>436</v>
      </c>
      <c r="F362" s="2" t="s">
        <v>756</v>
      </c>
      <c r="G362" s="3" t="s">
        <v>3832</v>
      </c>
      <c r="H362" s="4" t="s">
        <v>30</v>
      </c>
      <c r="I362" s="4" t="s">
        <v>757</v>
      </c>
      <c r="J362" s="4" t="s">
        <v>758</v>
      </c>
      <c r="K362" s="28"/>
      <c r="L362" s="28"/>
      <c r="M362" s="28"/>
      <c r="N362" s="28"/>
      <c r="O362" s="28">
        <v>1</v>
      </c>
      <c r="P362" s="28">
        <v>0</v>
      </c>
      <c r="Q362" s="28"/>
      <c r="R362" s="28"/>
      <c r="S362" s="28"/>
      <c r="T362" s="28"/>
      <c r="U362" s="28"/>
      <c r="V362" s="34"/>
    </row>
    <row r="363" spans="2:22">
      <c r="B363" s="17" t="s">
        <v>1157</v>
      </c>
      <c r="C363" s="3">
        <v>81877</v>
      </c>
      <c r="D363" s="18" t="s">
        <v>432</v>
      </c>
      <c r="E363" s="18" t="s">
        <v>436</v>
      </c>
      <c r="F363" s="2" t="s">
        <v>759</v>
      </c>
      <c r="G363" s="3" t="s">
        <v>3835</v>
      </c>
      <c r="H363" s="4" t="s">
        <v>21</v>
      </c>
      <c r="I363" s="4" t="s">
        <v>62</v>
      </c>
      <c r="J363" s="4" t="s">
        <v>760</v>
      </c>
      <c r="K363" s="28"/>
      <c r="L363" s="28"/>
      <c r="M363" s="28"/>
      <c r="N363" s="28"/>
      <c r="O363" s="28">
        <v>3</v>
      </c>
      <c r="P363" s="28">
        <v>8</v>
      </c>
      <c r="Q363" s="28"/>
      <c r="R363" s="28">
        <v>7</v>
      </c>
      <c r="S363" s="28">
        <v>10</v>
      </c>
      <c r="T363" s="28"/>
      <c r="U363" s="28"/>
      <c r="V363" s="34"/>
    </row>
    <row r="364" spans="2:22">
      <c r="B364" s="17" t="s">
        <v>1157</v>
      </c>
      <c r="C364" s="3">
        <v>81877</v>
      </c>
      <c r="D364" s="18" t="s">
        <v>432</v>
      </c>
      <c r="E364" s="18" t="s">
        <v>436</v>
      </c>
      <c r="F364" s="2" t="s">
        <v>761</v>
      </c>
      <c r="G364" s="3" t="s">
        <v>3835</v>
      </c>
      <c r="H364" s="4" t="s">
        <v>21</v>
      </c>
      <c r="I364" s="4" t="s">
        <v>62</v>
      </c>
      <c r="J364" s="4" t="s">
        <v>762</v>
      </c>
      <c r="K364" s="28"/>
      <c r="L364" s="28"/>
      <c r="M364" s="28"/>
      <c r="N364" s="28"/>
      <c r="O364" s="28">
        <v>2</v>
      </c>
      <c r="P364" s="28">
        <v>0</v>
      </c>
      <c r="Q364" s="28"/>
      <c r="R364" s="28"/>
      <c r="S364" s="28"/>
      <c r="T364" s="28"/>
      <c r="U364" s="28"/>
      <c r="V364" s="34"/>
    </row>
    <row r="365" spans="2:22">
      <c r="B365" s="17" t="s">
        <v>1157</v>
      </c>
      <c r="C365" s="3">
        <v>81877</v>
      </c>
      <c r="D365" s="18" t="s">
        <v>432</v>
      </c>
      <c r="E365" s="18" t="s">
        <v>436</v>
      </c>
      <c r="F365" s="2" t="s">
        <v>763</v>
      </c>
      <c r="G365" s="3" t="s">
        <v>3835</v>
      </c>
      <c r="H365" s="4" t="s">
        <v>30</v>
      </c>
      <c r="I365" s="4" t="s">
        <v>284</v>
      </c>
      <c r="J365" s="4" t="s">
        <v>764</v>
      </c>
      <c r="K365" s="28"/>
      <c r="L365" s="28"/>
      <c r="M365" s="28"/>
      <c r="N365" s="28"/>
      <c r="O365" s="28">
        <v>1</v>
      </c>
      <c r="P365" s="28">
        <v>2</v>
      </c>
      <c r="Q365" s="28"/>
      <c r="R365" s="28"/>
      <c r="S365" s="28"/>
      <c r="T365" s="28"/>
      <c r="U365" s="28"/>
      <c r="V365" s="34"/>
    </row>
    <row r="366" spans="2:22">
      <c r="B366" s="17" t="s">
        <v>1157</v>
      </c>
      <c r="C366" s="3">
        <v>81877</v>
      </c>
      <c r="D366" s="18" t="s">
        <v>432</v>
      </c>
      <c r="E366" s="18" t="s">
        <v>436</v>
      </c>
      <c r="F366" s="2" t="s">
        <v>767</v>
      </c>
      <c r="G366" s="3" t="s">
        <v>3833</v>
      </c>
      <c r="H366" s="4" t="s">
        <v>30</v>
      </c>
      <c r="I366" s="4" t="s">
        <v>159</v>
      </c>
      <c r="J366" s="4" t="s">
        <v>768</v>
      </c>
      <c r="K366" s="28"/>
      <c r="L366" s="28"/>
      <c r="M366" s="28"/>
      <c r="N366" s="28"/>
      <c r="O366" s="28">
        <v>1</v>
      </c>
      <c r="P366" s="28">
        <v>0</v>
      </c>
      <c r="Q366" s="28"/>
      <c r="R366" s="28">
        <v>1</v>
      </c>
      <c r="S366" s="28"/>
      <c r="T366" s="28"/>
      <c r="U366" s="28"/>
      <c r="V366" s="34"/>
    </row>
    <row r="367" spans="2:22">
      <c r="B367" s="17" t="s">
        <v>1157</v>
      </c>
      <c r="C367" s="3">
        <v>81877</v>
      </c>
      <c r="D367" s="18" t="s">
        <v>432</v>
      </c>
      <c r="E367" s="18" t="s">
        <v>436</v>
      </c>
      <c r="F367" s="2" t="s">
        <v>769</v>
      </c>
      <c r="G367" s="3" t="s">
        <v>3836</v>
      </c>
      <c r="H367" s="4" t="s">
        <v>30</v>
      </c>
      <c r="I367" s="4" t="s">
        <v>328</v>
      </c>
      <c r="J367" s="4" t="s">
        <v>770</v>
      </c>
      <c r="K367" s="28"/>
      <c r="L367" s="28"/>
      <c r="M367" s="28"/>
      <c r="N367" s="28"/>
      <c r="O367" s="28">
        <v>3</v>
      </c>
      <c r="P367" s="28">
        <v>5</v>
      </c>
      <c r="Q367" s="28">
        <v>20</v>
      </c>
      <c r="R367" s="28">
        <v>20</v>
      </c>
      <c r="S367" s="28">
        <v>60</v>
      </c>
      <c r="T367" s="28">
        <v>2</v>
      </c>
      <c r="U367" s="28"/>
      <c r="V367" s="34"/>
    </row>
    <row r="368" spans="2:22">
      <c r="B368" s="17" t="s">
        <v>1157</v>
      </c>
      <c r="C368" s="3">
        <v>81877</v>
      </c>
      <c r="D368" s="18" t="s">
        <v>432</v>
      </c>
      <c r="E368" s="18" t="s">
        <v>436</v>
      </c>
      <c r="F368" s="2" t="s">
        <v>771</v>
      </c>
      <c r="G368" s="3" t="s">
        <v>3832</v>
      </c>
      <c r="H368" s="4" t="s">
        <v>30</v>
      </c>
      <c r="I368" s="4" t="s">
        <v>287</v>
      </c>
      <c r="J368" s="4" t="s">
        <v>772</v>
      </c>
      <c r="K368" s="28"/>
      <c r="L368" s="28"/>
      <c r="M368" s="28"/>
      <c r="N368" s="28"/>
      <c r="O368" s="28">
        <v>2</v>
      </c>
      <c r="P368" s="28">
        <v>0</v>
      </c>
      <c r="Q368" s="28"/>
      <c r="R368" s="28"/>
      <c r="S368" s="28"/>
      <c r="T368" s="28"/>
      <c r="U368" s="28"/>
      <c r="V368" s="34"/>
    </row>
    <row r="369" spans="2:22">
      <c r="B369" s="17" t="s">
        <v>1157</v>
      </c>
      <c r="C369" s="3">
        <v>81877</v>
      </c>
      <c r="D369" s="18" t="s">
        <v>432</v>
      </c>
      <c r="E369" s="18" t="s">
        <v>436</v>
      </c>
      <c r="F369" s="2" t="s">
        <v>775</v>
      </c>
      <c r="G369" s="3" t="s">
        <v>3833</v>
      </c>
      <c r="H369" s="4" t="s">
        <v>46</v>
      </c>
      <c r="I369" s="4" t="s">
        <v>250</v>
      </c>
      <c r="J369" s="4" t="s">
        <v>776</v>
      </c>
      <c r="K369" s="28"/>
      <c r="L369" s="28"/>
      <c r="M369" s="28"/>
      <c r="N369" s="28"/>
      <c r="O369" s="28">
        <v>3</v>
      </c>
      <c r="P369" s="28">
        <v>2</v>
      </c>
      <c r="Q369" s="28"/>
      <c r="R369" s="28"/>
      <c r="S369" s="28">
        <v>3</v>
      </c>
      <c r="T369" s="28"/>
      <c r="U369" s="28"/>
      <c r="V369" s="34"/>
    </row>
    <row r="370" spans="2:22">
      <c r="B370" s="17" t="s">
        <v>1157</v>
      </c>
      <c r="C370" s="3">
        <v>81877</v>
      </c>
      <c r="D370" s="18" t="s">
        <v>432</v>
      </c>
      <c r="E370" s="18" t="s">
        <v>436</v>
      </c>
      <c r="F370" s="2" t="s">
        <v>777</v>
      </c>
      <c r="G370" s="3" t="s">
        <v>3836</v>
      </c>
      <c r="H370" s="4" t="s">
        <v>30</v>
      </c>
      <c r="I370" s="4" t="s">
        <v>182</v>
      </c>
      <c r="J370" s="4" t="s">
        <v>778</v>
      </c>
      <c r="K370" s="28"/>
      <c r="L370" s="28"/>
      <c r="M370" s="28"/>
      <c r="N370" s="28"/>
      <c r="O370" s="28">
        <v>3</v>
      </c>
      <c r="P370" s="28">
        <v>0</v>
      </c>
      <c r="Q370" s="28">
        <v>3</v>
      </c>
      <c r="R370" s="28">
        <v>2</v>
      </c>
      <c r="S370" s="28"/>
      <c r="T370" s="28">
        <v>5</v>
      </c>
      <c r="U370" s="28">
        <v>3</v>
      </c>
      <c r="V370" s="34"/>
    </row>
    <row r="371" spans="2:22">
      <c r="B371" s="17" t="s">
        <v>1157</v>
      </c>
      <c r="C371" s="3">
        <v>81891</v>
      </c>
      <c r="D371" s="18" t="s">
        <v>432</v>
      </c>
      <c r="E371" s="18" t="s">
        <v>442</v>
      </c>
      <c r="F371" s="2" t="s">
        <v>779</v>
      </c>
      <c r="G371" s="3" t="s">
        <v>3834</v>
      </c>
      <c r="H371" s="4" t="s">
        <v>21</v>
      </c>
      <c r="I371" s="4" t="s">
        <v>84</v>
      </c>
      <c r="J371" s="4" t="s">
        <v>780</v>
      </c>
      <c r="K371" s="28"/>
      <c r="L371" s="28"/>
      <c r="M371" s="28"/>
      <c r="N371" s="28"/>
      <c r="O371" s="28"/>
      <c r="P371" s="28"/>
      <c r="Q371" s="28">
        <v>1</v>
      </c>
      <c r="R371" s="28"/>
      <c r="S371" s="28">
        <v>2</v>
      </c>
      <c r="T371" s="28"/>
      <c r="U371" s="28"/>
      <c r="V371" s="34"/>
    </row>
    <row r="372" spans="2:22">
      <c r="B372" s="17" t="s">
        <v>1157</v>
      </c>
      <c r="C372" s="3">
        <v>81891</v>
      </c>
      <c r="D372" s="18" t="s">
        <v>432</v>
      </c>
      <c r="E372" s="18" t="s">
        <v>442</v>
      </c>
      <c r="F372" s="2" t="s">
        <v>781</v>
      </c>
      <c r="G372" s="3" t="s">
        <v>3834</v>
      </c>
      <c r="H372" s="4" t="s">
        <v>21</v>
      </c>
      <c r="I372" s="4" t="s">
        <v>35</v>
      </c>
      <c r="J372" s="4" t="s">
        <v>714</v>
      </c>
      <c r="K372" s="28"/>
      <c r="L372" s="28"/>
      <c r="M372" s="28"/>
      <c r="N372" s="28"/>
      <c r="O372" s="28">
        <v>5</v>
      </c>
      <c r="P372" s="28">
        <v>0</v>
      </c>
      <c r="Q372" s="28"/>
      <c r="R372" s="28"/>
      <c r="S372" s="28"/>
      <c r="T372" s="28">
        <v>1</v>
      </c>
      <c r="U372" s="28"/>
      <c r="V372" s="34"/>
    </row>
    <row r="373" spans="2:22">
      <c r="B373" s="17" t="s">
        <v>1157</v>
      </c>
      <c r="C373" s="3">
        <v>81891</v>
      </c>
      <c r="D373" s="18" t="s">
        <v>432</v>
      </c>
      <c r="E373" s="18" t="s">
        <v>442</v>
      </c>
      <c r="F373" s="2" t="s">
        <v>784</v>
      </c>
      <c r="G373" s="3" t="s">
        <v>3834</v>
      </c>
      <c r="H373" s="4" t="s">
        <v>21</v>
      </c>
      <c r="I373" s="4" t="s">
        <v>84</v>
      </c>
      <c r="J373" s="4" t="s">
        <v>785</v>
      </c>
      <c r="K373" s="28"/>
      <c r="L373" s="28"/>
      <c r="M373" s="28"/>
      <c r="N373" s="28"/>
      <c r="O373" s="28">
        <v>5</v>
      </c>
      <c r="P373" s="28">
        <v>0</v>
      </c>
      <c r="Q373" s="28"/>
      <c r="R373" s="28"/>
      <c r="S373" s="28"/>
      <c r="T373" s="28"/>
      <c r="U373" s="28"/>
      <c r="V373" s="34"/>
    </row>
    <row r="374" spans="2:22">
      <c r="B374" s="17" t="s">
        <v>1157</v>
      </c>
      <c r="C374" s="3">
        <v>83763</v>
      </c>
      <c r="D374" s="18" t="s">
        <v>432</v>
      </c>
      <c r="E374" s="18" t="s">
        <v>439</v>
      </c>
      <c r="F374" s="2" t="s">
        <v>786</v>
      </c>
      <c r="G374" s="3" t="s">
        <v>3834</v>
      </c>
      <c r="H374" s="4" t="s">
        <v>21</v>
      </c>
      <c r="I374" s="4" t="s">
        <v>76</v>
      </c>
      <c r="J374" s="4" t="s">
        <v>787</v>
      </c>
      <c r="K374" s="28"/>
      <c r="L374" s="28"/>
      <c r="M374" s="28"/>
      <c r="N374" s="28"/>
      <c r="O374" s="28">
        <v>4</v>
      </c>
      <c r="P374" s="28">
        <v>0</v>
      </c>
      <c r="Q374" s="28">
        <v>3</v>
      </c>
      <c r="R374" s="28"/>
      <c r="S374" s="28">
        <v>5</v>
      </c>
      <c r="T374" s="28"/>
      <c r="U374" s="28"/>
      <c r="V374" s="34"/>
    </row>
    <row r="375" spans="2:22">
      <c r="B375" s="17" t="s">
        <v>1157</v>
      </c>
      <c r="C375" s="3">
        <v>83763</v>
      </c>
      <c r="D375" s="18" t="s">
        <v>432</v>
      </c>
      <c r="E375" s="18" t="s">
        <v>439</v>
      </c>
      <c r="F375" s="2" t="s">
        <v>788</v>
      </c>
      <c r="G375" s="3" t="s">
        <v>3832</v>
      </c>
      <c r="H375" s="4" t="s">
        <v>30</v>
      </c>
      <c r="I375" s="4" t="s">
        <v>325</v>
      </c>
      <c r="J375" s="4" t="s">
        <v>789</v>
      </c>
      <c r="K375" s="28"/>
      <c r="L375" s="28"/>
      <c r="M375" s="28"/>
      <c r="N375" s="28"/>
      <c r="O375" s="28">
        <v>1</v>
      </c>
      <c r="P375" s="28">
        <v>1</v>
      </c>
      <c r="Q375" s="28">
        <v>3</v>
      </c>
      <c r="R375" s="28">
        <v>1</v>
      </c>
      <c r="S375" s="28">
        <v>3</v>
      </c>
      <c r="T375" s="28">
        <v>2</v>
      </c>
      <c r="U375" s="28"/>
      <c r="V375" s="34"/>
    </row>
    <row r="376" spans="2:22">
      <c r="B376" s="17" t="s">
        <v>1157</v>
      </c>
      <c r="C376" s="3">
        <v>83763</v>
      </c>
      <c r="D376" s="18" t="s">
        <v>432</v>
      </c>
      <c r="E376" s="18" t="s">
        <v>439</v>
      </c>
      <c r="F376" s="2" t="s">
        <v>792</v>
      </c>
      <c r="G376" s="3" t="s">
        <v>3835</v>
      </c>
      <c r="H376" s="4" t="s">
        <v>21</v>
      </c>
      <c r="I376" s="4" t="s">
        <v>128</v>
      </c>
      <c r="J376" s="4" t="s">
        <v>793</v>
      </c>
      <c r="K376" s="28"/>
      <c r="L376" s="28"/>
      <c r="M376" s="28"/>
      <c r="N376" s="28"/>
      <c r="O376" s="28">
        <v>3</v>
      </c>
      <c r="P376" s="28">
        <v>2</v>
      </c>
      <c r="Q376" s="28">
        <v>2</v>
      </c>
      <c r="R376" s="28"/>
      <c r="S376" s="28">
        <v>2</v>
      </c>
      <c r="T376" s="28">
        <v>2</v>
      </c>
      <c r="U376" s="28"/>
      <c r="V376" s="34"/>
    </row>
    <row r="377" spans="2:22">
      <c r="B377" s="17" t="s">
        <v>1157</v>
      </c>
      <c r="C377" s="3">
        <v>83763</v>
      </c>
      <c r="D377" s="18" t="s">
        <v>432</v>
      </c>
      <c r="E377" s="18" t="s">
        <v>439</v>
      </c>
      <c r="F377" s="2" t="s">
        <v>794</v>
      </c>
      <c r="G377" s="3" t="s">
        <v>3832</v>
      </c>
      <c r="H377" s="4" t="s">
        <v>21</v>
      </c>
      <c r="I377" s="4" t="s">
        <v>358</v>
      </c>
      <c r="J377" s="4" t="s">
        <v>795</v>
      </c>
      <c r="K377" s="28"/>
      <c r="L377" s="28"/>
      <c r="M377" s="28"/>
      <c r="N377" s="28"/>
      <c r="O377" s="28">
        <v>5</v>
      </c>
      <c r="P377" s="28">
        <v>0</v>
      </c>
      <c r="Q377" s="28">
        <v>0</v>
      </c>
      <c r="R377" s="28">
        <v>1</v>
      </c>
      <c r="S377" s="28"/>
      <c r="T377" s="28">
        <v>3</v>
      </c>
      <c r="U377" s="28"/>
      <c r="V377" s="34"/>
    </row>
    <row r="378" spans="2:22">
      <c r="B378" s="17" t="s">
        <v>1157</v>
      </c>
      <c r="C378" s="3">
        <v>83763</v>
      </c>
      <c r="D378" s="18" t="s">
        <v>432</v>
      </c>
      <c r="E378" s="18" t="s">
        <v>439</v>
      </c>
      <c r="F378" s="2" t="s">
        <v>798</v>
      </c>
      <c r="G378" s="3" t="s">
        <v>3836</v>
      </c>
      <c r="H378" s="4" t="s">
        <v>30</v>
      </c>
      <c r="I378" s="4" t="s">
        <v>72</v>
      </c>
      <c r="J378" s="4" t="s">
        <v>799</v>
      </c>
      <c r="K378" s="28"/>
      <c r="L378" s="28"/>
      <c r="M378" s="28"/>
      <c r="N378" s="28"/>
      <c r="O378" s="28">
        <v>3</v>
      </c>
      <c r="P378" s="28">
        <v>0</v>
      </c>
      <c r="Q378" s="28">
        <v>0</v>
      </c>
      <c r="R378" s="28"/>
      <c r="S378" s="28">
        <v>2</v>
      </c>
      <c r="T378" s="28"/>
      <c r="U378" s="28"/>
      <c r="V378" s="34"/>
    </row>
    <row r="379" spans="2:22">
      <c r="B379" s="17" t="s">
        <v>1157</v>
      </c>
      <c r="C379" s="3">
        <v>83763</v>
      </c>
      <c r="D379" s="18" t="s">
        <v>432</v>
      </c>
      <c r="E379" s="18" t="s">
        <v>439</v>
      </c>
      <c r="F379" s="2" t="s">
        <v>800</v>
      </c>
      <c r="G379" s="3" t="s">
        <v>3836</v>
      </c>
      <c r="H379" s="4" t="s">
        <v>30</v>
      </c>
      <c r="I379" s="4" t="s">
        <v>271</v>
      </c>
      <c r="J379" s="4" t="s">
        <v>801</v>
      </c>
      <c r="K379" s="28"/>
      <c r="L379" s="28"/>
      <c r="M379" s="28"/>
      <c r="N379" s="28"/>
      <c r="O379" s="28">
        <v>1</v>
      </c>
      <c r="P379" s="28">
        <v>1</v>
      </c>
      <c r="Q379" s="28">
        <v>2</v>
      </c>
      <c r="R379" s="28"/>
      <c r="S379" s="28"/>
      <c r="T379" s="28">
        <v>4</v>
      </c>
      <c r="U379" s="28"/>
      <c r="V379" s="34"/>
    </row>
    <row r="380" spans="2:22">
      <c r="B380" s="17" t="s">
        <v>1157</v>
      </c>
      <c r="C380" s="3">
        <v>83763</v>
      </c>
      <c r="D380" s="18" t="s">
        <v>432</v>
      </c>
      <c r="E380" s="18" t="s">
        <v>439</v>
      </c>
      <c r="F380" s="2" t="s">
        <v>802</v>
      </c>
      <c r="G380" s="3" t="s">
        <v>3833</v>
      </c>
      <c r="H380" s="4" t="s">
        <v>30</v>
      </c>
      <c r="I380" s="4" t="s">
        <v>55</v>
      </c>
      <c r="J380" s="4" t="s">
        <v>803</v>
      </c>
      <c r="K380" s="28"/>
      <c r="L380" s="28"/>
      <c r="M380" s="28"/>
      <c r="N380" s="28"/>
      <c r="O380" s="28">
        <v>1</v>
      </c>
      <c r="P380" s="28">
        <v>0</v>
      </c>
      <c r="Q380" s="28">
        <v>0</v>
      </c>
      <c r="R380" s="28"/>
      <c r="S380" s="28"/>
      <c r="T380" s="28"/>
      <c r="U380" s="28"/>
      <c r="V380" s="34"/>
    </row>
    <row r="381" spans="2:22">
      <c r="B381" s="17" t="s">
        <v>1157</v>
      </c>
      <c r="C381" s="3">
        <v>83763</v>
      </c>
      <c r="D381" s="18" t="s">
        <v>432</v>
      </c>
      <c r="E381" s="18" t="s">
        <v>439</v>
      </c>
      <c r="F381" s="2" t="s">
        <v>804</v>
      </c>
      <c r="G381" s="3" t="s">
        <v>3833</v>
      </c>
      <c r="H381" s="4" t="s">
        <v>30</v>
      </c>
      <c r="I381" s="4" t="s">
        <v>55</v>
      </c>
      <c r="J381" s="4" t="s">
        <v>56</v>
      </c>
      <c r="K381" s="28"/>
      <c r="L381" s="28"/>
      <c r="M381" s="28"/>
      <c r="N381" s="28"/>
      <c r="O381" s="28">
        <v>3</v>
      </c>
      <c r="P381" s="28">
        <v>0</v>
      </c>
      <c r="Q381" s="28">
        <v>0</v>
      </c>
      <c r="R381" s="28"/>
      <c r="S381" s="28"/>
      <c r="T381" s="28"/>
      <c r="U381" s="28"/>
      <c r="V381" s="34"/>
    </row>
    <row r="382" spans="2:22">
      <c r="B382" s="17" t="s">
        <v>1157</v>
      </c>
      <c r="C382" s="3">
        <v>83763</v>
      </c>
      <c r="D382" s="18" t="s">
        <v>432</v>
      </c>
      <c r="E382" s="18" t="s">
        <v>439</v>
      </c>
      <c r="F382" s="2" t="s">
        <v>788</v>
      </c>
      <c r="G382" s="3" t="s">
        <v>3832</v>
      </c>
      <c r="H382" s="4" t="s">
        <v>30</v>
      </c>
      <c r="I382" s="4" t="s">
        <v>325</v>
      </c>
      <c r="J382" s="4" t="s">
        <v>805</v>
      </c>
      <c r="K382" s="28"/>
      <c r="L382" s="28"/>
      <c r="M382" s="28"/>
      <c r="N382" s="28"/>
      <c r="O382" s="28"/>
      <c r="P382" s="28"/>
      <c r="Q382" s="28">
        <v>1</v>
      </c>
      <c r="R382" s="28"/>
      <c r="S382" s="28"/>
      <c r="T382" s="28"/>
      <c r="U382" s="28">
        <v>2</v>
      </c>
      <c r="V382" s="34"/>
    </row>
    <row r="383" spans="2:22">
      <c r="B383" s="17" t="s">
        <v>1157</v>
      </c>
      <c r="C383" s="3">
        <v>83763</v>
      </c>
      <c r="D383" s="18" t="s">
        <v>432</v>
      </c>
      <c r="E383" s="18" t="s">
        <v>439</v>
      </c>
      <c r="F383" s="2" t="s">
        <v>806</v>
      </c>
      <c r="G383" s="3" t="s">
        <v>3835</v>
      </c>
      <c r="H383" s="4" t="s">
        <v>30</v>
      </c>
      <c r="I383" s="4" t="s">
        <v>296</v>
      </c>
      <c r="J383" s="4" t="s">
        <v>807</v>
      </c>
      <c r="K383" s="28"/>
      <c r="L383" s="28"/>
      <c r="M383" s="28"/>
      <c r="N383" s="28"/>
      <c r="O383" s="28"/>
      <c r="P383" s="28"/>
      <c r="Q383" s="28">
        <v>2</v>
      </c>
      <c r="R383" s="28"/>
      <c r="S383" s="28"/>
      <c r="T383" s="28"/>
      <c r="U383" s="28"/>
      <c r="V383" s="34"/>
    </row>
    <row r="384" spans="2:22">
      <c r="B384" s="17" t="s">
        <v>1157</v>
      </c>
      <c r="C384" s="3">
        <v>83763</v>
      </c>
      <c r="D384" s="18" t="s">
        <v>432</v>
      </c>
      <c r="E384" s="18" t="s">
        <v>439</v>
      </c>
      <c r="F384" s="2" t="s">
        <v>808</v>
      </c>
      <c r="G384" s="3" t="s">
        <v>3832</v>
      </c>
      <c r="H384" s="4" t="s">
        <v>30</v>
      </c>
      <c r="I384" s="4" t="s">
        <v>299</v>
      </c>
      <c r="J384" s="4" t="s">
        <v>809</v>
      </c>
      <c r="K384" s="28"/>
      <c r="L384" s="28"/>
      <c r="M384" s="28"/>
      <c r="N384" s="28"/>
      <c r="O384" s="28"/>
      <c r="P384" s="28"/>
      <c r="Q384" s="28">
        <v>3</v>
      </c>
      <c r="R384" s="28">
        <v>3</v>
      </c>
      <c r="S384" s="28">
        <v>1</v>
      </c>
      <c r="T384" s="28">
        <v>1</v>
      </c>
      <c r="U384" s="28"/>
      <c r="V384" s="34"/>
    </row>
    <row r="385" spans="2:22">
      <c r="B385" s="17" t="s">
        <v>1157</v>
      </c>
      <c r="C385" s="3">
        <v>83763</v>
      </c>
      <c r="D385" s="18" t="s">
        <v>432</v>
      </c>
      <c r="E385" s="18" t="s">
        <v>439</v>
      </c>
      <c r="F385" s="2" t="s">
        <v>810</v>
      </c>
      <c r="G385" s="3" t="s">
        <v>3834</v>
      </c>
      <c r="H385" s="4" t="s">
        <v>21</v>
      </c>
      <c r="I385" s="4" t="s">
        <v>76</v>
      </c>
      <c r="J385" s="4" t="s">
        <v>811</v>
      </c>
      <c r="K385" s="28"/>
      <c r="L385" s="28"/>
      <c r="M385" s="28"/>
      <c r="N385" s="28"/>
      <c r="O385" s="28"/>
      <c r="P385" s="28"/>
      <c r="Q385" s="28">
        <v>15</v>
      </c>
      <c r="R385" s="28">
        <v>7</v>
      </c>
      <c r="S385" s="28">
        <v>8</v>
      </c>
      <c r="T385" s="28">
        <v>7</v>
      </c>
      <c r="U385" s="28">
        <v>12</v>
      </c>
      <c r="V385" s="34"/>
    </row>
    <row r="386" spans="2:22">
      <c r="B386" s="17" t="s">
        <v>1157</v>
      </c>
      <c r="C386" s="3">
        <v>83763</v>
      </c>
      <c r="D386" s="18" t="s">
        <v>432</v>
      </c>
      <c r="E386" s="18" t="s">
        <v>439</v>
      </c>
      <c r="F386" s="2" t="s">
        <v>812</v>
      </c>
      <c r="G386" s="3" t="s">
        <v>3832</v>
      </c>
      <c r="H386" s="4" t="s">
        <v>21</v>
      </c>
      <c r="I386" s="4" t="s">
        <v>358</v>
      </c>
      <c r="J386" s="4" t="s">
        <v>813</v>
      </c>
      <c r="K386" s="28"/>
      <c r="L386" s="28"/>
      <c r="M386" s="28"/>
      <c r="N386" s="28"/>
      <c r="O386" s="28"/>
      <c r="P386" s="28"/>
      <c r="Q386" s="28">
        <v>2</v>
      </c>
      <c r="R386" s="28"/>
      <c r="S386" s="28">
        <v>2</v>
      </c>
      <c r="T386" s="28">
        <v>1</v>
      </c>
      <c r="U386" s="28"/>
      <c r="V386" s="34"/>
    </row>
    <row r="387" spans="2:22">
      <c r="B387" s="17" t="s">
        <v>1157</v>
      </c>
      <c r="C387" s="3">
        <v>83763</v>
      </c>
      <c r="D387" s="18" t="s">
        <v>432</v>
      </c>
      <c r="E387" s="18" t="s">
        <v>439</v>
      </c>
      <c r="F387" s="2" t="s">
        <v>814</v>
      </c>
      <c r="G387" s="3" t="s">
        <v>3832</v>
      </c>
      <c r="H387" s="4" t="s">
        <v>30</v>
      </c>
      <c r="I387" s="4" t="s">
        <v>325</v>
      </c>
      <c r="J387" s="4" t="s">
        <v>815</v>
      </c>
      <c r="K387" s="28"/>
      <c r="L387" s="28"/>
      <c r="M387" s="28"/>
      <c r="N387" s="28"/>
      <c r="O387" s="28"/>
      <c r="P387" s="28"/>
      <c r="Q387" s="28">
        <v>2</v>
      </c>
      <c r="R387" s="28">
        <v>5</v>
      </c>
      <c r="S387" s="28">
        <v>5</v>
      </c>
      <c r="T387" s="28"/>
      <c r="U387" s="28"/>
      <c r="V387" s="34"/>
    </row>
    <row r="388" spans="2:22">
      <c r="B388" s="17" t="s">
        <v>1157</v>
      </c>
      <c r="C388" s="3">
        <v>83763</v>
      </c>
      <c r="D388" s="18" t="s">
        <v>432</v>
      </c>
      <c r="E388" s="18" t="s">
        <v>439</v>
      </c>
      <c r="F388" s="2" t="s">
        <v>816</v>
      </c>
      <c r="G388" s="3" t="s">
        <v>3834</v>
      </c>
      <c r="H388" s="4" t="s">
        <v>21</v>
      </c>
      <c r="I388" s="4" t="s">
        <v>76</v>
      </c>
      <c r="J388" s="4" t="s">
        <v>817</v>
      </c>
      <c r="K388" s="28"/>
      <c r="L388" s="28"/>
      <c r="M388" s="28"/>
      <c r="N388" s="28"/>
      <c r="O388" s="28"/>
      <c r="P388" s="28"/>
      <c r="Q388" s="28">
        <v>6</v>
      </c>
      <c r="R388" s="28"/>
      <c r="S388" s="28">
        <v>5</v>
      </c>
      <c r="T388" s="28"/>
      <c r="U388" s="28"/>
      <c r="V388" s="34"/>
    </row>
    <row r="389" spans="2:22">
      <c r="B389" s="17" t="s">
        <v>1157</v>
      </c>
      <c r="C389" s="3">
        <v>83763</v>
      </c>
      <c r="D389" s="18" t="s">
        <v>432</v>
      </c>
      <c r="E389" s="18" t="s">
        <v>439</v>
      </c>
      <c r="F389" s="2" t="s">
        <v>818</v>
      </c>
      <c r="G389" s="3" t="s">
        <v>3847</v>
      </c>
      <c r="H389" s="4" t="s">
        <v>30</v>
      </c>
      <c r="I389" s="4" t="s">
        <v>819</v>
      </c>
      <c r="J389" s="4" t="s">
        <v>820</v>
      </c>
      <c r="K389" s="28"/>
      <c r="L389" s="28"/>
      <c r="M389" s="28"/>
      <c r="N389" s="28"/>
      <c r="O389" s="28"/>
      <c r="P389" s="28"/>
      <c r="Q389" s="28">
        <v>2</v>
      </c>
      <c r="R389" s="28"/>
      <c r="S389" s="28"/>
      <c r="T389" s="28">
        <v>2</v>
      </c>
      <c r="U389" s="28"/>
      <c r="V389" s="34"/>
    </row>
    <row r="390" spans="2:22">
      <c r="B390" s="17" t="s">
        <v>1157</v>
      </c>
      <c r="C390" s="3">
        <v>83763</v>
      </c>
      <c r="D390" s="18" t="s">
        <v>432</v>
      </c>
      <c r="E390" s="18" t="s">
        <v>439</v>
      </c>
      <c r="F390" s="2" t="s">
        <v>824</v>
      </c>
      <c r="G390" s="3" t="s">
        <v>3835</v>
      </c>
      <c r="H390" s="4" t="s">
        <v>21</v>
      </c>
      <c r="I390" s="4" t="s">
        <v>62</v>
      </c>
      <c r="J390" s="4" t="s">
        <v>825</v>
      </c>
      <c r="K390" s="28"/>
      <c r="L390" s="28"/>
      <c r="M390" s="28"/>
      <c r="N390" s="28"/>
      <c r="O390" s="28"/>
      <c r="P390" s="28"/>
      <c r="Q390" s="28">
        <v>3</v>
      </c>
      <c r="R390" s="28">
        <v>3</v>
      </c>
      <c r="S390" s="28">
        <v>6</v>
      </c>
      <c r="T390" s="28">
        <v>4</v>
      </c>
      <c r="U390" s="28">
        <v>5</v>
      </c>
      <c r="V390" s="34"/>
    </row>
    <row r="391" spans="2:22">
      <c r="B391" s="17" t="s">
        <v>1157</v>
      </c>
      <c r="C391" s="3">
        <v>83763</v>
      </c>
      <c r="D391" s="18" t="s">
        <v>432</v>
      </c>
      <c r="E391" s="18" t="s">
        <v>439</v>
      </c>
      <c r="F391" s="2" t="s">
        <v>826</v>
      </c>
      <c r="G391" s="3" t="s">
        <v>3833</v>
      </c>
      <c r="H391" s="4" t="s">
        <v>46</v>
      </c>
      <c r="I391" s="4" t="s">
        <v>132</v>
      </c>
      <c r="J391" s="4" t="s">
        <v>827</v>
      </c>
      <c r="K391" s="28"/>
      <c r="L391" s="28"/>
      <c r="M391" s="28"/>
      <c r="N391" s="28"/>
      <c r="O391" s="28"/>
      <c r="P391" s="28"/>
      <c r="Q391" s="28">
        <v>5</v>
      </c>
      <c r="R391" s="28"/>
      <c r="S391" s="28"/>
      <c r="T391" s="28"/>
      <c r="U391" s="28"/>
      <c r="V391" s="34"/>
    </row>
    <row r="392" spans="2:22">
      <c r="B392" s="17" t="s">
        <v>1157</v>
      </c>
      <c r="C392" s="3">
        <v>83763</v>
      </c>
      <c r="D392" s="18" t="s">
        <v>432</v>
      </c>
      <c r="E392" s="18" t="s">
        <v>439</v>
      </c>
      <c r="F392" s="2" t="s">
        <v>828</v>
      </c>
      <c r="G392" s="3" t="s">
        <v>3834</v>
      </c>
      <c r="H392" s="4" t="s">
        <v>21</v>
      </c>
      <c r="I392" s="4" t="s">
        <v>35</v>
      </c>
      <c r="J392" s="4" t="s">
        <v>829</v>
      </c>
      <c r="K392" s="28"/>
      <c r="L392" s="28"/>
      <c r="M392" s="28"/>
      <c r="N392" s="28"/>
      <c r="O392" s="28"/>
      <c r="P392" s="28"/>
      <c r="Q392" s="28">
        <v>4</v>
      </c>
      <c r="R392" s="28"/>
      <c r="S392" s="28"/>
      <c r="T392" s="28"/>
      <c r="U392" s="28"/>
      <c r="V392" s="34"/>
    </row>
    <row r="393" spans="2:22">
      <c r="B393" s="17" t="s">
        <v>1157</v>
      </c>
      <c r="C393" s="3">
        <v>83763</v>
      </c>
      <c r="D393" s="18" t="s">
        <v>432</v>
      </c>
      <c r="E393" s="18" t="s">
        <v>439</v>
      </c>
      <c r="F393" s="2" t="s">
        <v>830</v>
      </c>
      <c r="G393" s="3" t="s">
        <v>3833</v>
      </c>
      <c r="H393" s="4" t="s">
        <v>46</v>
      </c>
      <c r="I393" s="4" t="s">
        <v>47</v>
      </c>
      <c r="J393" s="4" t="s">
        <v>831</v>
      </c>
      <c r="K393" s="28"/>
      <c r="L393" s="28"/>
      <c r="M393" s="28"/>
      <c r="N393" s="28"/>
      <c r="O393" s="28"/>
      <c r="P393" s="28"/>
      <c r="Q393" s="28">
        <v>2</v>
      </c>
      <c r="R393" s="28">
        <v>2</v>
      </c>
      <c r="S393" s="28"/>
      <c r="T393" s="28"/>
      <c r="U393" s="28"/>
      <c r="V393" s="34"/>
    </row>
    <row r="394" spans="2:22">
      <c r="B394" s="17" t="s">
        <v>1157</v>
      </c>
      <c r="C394" s="3">
        <v>81891</v>
      </c>
      <c r="D394" s="18" t="s">
        <v>432</v>
      </c>
      <c r="E394" s="18" t="s">
        <v>442</v>
      </c>
      <c r="F394" s="2" t="s">
        <v>832</v>
      </c>
      <c r="G394" s="3" t="s">
        <v>3834</v>
      </c>
      <c r="H394" s="4" t="s">
        <v>21</v>
      </c>
      <c r="I394" s="4" t="s">
        <v>84</v>
      </c>
      <c r="J394" s="4" t="s">
        <v>833</v>
      </c>
      <c r="K394" s="28"/>
      <c r="L394" s="28"/>
      <c r="M394" s="28"/>
      <c r="N394" s="28"/>
      <c r="O394" s="28"/>
      <c r="P394" s="28"/>
      <c r="Q394" s="28">
        <v>1</v>
      </c>
      <c r="R394" s="28"/>
      <c r="S394" s="28"/>
      <c r="T394" s="28"/>
      <c r="U394" s="28"/>
      <c r="V394" s="34"/>
    </row>
    <row r="395" spans="2:22">
      <c r="B395" s="17" t="s">
        <v>1157</v>
      </c>
      <c r="C395" s="3">
        <v>81877</v>
      </c>
      <c r="D395" s="18" t="s">
        <v>432</v>
      </c>
      <c r="E395" s="18" t="s">
        <v>436</v>
      </c>
      <c r="F395" s="2" t="s">
        <v>838</v>
      </c>
      <c r="G395" s="3" t="s">
        <v>3835</v>
      </c>
      <c r="H395" s="4" t="s">
        <v>30</v>
      </c>
      <c r="I395" s="4" t="s">
        <v>284</v>
      </c>
      <c r="J395" s="4" t="s">
        <v>839</v>
      </c>
      <c r="K395" s="28"/>
      <c r="L395" s="28"/>
      <c r="M395" s="28"/>
      <c r="N395" s="28"/>
      <c r="O395" s="28"/>
      <c r="P395" s="28"/>
      <c r="Q395" s="28">
        <v>1</v>
      </c>
      <c r="R395" s="28"/>
      <c r="S395" s="28"/>
      <c r="T395" s="28"/>
      <c r="U395" s="28"/>
      <c r="V395" s="34"/>
    </row>
    <row r="396" spans="2:22">
      <c r="B396" s="17" t="s">
        <v>1157</v>
      </c>
      <c r="C396" s="3">
        <v>81877</v>
      </c>
      <c r="D396" s="18" t="s">
        <v>432</v>
      </c>
      <c r="E396" s="18" t="s">
        <v>436</v>
      </c>
      <c r="F396" s="2" t="s">
        <v>840</v>
      </c>
      <c r="G396" s="3" t="s">
        <v>3833</v>
      </c>
      <c r="H396" s="4" t="s">
        <v>46</v>
      </c>
      <c r="I396" s="4" t="s">
        <v>132</v>
      </c>
      <c r="J396" s="4" t="s">
        <v>841</v>
      </c>
      <c r="K396" s="28"/>
      <c r="L396" s="28"/>
      <c r="M396" s="28"/>
      <c r="N396" s="28"/>
      <c r="O396" s="28"/>
      <c r="P396" s="28"/>
      <c r="Q396" s="28">
        <v>3</v>
      </c>
      <c r="R396" s="28"/>
      <c r="S396" s="28"/>
      <c r="T396" s="28"/>
      <c r="U396" s="28"/>
      <c r="V396" s="34"/>
    </row>
    <row r="397" spans="2:22">
      <c r="B397" s="17" t="s">
        <v>1157</v>
      </c>
      <c r="C397" s="3">
        <v>81877</v>
      </c>
      <c r="D397" s="18" t="s">
        <v>432</v>
      </c>
      <c r="E397" s="18" t="s">
        <v>436</v>
      </c>
      <c r="F397" s="2" t="s">
        <v>842</v>
      </c>
      <c r="G397" s="3" t="s">
        <v>3833</v>
      </c>
      <c r="H397" s="4" t="s">
        <v>46</v>
      </c>
      <c r="I397" s="4" t="s">
        <v>132</v>
      </c>
      <c r="J397" s="4" t="s">
        <v>843</v>
      </c>
      <c r="K397" s="28"/>
      <c r="L397" s="28"/>
      <c r="M397" s="28"/>
      <c r="N397" s="28"/>
      <c r="O397" s="28"/>
      <c r="P397" s="28"/>
      <c r="Q397" s="28">
        <v>3</v>
      </c>
      <c r="R397" s="28">
        <v>3</v>
      </c>
      <c r="S397" s="28">
        <v>5</v>
      </c>
      <c r="T397" s="28">
        <v>5</v>
      </c>
      <c r="U397" s="28"/>
      <c r="V397" s="34"/>
    </row>
    <row r="398" spans="2:22">
      <c r="B398" s="17" t="s">
        <v>1157</v>
      </c>
      <c r="C398" s="3">
        <v>81877</v>
      </c>
      <c r="D398" s="18" t="s">
        <v>432</v>
      </c>
      <c r="E398" s="18" t="s">
        <v>436</v>
      </c>
      <c r="F398" s="2" t="s">
        <v>846</v>
      </c>
      <c r="G398" s="3" t="s">
        <v>3833</v>
      </c>
      <c r="H398" s="4" t="s">
        <v>30</v>
      </c>
      <c r="I398" s="4" t="s">
        <v>31</v>
      </c>
      <c r="J398" s="4" t="s">
        <v>847</v>
      </c>
      <c r="K398" s="28"/>
      <c r="L398" s="28"/>
      <c r="M398" s="28"/>
      <c r="N398" s="28"/>
      <c r="O398" s="28"/>
      <c r="P398" s="28"/>
      <c r="Q398" s="28">
        <v>5</v>
      </c>
      <c r="R398" s="28"/>
      <c r="S398" s="28"/>
      <c r="T398" s="28"/>
      <c r="U398" s="28"/>
      <c r="V398" s="34"/>
    </row>
    <row r="399" spans="2:22">
      <c r="B399" s="17" t="s">
        <v>1157</v>
      </c>
      <c r="C399" s="3">
        <v>81877</v>
      </c>
      <c r="D399" s="18" t="s">
        <v>432</v>
      </c>
      <c r="E399" s="18" t="s">
        <v>436</v>
      </c>
      <c r="F399" s="2" t="s">
        <v>848</v>
      </c>
      <c r="G399" s="3" t="s">
        <v>3836</v>
      </c>
      <c r="H399" s="4" t="s">
        <v>30</v>
      </c>
      <c r="I399" s="4" t="s">
        <v>182</v>
      </c>
      <c r="J399" s="4" t="s">
        <v>849</v>
      </c>
      <c r="K399" s="28"/>
      <c r="L399" s="28"/>
      <c r="M399" s="28"/>
      <c r="N399" s="28"/>
      <c r="O399" s="28"/>
      <c r="P399" s="28"/>
      <c r="Q399" s="28">
        <v>5</v>
      </c>
      <c r="R399" s="28">
        <v>5</v>
      </c>
      <c r="S399" s="28"/>
      <c r="T399" s="28"/>
      <c r="U399" s="28"/>
      <c r="V399" s="34"/>
    </row>
    <row r="400" spans="2:22">
      <c r="B400" s="17" t="s">
        <v>1157</v>
      </c>
      <c r="C400" s="3">
        <v>81877</v>
      </c>
      <c r="D400" s="18" t="s">
        <v>432</v>
      </c>
      <c r="E400" s="18" t="s">
        <v>436</v>
      </c>
      <c r="F400" s="2" t="s">
        <v>850</v>
      </c>
      <c r="G400" s="3" t="s">
        <v>3833</v>
      </c>
      <c r="H400" s="4" t="s">
        <v>30</v>
      </c>
      <c r="I400" s="4" t="s">
        <v>55</v>
      </c>
      <c r="J400" s="4" t="s">
        <v>851</v>
      </c>
      <c r="K400" s="28"/>
      <c r="L400" s="28"/>
      <c r="M400" s="28"/>
      <c r="N400" s="28"/>
      <c r="O400" s="28"/>
      <c r="P400" s="28"/>
      <c r="Q400" s="28">
        <v>4</v>
      </c>
      <c r="R400" s="28">
        <v>2</v>
      </c>
      <c r="S400" s="28"/>
      <c r="T400" s="28"/>
      <c r="U400" s="28"/>
      <c r="V400" s="34"/>
    </row>
    <row r="401" spans="2:22">
      <c r="B401" s="17" t="s">
        <v>1157</v>
      </c>
      <c r="C401" s="3">
        <v>81877</v>
      </c>
      <c r="D401" s="18" t="s">
        <v>432</v>
      </c>
      <c r="E401" s="18" t="s">
        <v>436</v>
      </c>
      <c r="F401" s="2" t="s">
        <v>852</v>
      </c>
      <c r="G401" s="3" t="s">
        <v>3835</v>
      </c>
      <c r="H401" s="4" t="s">
        <v>21</v>
      </c>
      <c r="I401" s="4" t="s">
        <v>62</v>
      </c>
      <c r="J401" s="4" t="s">
        <v>853</v>
      </c>
      <c r="K401" s="28"/>
      <c r="L401" s="28"/>
      <c r="M401" s="28"/>
      <c r="N401" s="28"/>
      <c r="O401" s="28"/>
      <c r="P401" s="28"/>
      <c r="Q401" s="28">
        <v>6</v>
      </c>
      <c r="R401" s="28"/>
      <c r="S401" s="28">
        <v>10</v>
      </c>
      <c r="T401" s="28"/>
      <c r="U401" s="28"/>
      <c r="V401" s="34"/>
    </row>
    <row r="402" spans="2:22">
      <c r="B402" s="17" t="s">
        <v>1157</v>
      </c>
      <c r="C402" s="3">
        <v>81877</v>
      </c>
      <c r="D402" s="18" t="s">
        <v>432</v>
      </c>
      <c r="E402" s="18" t="s">
        <v>436</v>
      </c>
      <c r="F402" s="2" t="s">
        <v>856</v>
      </c>
      <c r="G402" s="3" t="s">
        <v>3832</v>
      </c>
      <c r="H402" s="4" t="s">
        <v>21</v>
      </c>
      <c r="I402" s="4" t="s">
        <v>344</v>
      </c>
      <c r="J402" s="4" t="s">
        <v>857</v>
      </c>
      <c r="K402" s="28"/>
      <c r="L402" s="28"/>
      <c r="M402" s="28"/>
      <c r="N402" s="28"/>
      <c r="O402" s="28"/>
      <c r="P402" s="28"/>
      <c r="Q402" s="28">
        <v>5</v>
      </c>
      <c r="R402" s="28">
        <v>5</v>
      </c>
      <c r="S402" s="28">
        <v>4</v>
      </c>
      <c r="T402" s="28">
        <v>4</v>
      </c>
      <c r="U402" s="28"/>
      <c r="V402" s="34"/>
    </row>
    <row r="403" spans="2:22">
      <c r="B403" s="17" t="s">
        <v>1157</v>
      </c>
      <c r="C403" s="3">
        <v>81877</v>
      </c>
      <c r="D403" s="18" t="s">
        <v>432</v>
      </c>
      <c r="E403" s="18" t="s">
        <v>436</v>
      </c>
      <c r="F403" s="2" t="s">
        <v>860</v>
      </c>
      <c r="G403" s="3" t="s">
        <v>3835</v>
      </c>
      <c r="H403" s="4" t="s">
        <v>21</v>
      </c>
      <c r="I403" s="4" t="s">
        <v>62</v>
      </c>
      <c r="J403" s="4" t="s">
        <v>861</v>
      </c>
      <c r="K403" s="28"/>
      <c r="L403" s="28"/>
      <c r="M403" s="28"/>
      <c r="N403" s="28"/>
      <c r="O403" s="28"/>
      <c r="P403" s="28"/>
      <c r="Q403" s="28">
        <v>1</v>
      </c>
      <c r="R403" s="28"/>
      <c r="S403" s="28"/>
      <c r="T403" s="28"/>
      <c r="U403" s="28"/>
      <c r="V403" s="34"/>
    </row>
    <row r="404" spans="2:22">
      <c r="B404" s="17" t="s">
        <v>1157</v>
      </c>
      <c r="C404" s="3">
        <v>81877</v>
      </c>
      <c r="D404" s="18" t="s">
        <v>432</v>
      </c>
      <c r="E404" s="18" t="s">
        <v>436</v>
      </c>
      <c r="F404" s="2" t="s">
        <v>862</v>
      </c>
      <c r="G404" s="3" t="s">
        <v>3836</v>
      </c>
      <c r="H404" s="4" t="s">
        <v>30</v>
      </c>
      <c r="I404" s="4" t="s">
        <v>72</v>
      </c>
      <c r="J404" s="4" t="s">
        <v>863</v>
      </c>
      <c r="K404" s="28"/>
      <c r="L404" s="28"/>
      <c r="M404" s="28"/>
      <c r="N404" s="28"/>
      <c r="O404" s="28"/>
      <c r="P404" s="28"/>
      <c r="Q404" s="28">
        <v>5</v>
      </c>
      <c r="R404" s="28">
        <v>5</v>
      </c>
      <c r="S404" s="28"/>
      <c r="T404" s="28"/>
      <c r="U404" s="28"/>
      <c r="V404" s="34"/>
    </row>
    <row r="405" spans="2:22">
      <c r="B405" s="17" t="s">
        <v>1157</v>
      </c>
      <c r="C405" s="3">
        <v>81873</v>
      </c>
      <c r="D405" s="18" t="s">
        <v>993</v>
      </c>
      <c r="E405" s="18" t="s">
        <v>697</v>
      </c>
      <c r="F405" s="59" t="s">
        <v>866</v>
      </c>
      <c r="G405" s="3" t="s">
        <v>3835</v>
      </c>
      <c r="H405" s="4" t="s">
        <v>3818</v>
      </c>
      <c r="I405" s="4" t="s">
        <v>62</v>
      </c>
      <c r="J405" s="4" t="s">
        <v>867</v>
      </c>
      <c r="K405" s="28"/>
      <c r="L405" s="28"/>
      <c r="M405" s="28"/>
      <c r="N405" s="28"/>
      <c r="O405" s="28"/>
      <c r="P405" s="28">
        <v>1</v>
      </c>
      <c r="Q405" s="28"/>
      <c r="R405" s="28"/>
      <c r="S405" s="28"/>
      <c r="T405" s="28"/>
      <c r="U405" s="28"/>
      <c r="V405" s="34"/>
    </row>
    <row r="406" spans="2:22">
      <c r="B406" s="17" t="s">
        <v>1157</v>
      </c>
      <c r="C406" s="3">
        <v>81873</v>
      </c>
      <c r="D406" s="18" t="s">
        <v>993</v>
      </c>
      <c r="E406" s="18" t="s">
        <v>697</v>
      </c>
      <c r="F406" s="2" t="s">
        <v>868</v>
      </c>
      <c r="G406" s="3" t="s">
        <v>3835</v>
      </c>
      <c r="H406" s="4" t="s">
        <v>3818</v>
      </c>
      <c r="I406" s="4" t="s">
        <v>62</v>
      </c>
      <c r="J406" s="4" t="s">
        <v>869</v>
      </c>
      <c r="K406" s="28"/>
      <c r="L406" s="28"/>
      <c r="M406" s="28"/>
      <c r="N406" s="28"/>
      <c r="O406" s="28"/>
      <c r="P406" s="28">
        <v>1</v>
      </c>
      <c r="Q406" s="28"/>
      <c r="R406" s="28"/>
      <c r="S406" s="28">
        <v>2</v>
      </c>
      <c r="T406" s="28"/>
      <c r="U406" s="28"/>
      <c r="V406" s="34"/>
    </row>
    <row r="407" spans="2:22">
      <c r="B407" s="17" t="s">
        <v>1157</v>
      </c>
      <c r="C407" s="3">
        <v>81873</v>
      </c>
      <c r="D407" s="18" t="s">
        <v>993</v>
      </c>
      <c r="E407" s="18" t="s">
        <v>697</v>
      </c>
      <c r="F407" s="2" t="s">
        <v>870</v>
      </c>
      <c r="G407" s="3" t="s">
        <v>3835</v>
      </c>
      <c r="H407" s="4" t="s">
        <v>3818</v>
      </c>
      <c r="I407" s="4" t="s">
        <v>62</v>
      </c>
      <c r="J407" s="4" t="s">
        <v>871</v>
      </c>
      <c r="K407" s="28"/>
      <c r="L407" s="28"/>
      <c r="M407" s="28"/>
      <c r="N407" s="28"/>
      <c r="O407" s="28"/>
      <c r="P407" s="28"/>
      <c r="Q407" s="28">
        <v>2</v>
      </c>
      <c r="R407" s="28"/>
      <c r="S407" s="28">
        <v>3</v>
      </c>
      <c r="T407" s="28"/>
      <c r="U407" s="28"/>
      <c r="V407" s="34"/>
    </row>
    <row r="408" spans="2:22">
      <c r="B408" s="17" t="s">
        <v>1157</v>
      </c>
      <c r="C408" s="3">
        <v>81873</v>
      </c>
      <c r="D408" s="18" t="s">
        <v>993</v>
      </c>
      <c r="E408" s="18" t="s">
        <v>697</v>
      </c>
      <c r="F408" s="2" t="s">
        <v>872</v>
      </c>
      <c r="G408" s="3" t="s">
        <v>3835</v>
      </c>
      <c r="H408" s="4" t="s">
        <v>3818</v>
      </c>
      <c r="I408" s="4" t="s">
        <v>62</v>
      </c>
      <c r="J408" s="4" t="s">
        <v>873</v>
      </c>
      <c r="K408" s="28"/>
      <c r="L408" s="28"/>
      <c r="M408" s="28"/>
      <c r="N408" s="28"/>
      <c r="O408" s="28"/>
      <c r="P408" s="28"/>
      <c r="Q408" s="28">
        <v>4</v>
      </c>
      <c r="R408" s="28"/>
      <c r="S408" s="28"/>
      <c r="T408" s="28"/>
      <c r="U408" s="28"/>
      <c r="V408" s="34"/>
    </row>
    <row r="409" spans="2:22">
      <c r="B409" s="17" t="s">
        <v>1157</v>
      </c>
      <c r="C409" s="3">
        <v>81874</v>
      </c>
      <c r="D409" s="18" t="s">
        <v>432</v>
      </c>
      <c r="E409" s="18" t="s">
        <v>433</v>
      </c>
      <c r="F409" s="2" t="s">
        <v>874</v>
      </c>
      <c r="G409" s="3" t="s">
        <v>3836</v>
      </c>
      <c r="H409" s="4" t="s">
        <v>30</v>
      </c>
      <c r="I409" s="4" t="s">
        <v>72</v>
      </c>
      <c r="J409" s="4"/>
      <c r="K409" s="28"/>
      <c r="L409" s="28"/>
      <c r="M409" s="28"/>
      <c r="N409" s="28"/>
      <c r="O409" s="28"/>
      <c r="P409" s="28"/>
      <c r="Q409" s="28">
        <v>10</v>
      </c>
      <c r="R409" s="28"/>
      <c r="S409" s="28"/>
      <c r="T409" s="28"/>
      <c r="U409" s="28"/>
      <c r="V409" s="34"/>
    </row>
    <row r="410" spans="2:22">
      <c r="B410" s="17" t="s">
        <v>1157</v>
      </c>
      <c r="C410" s="3">
        <v>81874</v>
      </c>
      <c r="D410" s="18" t="s">
        <v>432</v>
      </c>
      <c r="E410" s="18" t="s">
        <v>433</v>
      </c>
      <c r="F410" s="2" t="s">
        <v>875</v>
      </c>
      <c r="G410" s="3" t="s">
        <v>3835</v>
      </c>
      <c r="H410" s="4" t="s">
        <v>21</v>
      </c>
      <c r="I410" s="4" t="s">
        <v>62</v>
      </c>
      <c r="J410" s="4"/>
      <c r="K410" s="28"/>
      <c r="L410" s="28"/>
      <c r="M410" s="28"/>
      <c r="N410" s="28"/>
      <c r="O410" s="28"/>
      <c r="P410" s="28"/>
      <c r="Q410" s="28">
        <v>1</v>
      </c>
      <c r="R410" s="28">
        <v>1</v>
      </c>
      <c r="S410" s="28"/>
      <c r="T410" s="28">
        <v>1</v>
      </c>
      <c r="U410" s="28"/>
      <c r="V410" s="34"/>
    </row>
    <row r="411" spans="2:22">
      <c r="B411" s="17" t="s">
        <v>1157</v>
      </c>
      <c r="C411" s="3">
        <v>81874</v>
      </c>
      <c r="D411" s="18" t="s">
        <v>432</v>
      </c>
      <c r="E411" s="18" t="s">
        <v>433</v>
      </c>
      <c r="F411" s="2" t="s">
        <v>876</v>
      </c>
      <c r="G411" s="3" t="s">
        <v>3845</v>
      </c>
      <c r="H411" s="4" t="s">
        <v>877</v>
      </c>
      <c r="I411" s="4" t="s">
        <v>878</v>
      </c>
      <c r="J411" s="4" t="s">
        <v>879</v>
      </c>
      <c r="K411" s="28"/>
      <c r="L411" s="28"/>
      <c r="M411" s="28"/>
      <c r="N411" s="28"/>
      <c r="O411" s="28"/>
      <c r="P411" s="28"/>
      <c r="Q411" s="28">
        <v>1</v>
      </c>
      <c r="R411" s="28"/>
      <c r="S411" s="28"/>
      <c r="T411" s="28"/>
      <c r="U411" s="28"/>
      <c r="V411" s="34"/>
    </row>
    <row r="412" spans="2:22">
      <c r="B412" s="17" t="s">
        <v>1157</v>
      </c>
      <c r="C412" s="3">
        <v>81874</v>
      </c>
      <c r="D412" s="18" t="s">
        <v>432</v>
      </c>
      <c r="E412" s="18" t="s">
        <v>433</v>
      </c>
      <c r="F412" s="2" t="s">
        <v>880</v>
      </c>
      <c r="G412" s="3" t="s">
        <v>3835</v>
      </c>
      <c r="H412" s="4" t="s">
        <v>30</v>
      </c>
      <c r="I412" s="4" t="s">
        <v>296</v>
      </c>
      <c r="J412" s="4" t="s">
        <v>881</v>
      </c>
      <c r="K412" s="28"/>
      <c r="L412" s="28"/>
      <c r="M412" s="28"/>
      <c r="N412" s="28"/>
      <c r="O412" s="28"/>
      <c r="P412" s="28"/>
      <c r="Q412" s="28">
        <v>5</v>
      </c>
      <c r="R412" s="28">
        <v>20</v>
      </c>
      <c r="S412" s="28"/>
      <c r="T412" s="28"/>
      <c r="U412" s="28"/>
      <c r="V412" s="34"/>
    </row>
    <row r="413" spans="2:22">
      <c r="B413" s="17" t="s">
        <v>1157</v>
      </c>
      <c r="C413" s="3">
        <v>81874</v>
      </c>
      <c r="D413" s="18" t="s">
        <v>432</v>
      </c>
      <c r="E413" s="18" t="s">
        <v>433</v>
      </c>
      <c r="F413" s="2" t="s">
        <v>882</v>
      </c>
      <c r="G413" s="3" t="s">
        <v>3835</v>
      </c>
      <c r="H413" s="4" t="s">
        <v>30</v>
      </c>
      <c r="I413" s="4" t="s">
        <v>253</v>
      </c>
      <c r="J413" s="4" t="s">
        <v>883</v>
      </c>
      <c r="K413" s="28"/>
      <c r="L413" s="28"/>
      <c r="M413" s="28"/>
      <c r="N413" s="28"/>
      <c r="O413" s="28"/>
      <c r="P413" s="28"/>
      <c r="Q413" s="28">
        <v>2</v>
      </c>
      <c r="R413" s="28">
        <v>2</v>
      </c>
      <c r="S413" s="28"/>
      <c r="T413" s="28">
        <v>1</v>
      </c>
      <c r="U413" s="28">
        <v>1</v>
      </c>
      <c r="V413" s="34"/>
    </row>
    <row r="414" spans="2:22">
      <c r="B414" s="17" t="s">
        <v>1157</v>
      </c>
      <c r="C414" s="3">
        <v>81891</v>
      </c>
      <c r="D414" s="18" t="s">
        <v>432</v>
      </c>
      <c r="E414" s="18" t="s">
        <v>442</v>
      </c>
      <c r="F414" s="2" t="s">
        <v>884</v>
      </c>
      <c r="G414" s="3" t="s">
        <v>3836</v>
      </c>
      <c r="H414" s="4" t="s">
        <v>30</v>
      </c>
      <c r="I414" s="4" t="s">
        <v>271</v>
      </c>
      <c r="J414" s="4" t="s">
        <v>885</v>
      </c>
      <c r="K414" s="28"/>
      <c r="L414" s="28"/>
      <c r="M414" s="28"/>
      <c r="N414" s="28"/>
      <c r="O414" s="28"/>
      <c r="P414" s="28"/>
      <c r="Q414" s="28">
        <v>3</v>
      </c>
      <c r="R414" s="28"/>
      <c r="S414" s="28"/>
      <c r="T414" s="28"/>
      <c r="U414" s="28"/>
      <c r="V414" s="34"/>
    </row>
    <row r="415" spans="2:22">
      <c r="B415" s="17" t="s">
        <v>1157</v>
      </c>
      <c r="C415" s="3">
        <v>81891</v>
      </c>
      <c r="D415" s="18" t="s">
        <v>432</v>
      </c>
      <c r="E415" s="18" t="s">
        <v>442</v>
      </c>
      <c r="F415" s="2" t="s">
        <v>10</v>
      </c>
      <c r="G415" s="3" t="s">
        <v>3836</v>
      </c>
      <c r="H415" s="4" t="s">
        <v>30</v>
      </c>
      <c r="I415" s="4" t="s">
        <v>271</v>
      </c>
      <c r="J415" s="4" t="s">
        <v>886</v>
      </c>
      <c r="K415" s="28"/>
      <c r="L415" s="28"/>
      <c r="M415" s="28"/>
      <c r="N415" s="28"/>
      <c r="O415" s="28"/>
      <c r="P415" s="28"/>
      <c r="Q415" s="28">
        <v>24</v>
      </c>
      <c r="R415" s="28">
        <v>10</v>
      </c>
      <c r="S415" s="28">
        <v>5</v>
      </c>
      <c r="T415" s="28"/>
      <c r="U415" s="28"/>
      <c r="V415" s="34"/>
    </row>
    <row r="416" spans="2:22">
      <c r="B416" s="17" t="s">
        <v>1157</v>
      </c>
      <c r="C416" s="3">
        <v>33278</v>
      </c>
      <c r="D416" s="18" t="s">
        <v>432</v>
      </c>
      <c r="E416" s="18" t="s">
        <v>700</v>
      </c>
      <c r="F416" s="2" t="s">
        <v>889</v>
      </c>
      <c r="G416" s="3" t="s">
        <v>3832</v>
      </c>
      <c r="H416" s="4" t="s">
        <v>3818</v>
      </c>
      <c r="I416" s="4" t="s">
        <v>358</v>
      </c>
      <c r="J416" s="4" t="s">
        <v>890</v>
      </c>
      <c r="K416" s="28"/>
      <c r="L416" s="28"/>
      <c r="M416" s="28"/>
      <c r="N416" s="28"/>
      <c r="O416" s="28"/>
      <c r="P416" s="28"/>
      <c r="Q416" s="28">
        <v>4</v>
      </c>
      <c r="R416" s="28"/>
      <c r="S416" s="28"/>
      <c r="T416" s="28"/>
      <c r="U416" s="28"/>
      <c r="V416" s="34"/>
    </row>
    <row r="417" spans="2:22">
      <c r="B417" s="17" t="s">
        <v>1157</v>
      </c>
      <c r="C417" s="3">
        <v>33278</v>
      </c>
      <c r="D417" s="18" t="s">
        <v>432</v>
      </c>
      <c r="E417" s="18" t="s">
        <v>700</v>
      </c>
      <c r="F417" s="2" t="s">
        <v>891</v>
      </c>
      <c r="G417" s="3" t="s">
        <v>3836</v>
      </c>
      <c r="H417" s="4" t="s">
        <v>30</v>
      </c>
      <c r="I417" s="4" t="s">
        <v>182</v>
      </c>
      <c r="J417" s="4" t="s">
        <v>892</v>
      </c>
      <c r="K417" s="28"/>
      <c r="L417" s="28"/>
      <c r="M417" s="28"/>
      <c r="N417" s="28"/>
      <c r="O417" s="28"/>
      <c r="P417" s="28"/>
      <c r="Q417" s="28">
        <v>1</v>
      </c>
      <c r="R417" s="28"/>
      <c r="S417" s="28"/>
      <c r="T417" s="28"/>
      <c r="U417" s="28"/>
      <c r="V417" s="34"/>
    </row>
    <row r="418" spans="2:22">
      <c r="B418" s="17" t="s">
        <v>1157</v>
      </c>
      <c r="C418" s="3">
        <v>81877</v>
      </c>
      <c r="D418" s="18" t="s">
        <v>432</v>
      </c>
      <c r="E418" s="18" t="s">
        <v>436</v>
      </c>
      <c r="F418" s="2" t="s">
        <v>895</v>
      </c>
      <c r="G418" s="3" t="s">
        <v>3835</v>
      </c>
      <c r="H418" s="4" t="s">
        <v>21</v>
      </c>
      <c r="I418" s="4" t="s">
        <v>128</v>
      </c>
      <c r="J418" s="4" t="s">
        <v>896</v>
      </c>
      <c r="K418" s="28"/>
      <c r="L418" s="28"/>
      <c r="M418" s="28"/>
      <c r="N418" s="28"/>
      <c r="O418" s="28"/>
      <c r="P418" s="28"/>
      <c r="Q418" s="28">
        <v>10</v>
      </c>
      <c r="R418" s="28">
        <v>10</v>
      </c>
      <c r="S418" s="28">
        <v>5</v>
      </c>
      <c r="T418" s="28">
        <v>5</v>
      </c>
      <c r="U418" s="28"/>
      <c r="V418" s="34"/>
    </row>
    <row r="419" spans="2:22">
      <c r="B419" s="17" t="s">
        <v>1157</v>
      </c>
      <c r="C419" s="3">
        <v>81877</v>
      </c>
      <c r="D419" s="18" t="s">
        <v>432</v>
      </c>
      <c r="E419" s="18" t="s">
        <v>436</v>
      </c>
      <c r="F419" s="2" t="s">
        <v>897</v>
      </c>
      <c r="G419" s="3" t="s">
        <v>3833</v>
      </c>
      <c r="H419" s="4" t="s">
        <v>46</v>
      </c>
      <c r="I419" s="4" t="s">
        <v>132</v>
      </c>
      <c r="J419" s="4" t="s">
        <v>898</v>
      </c>
      <c r="K419" s="28"/>
      <c r="L419" s="28"/>
      <c r="M419" s="28"/>
      <c r="N419" s="28"/>
      <c r="O419" s="28"/>
      <c r="P419" s="28"/>
      <c r="Q419" s="28">
        <v>1</v>
      </c>
      <c r="R419" s="28"/>
      <c r="S419" s="28"/>
      <c r="T419" s="28"/>
      <c r="U419" s="28"/>
      <c r="V419" s="34"/>
    </row>
    <row r="420" spans="2:22">
      <c r="B420" s="17" t="s">
        <v>1157</v>
      </c>
      <c r="C420" s="3">
        <v>81877</v>
      </c>
      <c r="D420" s="18" t="s">
        <v>432</v>
      </c>
      <c r="E420" s="18" t="s">
        <v>436</v>
      </c>
      <c r="F420" s="2" t="s">
        <v>899</v>
      </c>
      <c r="G420" s="3" t="s">
        <v>3833</v>
      </c>
      <c r="H420" s="4" t="s">
        <v>30</v>
      </c>
      <c r="I420" s="4" t="s">
        <v>159</v>
      </c>
      <c r="J420" s="4" t="s">
        <v>900</v>
      </c>
      <c r="K420" s="28"/>
      <c r="L420" s="28"/>
      <c r="M420" s="28"/>
      <c r="N420" s="28"/>
      <c r="O420" s="28"/>
      <c r="P420" s="28"/>
      <c r="Q420" s="28">
        <v>3</v>
      </c>
      <c r="R420" s="28"/>
      <c r="S420" s="28"/>
      <c r="T420" s="28"/>
      <c r="U420" s="28"/>
      <c r="V420" s="34"/>
    </row>
    <row r="421" spans="2:22">
      <c r="B421" s="17" t="s">
        <v>1157</v>
      </c>
      <c r="C421" s="3">
        <v>81877</v>
      </c>
      <c r="D421" s="18" t="s">
        <v>432</v>
      </c>
      <c r="E421" s="18" t="s">
        <v>436</v>
      </c>
      <c r="F421" s="2" t="s">
        <v>901</v>
      </c>
      <c r="G421" s="3" t="s">
        <v>3845</v>
      </c>
      <c r="H421" s="4" t="s">
        <v>3846</v>
      </c>
      <c r="I421" s="4" t="s">
        <v>902</v>
      </c>
      <c r="J421" s="4" t="s">
        <v>903</v>
      </c>
      <c r="K421" s="28"/>
      <c r="L421" s="28"/>
      <c r="M421" s="28"/>
      <c r="N421" s="28"/>
      <c r="O421" s="28"/>
      <c r="P421" s="28"/>
      <c r="Q421" s="28">
        <v>2</v>
      </c>
      <c r="R421" s="28"/>
      <c r="S421" s="28">
        <v>2</v>
      </c>
      <c r="T421" s="28">
        <v>5</v>
      </c>
      <c r="U421" s="28"/>
      <c r="V421" s="34"/>
    </row>
    <row r="422" spans="2:22">
      <c r="B422" s="17" t="s">
        <v>1157</v>
      </c>
      <c r="C422" s="3">
        <v>81877</v>
      </c>
      <c r="D422" s="18" t="s">
        <v>432</v>
      </c>
      <c r="E422" s="18" t="s">
        <v>436</v>
      </c>
      <c r="F422" s="2" t="s">
        <v>904</v>
      </c>
      <c r="G422" s="3" t="s">
        <v>3845</v>
      </c>
      <c r="H422" s="4" t="s">
        <v>3846</v>
      </c>
      <c r="I422" s="4" t="s">
        <v>565</v>
      </c>
      <c r="J422" s="4" t="s">
        <v>905</v>
      </c>
      <c r="K422" s="28"/>
      <c r="L422" s="28"/>
      <c r="M422" s="28"/>
      <c r="N422" s="28"/>
      <c r="O422" s="28"/>
      <c r="P422" s="28"/>
      <c r="Q422" s="28">
        <v>10</v>
      </c>
      <c r="R422" s="28"/>
      <c r="S422" s="28"/>
      <c r="T422" s="28">
        <v>5</v>
      </c>
      <c r="U422" s="28"/>
      <c r="V422" s="34"/>
    </row>
    <row r="423" spans="2:22">
      <c r="B423" s="17" t="s">
        <v>1157</v>
      </c>
      <c r="C423" s="3">
        <v>83763</v>
      </c>
      <c r="D423" s="18" t="s">
        <v>432</v>
      </c>
      <c r="E423" s="18" t="s">
        <v>439</v>
      </c>
      <c r="F423" s="2" t="s">
        <v>906</v>
      </c>
      <c r="G423" s="3" t="s">
        <v>3834</v>
      </c>
      <c r="H423" s="4" t="s">
        <v>3818</v>
      </c>
      <c r="I423" s="4" t="s">
        <v>35</v>
      </c>
      <c r="J423" s="4" t="s">
        <v>907</v>
      </c>
      <c r="K423" s="28"/>
      <c r="L423" s="28"/>
      <c r="M423" s="28"/>
      <c r="N423" s="28"/>
      <c r="O423" s="28"/>
      <c r="P423" s="28"/>
      <c r="Q423" s="28">
        <v>4</v>
      </c>
      <c r="R423" s="28">
        <v>2</v>
      </c>
      <c r="S423" s="28">
        <v>3</v>
      </c>
      <c r="T423" s="28">
        <v>2</v>
      </c>
      <c r="U423" s="28">
        <v>1</v>
      </c>
      <c r="V423" s="34"/>
    </row>
    <row r="424" spans="2:22">
      <c r="B424" s="17" t="s">
        <v>1157</v>
      </c>
      <c r="C424" s="3">
        <v>83763</v>
      </c>
      <c r="D424" s="18" t="s">
        <v>432</v>
      </c>
      <c r="E424" s="18" t="s">
        <v>439</v>
      </c>
      <c r="F424" s="2" t="s">
        <v>908</v>
      </c>
      <c r="G424" s="3" t="s">
        <v>3835</v>
      </c>
      <c r="H424" s="4" t="s">
        <v>30</v>
      </c>
      <c r="I424" s="4" t="s">
        <v>284</v>
      </c>
      <c r="J424" s="4" t="s">
        <v>909</v>
      </c>
      <c r="K424" s="28"/>
      <c r="L424" s="28"/>
      <c r="M424" s="28"/>
      <c r="N424" s="28"/>
      <c r="O424" s="28"/>
      <c r="P424" s="28"/>
      <c r="Q424" s="28">
        <v>5</v>
      </c>
      <c r="R424" s="28">
        <v>11</v>
      </c>
      <c r="S424" s="28"/>
      <c r="T424" s="28"/>
      <c r="U424" s="28"/>
      <c r="V424" s="34"/>
    </row>
    <row r="425" spans="2:22">
      <c r="B425" s="17" t="s">
        <v>1157</v>
      </c>
      <c r="C425" s="3">
        <v>83763</v>
      </c>
      <c r="D425" s="18" t="s">
        <v>432</v>
      </c>
      <c r="E425" s="18" t="s">
        <v>439</v>
      </c>
      <c r="F425" s="2" t="s">
        <v>910</v>
      </c>
      <c r="G425" s="3"/>
      <c r="H425" s="4" t="s">
        <v>911</v>
      </c>
      <c r="I425" s="4" t="s">
        <v>132</v>
      </c>
      <c r="J425" s="4" t="s">
        <v>912</v>
      </c>
      <c r="K425" s="28"/>
      <c r="L425" s="28"/>
      <c r="M425" s="28"/>
      <c r="N425" s="28"/>
      <c r="O425" s="28"/>
      <c r="P425" s="28"/>
      <c r="Q425" s="28">
        <v>10</v>
      </c>
      <c r="R425" s="28"/>
      <c r="S425" s="28"/>
      <c r="T425" s="28"/>
      <c r="U425" s="28"/>
      <c r="V425" s="34"/>
    </row>
    <row r="426" spans="2:22">
      <c r="B426" s="17" t="s">
        <v>1157</v>
      </c>
      <c r="C426" s="3">
        <v>83763</v>
      </c>
      <c r="D426" s="18" t="s">
        <v>432</v>
      </c>
      <c r="E426" s="18" t="s">
        <v>439</v>
      </c>
      <c r="F426" s="2" t="s">
        <v>913</v>
      </c>
      <c r="G426" s="3" t="s">
        <v>3845</v>
      </c>
      <c r="H426" s="4" t="s">
        <v>1145</v>
      </c>
      <c r="I426" s="4" t="s">
        <v>914</v>
      </c>
      <c r="J426" s="4" t="s">
        <v>915</v>
      </c>
      <c r="K426" s="28"/>
      <c r="L426" s="28"/>
      <c r="M426" s="28"/>
      <c r="N426" s="28"/>
      <c r="O426" s="28"/>
      <c r="P426" s="28"/>
      <c r="Q426" s="28">
        <v>5</v>
      </c>
      <c r="R426" s="28">
        <v>5</v>
      </c>
      <c r="S426" s="28"/>
      <c r="T426" s="28"/>
      <c r="U426" s="28"/>
      <c r="V426" s="34"/>
    </row>
    <row r="427" spans="2:22">
      <c r="B427" s="17" t="s">
        <v>1157</v>
      </c>
      <c r="C427" s="3">
        <v>83763</v>
      </c>
      <c r="D427" s="18" t="s">
        <v>432</v>
      </c>
      <c r="E427" s="18" t="s">
        <v>439</v>
      </c>
      <c r="F427" s="2" t="s">
        <v>916</v>
      </c>
      <c r="G427" s="3" t="s">
        <v>3833</v>
      </c>
      <c r="H427" s="4" t="s">
        <v>30</v>
      </c>
      <c r="I427" s="4" t="s">
        <v>159</v>
      </c>
      <c r="J427" s="4" t="s">
        <v>917</v>
      </c>
      <c r="K427" s="28"/>
      <c r="L427" s="28"/>
      <c r="M427" s="28"/>
      <c r="N427" s="28"/>
      <c r="O427" s="28"/>
      <c r="P427" s="28"/>
      <c r="Q427" s="28">
        <v>4</v>
      </c>
      <c r="R427" s="28">
        <v>2</v>
      </c>
      <c r="S427" s="28">
        <v>2</v>
      </c>
      <c r="T427" s="28">
        <v>3</v>
      </c>
      <c r="U427" s="28"/>
      <c r="V427" s="34"/>
    </row>
    <row r="428" spans="2:22">
      <c r="B428" s="17" t="s">
        <v>1157</v>
      </c>
      <c r="C428" s="3">
        <v>83763</v>
      </c>
      <c r="D428" s="18" t="s">
        <v>432</v>
      </c>
      <c r="E428" s="18" t="s">
        <v>439</v>
      </c>
      <c r="F428" s="2" t="s">
        <v>918</v>
      </c>
      <c r="G428" s="3"/>
      <c r="H428" s="4" t="s">
        <v>877</v>
      </c>
      <c r="I428" s="4" t="s">
        <v>878</v>
      </c>
      <c r="J428" s="4" t="s">
        <v>919</v>
      </c>
      <c r="K428" s="28"/>
      <c r="L428" s="28"/>
      <c r="M428" s="28"/>
      <c r="N428" s="28"/>
      <c r="O428" s="28"/>
      <c r="P428" s="28"/>
      <c r="Q428" s="28">
        <v>2</v>
      </c>
      <c r="R428" s="28"/>
      <c r="S428" s="28"/>
      <c r="T428" s="28"/>
      <c r="U428" s="28"/>
      <c r="V428" s="34"/>
    </row>
    <row r="429" spans="2:22">
      <c r="B429" s="17" t="s">
        <v>1157</v>
      </c>
      <c r="C429" s="3">
        <v>83763</v>
      </c>
      <c r="D429" s="18" t="s">
        <v>432</v>
      </c>
      <c r="E429" s="18" t="s">
        <v>439</v>
      </c>
      <c r="F429" s="2" t="s">
        <v>920</v>
      </c>
      <c r="G429" s="3"/>
      <c r="H429" s="4" t="s">
        <v>911</v>
      </c>
      <c r="I429" s="4" t="s">
        <v>921</v>
      </c>
      <c r="J429" s="4" t="s">
        <v>922</v>
      </c>
      <c r="K429" s="28"/>
      <c r="L429" s="28"/>
      <c r="M429" s="28"/>
      <c r="N429" s="28"/>
      <c r="O429" s="28"/>
      <c r="P429" s="28"/>
      <c r="Q429" s="28">
        <v>1</v>
      </c>
      <c r="R429" s="28"/>
      <c r="S429" s="28"/>
      <c r="T429" s="28"/>
      <c r="U429" s="28"/>
      <c r="V429" s="34"/>
    </row>
    <row r="430" spans="2:22">
      <c r="B430" s="17" t="s">
        <v>1157</v>
      </c>
      <c r="C430" s="3">
        <v>83763</v>
      </c>
      <c r="D430" s="18" t="s">
        <v>432</v>
      </c>
      <c r="E430" s="18" t="s">
        <v>439</v>
      </c>
      <c r="F430" s="2" t="s">
        <v>923</v>
      </c>
      <c r="G430" s="3" t="s">
        <v>3847</v>
      </c>
      <c r="H430" s="4" t="s">
        <v>30</v>
      </c>
      <c r="I430" s="4" t="s">
        <v>544</v>
      </c>
      <c r="J430" s="4" t="s">
        <v>924</v>
      </c>
      <c r="K430" s="28"/>
      <c r="L430" s="28"/>
      <c r="M430" s="28"/>
      <c r="N430" s="28"/>
      <c r="O430" s="28"/>
      <c r="P430" s="28"/>
      <c r="Q430" s="28">
        <v>1</v>
      </c>
      <c r="R430" s="28"/>
      <c r="S430" s="28"/>
      <c r="T430" s="28"/>
      <c r="U430" s="28"/>
      <c r="V430" s="34"/>
    </row>
    <row r="431" spans="2:22">
      <c r="B431" s="17" t="s">
        <v>1157</v>
      </c>
      <c r="C431" s="3">
        <v>83763</v>
      </c>
      <c r="D431" s="18" t="s">
        <v>432</v>
      </c>
      <c r="E431" s="18" t="s">
        <v>439</v>
      </c>
      <c r="F431" s="2" t="s">
        <v>925</v>
      </c>
      <c r="G431" s="3" t="s">
        <v>3833</v>
      </c>
      <c r="H431" s="4" t="s">
        <v>46</v>
      </c>
      <c r="I431" s="4" t="s">
        <v>250</v>
      </c>
      <c r="J431" s="4" t="s">
        <v>926</v>
      </c>
      <c r="K431" s="28"/>
      <c r="L431" s="28"/>
      <c r="M431" s="28"/>
      <c r="N431" s="28"/>
      <c r="O431" s="28"/>
      <c r="P431" s="28"/>
      <c r="Q431" s="28">
        <v>2</v>
      </c>
      <c r="R431" s="28">
        <v>2</v>
      </c>
      <c r="S431" s="28"/>
      <c r="T431" s="28"/>
      <c r="U431" s="28"/>
      <c r="V431" s="34"/>
    </row>
    <row r="432" spans="2:22">
      <c r="B432" s="17" t="s">
        <v>1157</v>
      </c>
      <c r="C432" s="3">
        <v>83763</v>
      </c>
      <c r="D432" s="18" t="s">
        <v>432</v>
      </c>
      <c r="E432" s="18" t="s">
        <v>439</v>
      </c>
      <c r="F432" s="2" t="s">
        <v>927</v>
      </c>
      <c r="G432" s="3" t="s">
        <v>3834</v>
      </c>
      <c r="H432" s="4" t="s">
        <v>21</v>
      </c>
      <c r="I432" s="4" t="s">
        <v>84</v>
      </c>
      <c r="J432" s="4" t="s">
        <v>928</v>
      </c>
      <c r="K432" s="28"/>
      <c r="L432" s="28"/>
      <c r="M432" s="28"/>
      <c r="N432" s="28"/>
      <c r="O432" s="28"/>
      <c r="P432" s="28"/>
      <c r="Q432" s="28">
        <v>3</v>
      </c>
      <c r="R432" s="28">
        <v>4</v>
      </c>
      <c r="S432" s="28"/>
      <c r="T432" s="28">
        <v>3</v>
      </c>
      <c r="U432" s="28"/>
      <c r="V432" s="34"/>
    </row>
    <row r="433" spans="2:22">
      <c r="B433" s="17" t="s">
        <v>1157</v>
      </c>
      <c r="C433" s="3">
        <v>83763</v>
      </c>
      <c r="D433" s="18" t="s">
        <v>432</v>
      </c>
      <c r="E433" s="18" t="s">
        <v>439</v>
      </c>
      <c r="F433" s="2" t="s">
        <v>929</v>
      </c>
      <c r="G433" s="3" t="s">
        <v>3834</v>
      </c>
      <c r="H433" s="4" t="s">
        <v>3818</v>
      </c>
      <c r="I433" s="4" t="s">
        <v>35</v>
      </c>
      <c r="J433" s="4" t="s">
        <v>930</v>
      </c>
      <c r="K433" s="28"/>
      <c r="L433" s="28"/>
      <c r="M433" s="28"/>
      <c r="N433" s="28"/>
      <c r="O433" s="28"/>
      <c r="P433" s="28"/>
      <c r="Q433" s="28">
        <v>4</v>
      </c>
      <c r="R433" s="28"/>
      <c r="S433" s="28"/>
      <c r="T433" s="28"/>
      <c r="U433" s="28"/>
      <c r="V433" s="34"/>
    </row>
    <row r="434" spans="2:22">
      <c r="B434" s="17" t="s">
        <v>1157</v>
      </c>
      <c r="C434" s="3">
        <v>81873</v>
      </c>
      <c r="D434" s="18" t="s">
        <v>993</v>
      </c>
      <c r="E434" s="18" t="s">
        <v>697</v>
      </c>
      <c r="F434" s="2" t="s">
        <v>933</v>
      </c>
      <c r="G434" s="3"/>
      <c r="H434" s="4" t="s">
        <v>902</v>
      </c>
      <c r="I434" s="4" t="s">
        <v>934</v>
      </c>
      <c r="J434" s="4" t="s">
        <v>935</v>
      </c>
      <c r="K434" s="28"/>
      <c r="L434" s="28"/>
      <c r="M434" s="28"/>
      <c r="N434" s="28"/>
      <c r="O434" s="28"/>
      <c r="P434" s="28"/>
      <c r="Q434" s="28">
        <v>1</v>
      </c>
      <c r="R434" s="28">
        <v>1</v>
      </c>
      <c r="S434" s="28"/>
      <c r="T434" s="28"/>
      <c r="U434" s="28"/>
      <c r="V434" s="34"/>
    </row>
    <row r="435" spans="2:22">
      <c r="B435" s="17" t="s">
        <v>1157</v>
      </c>
      <c r="C435" s="3">
        <v>81873</v>
      </c>
      <c r="D435" s="18" t="s">
        <v>993</v>
      </c>
      <c r="E435" s="18" t="s">
        <v>697</v>
      </c>
      <c r="F435" s="2" t="s">
        <v>936</v>
      </c>
      <c r="G435" s="3" t="s">
        <v>3841</v>
      </c>
      <c r="H435" s="4" t="s">
        <v>3850</v>
      </c>
      <c r="I435" s="4" t="s">
        <v>265</v>
      </c>
      <c r="J435" s="4" t="s">
        <v>937</v>
      </c>
      <c r="K435" s="28"/>
      <c r="L435" s="28"/>
      <c r="M435" s="28"/>
      <c r="N435" s="28"/>
      <c r="O435" s="28"/>
      <c r="P435" s="28"/>
      <c r="Q435" s="28">
        <v>1</v>
      </c>
      <c r="R435" s="28"/>
      <c r="S435" s="28">
        <v>1</v>
      </c>
      <c r="T435" s="28"/>
      <c r="U435" s="28"/>
      <c r="V435" s="34"/>
    </row>
    <row r="436" spans="2:22">
      <c r="B436" s="17" t="s">
        <v>1157</v>
      </c>
      <c r="C436" s="3">
        <v>81873</v>
      </c>
      <c r="D436" s="18" t="s">
        <v>993</v>
      </c>
      <c r="E436" s="18" t="s">
        <v>697</v>
      </c>
      <c r="F436" s="2" t="s">
        <v>938</v>
      </c>
      <c r="G436" s="3" t="s">
        <v>3834</v>
      </c>
      <c r="H436" s="4" t="s">
        <v>3818</v>
      </c>
      <c r="I436" s="4" t="s">
        <v>35</v>
      </c>
      <c r="J436" s="4" t="s">
        <v>939</v>
      </c>
      <c r="K436" s="28"/>
      <c r="L436" s="28"/>
      <c r="M436" s="28"/>
      <c r="N436" s="28"/>
      <c r="O436" s="28"/>
      <c r="P436" s="28"/>
      <c r="Q436" s="28">
        <v>4</v>
      </c>
      <c r="R436" s="28">
        <v>2</v>
      </c>
      <c r="S436" s="28"/>
      <c r="T436" s="28">
        <v>4</v>
      </c>
      <c r="U436" s="28"/>
      <c r="V436" s="34"/>
    </row>
    <row r="437" spans="2:22">
      <c r="B437" s="17" t="s">
        <v>1157</v>
      </c>
      <c r="C437" s="3">
        <v>81873</v>
      </c>
      <c r="D437" s="18" t="s">
        <v>993</v>
      </c>
      <c r="E437" s="18" t="s">
        <v>697</v>
      </c>
      <c r="F437" s="2" t="s">
        <v>940</v>
      </c>
      <c r="G437" s="3" t="s">
        <v>3848</v>
      </c>
      <c r="H437" s="4" t="s">
        <v>3850</v>
      </c>
      <c r="I437" s="4" t="s">
        <v>555</v>
      </c>
      <c r="J437" s="4" t="s">
        <v>941</v>
      </c>
      <c r="K437" s="28"/>
      <c r="L437" s="28"/>
      <c r="M437" s="28"/>
      <c r="N437" s="28"/>
      <c r="O437" s="28"/>
      <c r="P437" s="28"/>
      <c r="Q437" s="28">
        <v>3</v>
      </c>
      <c r="R437" s="28">
        <v>10</v>
      </c>
      <c r="S437" s="28">
        <v>8</v>
      </c>
      <c r="T437" s="28"/>
      <c r="U437" s="28"/>
      <c r="V437" s="34"/>
    </row>
    <row r="438" spans="2:22">
      <c r="B438" s="17" t="s">
        <v>1157</v>
      </c>
      <c r="C438" s="3">
        <v>81873</v>
      </c>
      <c r="D438" s="18" t="s">
        <v>993</v>
      </c>
      <c r="E438" s="18" t="s">
        <v>697</v>
      </c>
      <c r="F438" s="2" t="s">
        <v>942</v>
      </c>
      <c r="G438" s="3" t="s">
        <v>3848</v>
      </c>
      <c r="H438" s="4" t="s">
        <v>3850</v>
      </c>
      <c r="I438" s="4" t="s">
        <v>555</v>
      </c>
      <c r="J438" s="4" t="s">
        <v>943</v>
      </c>
      <c r="K438" s="28"/>
      <c r="L438" s="28"/>
      <c r="M438" s="28"/>
      <c r="N438" s="28"/>
      <c r="O438" s="28"/>
      <c r="P438" s="28"/>
      <c r="Q438" s="28">
        <v>2</v>
      </c>
      <c r="R438" s="28"/>
      <c r="S438" s="28"/>
      <c r="T438" s="28"/>
      <c r="U438" s="28"/>
      <c r="V438" s="34"/>
    </row>
    <row r="439" spans="2:22">
      <c r="B439" s="17" t="s">
        <v>1157</v>
      </c>
      <c r="C439" s="3">
        <v>81877</v>
      </c>
      <c r="D439" s="18" t="s">
        <v>432</v>
      </c>
      <c r="E439" s="18" t="s">
        <v>436</v>
      </c>
      <c r="F439" s="2" t="s">
        <v>946</v>
      </c>
      <c r="G439" s="3" t="s">
        <v>3834</v>
      </c>
      <c r="H439" s="4" t="s">
        <v>21</v>
      </c>
      <c r="I439" s="4" t="s">
        <v>76</v>
      </c>
      <c r="J439" s="4" t="s">
        <v>947</v>
      </c>
      <c r="K439" s="28"/>
      <c r="L439" s="28"/>
      <c r="M439" s="28"/>
      <c r="N439" s="28"/>
      <c r="O439" s="28"/>
      <c r="P439" s="28"/>
      <c r="Q439" s="28"/>
      <c r="R439" s="28">
        <v>10</v>
      </c>
      <c r="S439" s="28"/>
      <c r="T439" s="28"/>
      <c r="U439" s="28"/>
      <c r="V439" s="34"/>
    </row>
    <row r="440" spans="2:22">
      <c r="B440" s="17" t="s">
        <v>1157</v>
      </c>
      <c r="C440" s="3">
        <v>81873</v>
      </c>
      <c r="D440" s="18" t="s">
        <v>993</v>
      </c>
      <c r="E440" s="18" t="s">
        <v>697</v>
      </c>
      <c r="F440" s="2" t="s">
        <v>949</v>
      </c>
      <c r="G440" s="3" t="s">
        <v>3848</v>
      </c>
      <c r="H440" s="4" t="s">
        <v>264</v>
      </c>
      <c r="I440" s="4" t="s">
        <v>555</v>
      </c>
      <c r="J440" s="4" t="s">
        <v>950</v>
      </c>
      <c r="K440" s="28"/>
      <c r="L440" s="28"/>
      <c r="M440" s="28"/>
      <c r="N440" s="28"/>
      <c r="O440" s="28"/>
      <c r="P440" s="28"/>
      <c r="Q440" s="28"/>
      <c r="R440" s="28">
        <v>12</v>
      </c>
      <c r="S440" s="28">
        <v>14</v>
      </c>
      <c r="T440" s="28">
        <v>4</v>
      </c>
      <c r="U440" s="28"/>
      <c r="V440" s="34"/>
    </row>
    <row r="441" spans="2:22">
      <c r="B441" s="17" t="s">
        <v>1157</v>
      </c>
      <c r="C441" s="3">
        <v>81873</v>
      </c>
      <c r="D441" s="18" t="s">
        <v>993</v>
      </c>
      <c r="E441" s="18" t="s">
        <v>697</v>
      </c>
      <c r="F441" s="2" t="s">
        <v>953</v>
      </c>
      <c r="G441" s="3"/>
      <c r="H441" s="4"/>
      <c r="I441" s="4"/>
      <c r="J441" s="4"/>
      <c r="K441" s="28"/>
      <c r="L441" s="28"/>
      <c r="M441" s="28"/>
      <c r="N441" s="28"/>
      <c r="O441" s="28"/>
      <c r="P441" s="28"/>
      <c r="Q441" s="28"/>
      <c r="R441" s="28">
        <v>2</v>
      </c>
      <c r="S441" s="28">
        <v>2</v>
      </c>
      <c r="T441" s="28"/>
      <c r="U441" s="28"/>
      <c r="V441" s="34"/>
    </row>
    <row r="442" spans="2:22">
      <c r="B442" s="17" t="s">
        <v>1157</v>
      </c>
      <c r="C442" s="3">
        <v>81873</v>
      </c>
      <c r="D442" s="18" t="s">
        <v>993</v>
      </c>
      <c r="E442" s="18" t="s">
        <v>697</v>
      </c>
      <c r="F442" s="2" t="s">
        <v>956</v>
      </c>
      <c r="G442" s="3" t="s">
        <v>3848</v>
      </c>
      <c r="H442" s="4" t="s">
        <v>264</v>
      </c>
      <c r="I442" s="4" t="s">
        <v>555</v>
      </c>
      <c r="J442" s="4" t="s">
        <v>957</v>
      </c>
      <c r="K442" s="28"/>
      <c r="L442" s="28"/>
      <c r="M442" s="28"/>
      <c r="N442" s="28"/>
      <c r="O442" s="28"/>
      <c r="P442" s="28"/>
      <c r="Q442" s="28"/>
      <c r="R442" s="28">
        <v>1</v>
      </c>
      <c r="S442" s="28"/>
      <c r="T442" s="28">
        <v>1</v>
      </c>
      <c r="U442" s="28"/>
      <c r="V442" s="34"/>
    </row>
    <row r="443" spans="2:22">
      <c r="B443" s="17" t="s">
        <v>1157</v>
      </c>
      <c r="C443" s="3">
        <v>81873</v>
      </c>
      <c r="D443" s="18" t="s">
        <v>993</v>
      </c>
      <c r="E443" s="18" t="s">
        <v>697</v>
      </c>
      <c r="F443" s="2" t="s">
        <v>958</v>
      </c>
      <c r="G443" s="3" t="s">
        <v>3845</v>
      </c>
      <c r="H443" s="4" t="s">
        <v>3846</v>
      </c>
      <c r="I443" s="4" t="s">
        <v>902</v>
      </c>
      <c r="J443" s="4" t="s">
        <v>959</v>
      </c>
      <c r="K443" s="28"/>
      <c r="L443" s="28"/>
      <c r="M443" s="28"/>
      <c r="N443" s="28"/>
      <c r="O443" s="28"/>
      <c r="P443" s="28"/>
      <c r="Q443" s="28"/>
      <c r="R443" s="28">
        <v>1</v>
      </c>
      <c r="S443" s="28">
        <v>1</v>
      </c>
      <c r="T443" s="28"/>
      <c r="U443" s="28"/>
      <c r="V443" s="34"/>
    </row>
    <row r="444" spans="2:22">
      <c r="B444" s="17" t="s">
        <v>1157</v>
      </c>
      <c r="C444" s="3">
        <v>81873</v>
      </c>
      <c r="D444" s="18" t="s">
        <v>993</v>
      </c>
      <c r="E444" s="18" t="s">
        <v>697</v>
      </c>
      <c r="F444" s="2" t="s">
        <v>960</v>
      </c>
      <c r="G444" s="3" t="s">
        <v>3832</v>
      </c>
      <c r="H444" s="4" t="s">
        <v>30</v>
      </c>
      <c r="I444" s="4" t="s">
        <v>50</v>
      </c>
      <c r="J444" s="4" t="s">
        <v>961</v>
      </c>
      <c r="K444" s="28"/>
      <c r="L444" s="28"/>
      <c r="M444" s="28"/>
      <c r="N444" s="28"/>
      <c r="O444" s="28"/>
      <c r="P444" s="28"/>
      <c r="Q444" s="28"/>
      <c r="R444" s="28">
        <v>4</v>
      </c>
      <c r="S444" s="28">
        <v>5</v>
      </c>
      <c r="T444" s="28">
        <v>3</v>
      </c>
      <c r="U444" s="28"/>
      <c r="V444" s="34"/>
    </row>
    <row r="445" spans="2:22">
      <c r="B445" s="17" t="s">
        <v>1157</v>
      </c>
      <c r="C445" s="3">
        <v>81873</v>
      </c>
      <c r="D445" s="18" t="s">
        <v>993</v>
      </c>
      <c r="E445" s="18" t="s">
        <v>697</v>
      </c>
      <c r="F445" s="2" t="s">
        <v>962</v>
      </c>
      <c r="G445" s="3" t="s">
        <v>3832</v>
      </c>
      <c r="H445" s="4" t="s">
        <v>30</v>
      </c>
      <c r="I445" s="4" t="s">
        <v>299</v>
      </c>
      <c r="J445" s="4" t="s">
        <v>963</v>
      </c>
      <c r="K445" s="28"/>
      <c r="L445" s="28"/>
      <c r="M445" s="28"/>
      <c r="N445" s="28"/>
      <c r="O445" s="28"/>
      <c r="P445" s="28"/>
      <c r="Q445" s="28"/>
      <c r="R445" s="28">
        <v>3</v>
      </c>
      <c r="S445" s="28">
        <v>1</v>
      </c>
      <c r="T445" s="28">
        <v>2</v>
      </c>
      <c r="U445" s="28"/>
      <c r="V445" s="34"/>
    </row>
    <row r="446" spans="2:22">
      <c r="B446" s="17" t="s">
        <v>1157</v>
      </c>
      <c r="C446" s="3">
        <v>81873</v>
      </c>
      <c r="D446" s="18" t="s">
        <v>993</v>
      </c>
      <c r="E446" s="18" t="s">
        <v>697</v>
      </c>
      <c r="F446" s="2" t="s">
        <v>964</v>
      </c>
      <c r="G446" s="3" t="s">
        <v>3835</v>
      </c>
      <c r="H446" s="4" t="s">
        <v>21</v>
      </c>
      <c r="I446" s="4" t="s">
        <v>128</v>
      </c>
      <c r="J446" s="4" t="s">
        <v>965</v>
      </c>
      <c r="K446" s="28"/>
      <c r="L446" s="28"/>
      <c r="M446" s="28"/>
      <c r="N446" s="28"/>
      <c r="O446" s="28"/>
      <c r="P446" s="28"/>
      <c r="Q446" s="28"/>
      <c r="R446" s="28">
        <v>1</v>
      </c>
      <c r="S446" s="28"/>
      <c r="T446" s="28"/>
      <c r="U446" s="28"/>
      <c r="V446" s="34"/>
    </row>
    <row r="447" spans="2:22">
      <c r="B447" s="17" t="s">
        <v>1157</v>
      </c>
      <c r="C447" s="3">
        <v>81873</v>
      </c>
      <c r="D447" s="18" t="s">
        <v>993</v>
      </c>
      <c r="E447" s="18" t="s">
        <v>697</v>
      </c>
      <c r="F447" s="2" t="s">
        <v>968</v>
      </c>
      <c r="G447" s="3" t="s">
        <v>3848</v>
      </c>
      <c r="H447" s="4" t="s">
        <v>264</v>
      </c>
      <c r="I447" s="4"/>
      <c r="J447" s="4" t="s">
        <v>969</v>
      </c>
      <c r="K447" s="28"/>
      <c r="L447" s="28"/>
      <c r="M447" s="28"/>
      <c r="N447" s="28"/>
      <c r="O447" s="28"/>
      <c r="P447" s="28"/>
      <c r="Q447" s="28"/>
      <c r="R447" s="28">
        <v>4</v>
      </c>
      <c r="S447" s="28"/>
      <c r="T447" s="28"/>
      <c r="U447" s="28"/>
      <c r="V447" s="34"/>
    </row>
    <row r="448" spans="2:22">
      <c r="B448" s="17" t="s">
        <v>1157</v>
      </c>
      <c r="C448" s="3">
        <v>81873</v>
      </c>
      <c r="D448" s="18" t="s">
        <v>993</v>
      </c>
      <c r="E448" s="18" t="s">
        <v>697</v>
      </c>
      <c r="F448" s="2" t="s">
        <v>970</v>
      </c>
      <c r="G448" s="3" t="s">
        <v>3832</v>
      </c>
      <c r="H448" s="4" t="s">
        <v>30</v>
      </c>
      <c r="I448" s="4" t="s">
        <v>538</v>
      </c>
      <c r="J448" s="4" t="s">
        <v>971</v>
      </c>
      <c r="K448" s="28"/>
      <c r="L448" s="28"/>
      <c r="M448" s="28"/>
      <c r="N448" s="28"/>
      <c r="O448" s="28"/>
      <c r="P448" s="28"/>
      <c r="Q448" s="28"/>
      <c r="R448" s="28">
        <v>1</v>
      </c>
      <c r="S448" s="28">
        <v>3</v>
      </c>
      <c r="T448" s="28"/>
      <c r="U448" s="28"/>
      <c r="V448" s="34"/>
    </row>
    <row r="449" spans="2:22">
      <c r="B449" s="17" t="s">
        <v>1157</v>
      </c>
      <c r="C449" s="3">
        <v>81874</v>
      </c>
      <c r="D449" s="18" t="s">
        <v>432</v>
      </c>
      <c r="E449" s="18" t="s">
        <v>433</v>
      </c>
      <c r="F449" s="2" t="s">
        <v>972</v>
      </c>
      <c r="G449" s="3"/>
      <c r="H449" s="4"/>
      <c r="I449" s="4"/>
      <c r="J449" s="4"/>
      <c r="K449" s="28"/>
      <c r="L449" s="28"/>
      <c r="M449" s="28"/>
      <c r="N449" s="28"/>
      <c r="O449" s="28"/>
      <c r="P449" s="28"/>
      <c r="Q449" s="28"/>
      <c r="R449" s="28">
        <v>1</v>
      </c>
      <c r="S449" s="28"/>
      <c r="T449" s="28"/>
      <c r="U449" s="28"/>
      <c r="V449" s="34"/>
    </row>
    <row r="450" spans="2:22">
      <c r="B450" s="17" t="s">
        <v>1157</v>
      </c>
      <c r="C450" s="3">
        <v>81891</v>
      </c>
      <c r="D450" s="18" t="s">
        <v>432</v>
      </c>
      <c r="E450" s="18" t="s">
        <v>442</v>
      </c>
      <c r="F450" s="2" t="s">
        <v>974</v>
      </c>
      <c r="G450" s="3"/>
      <c r="H450" s="4"/>
      <c r="I450" s="4"/>
      <c r="J450" s="4"/>
      <c r="K450" s="28"/>
      <c r="L450" s="28"/>
      <c r="M450" s="28"/>
      <c r="N450" s="28"/>
      <c r="O450" s="28"/>
      <c r="P450" s="28"/>
      <c r="Q450" s="28"/>
      <c r="R450" s="28">
        <v>10</v>
      </c>
      <c r="S450" s="28">
        <v>10</v>
      </c>
      <c r="T450" s="28">
        <v>6</v>
      </c>
      <c r="U450" s="28"/>
      <c r="V450" s="34"/>
    </row>
    <row r="451" spans="2:22">
      <c r="B451" s="17" t="s">
        <v>1157</v>
      </c>
      <c r="C451" s="3">
        <v>81891</v>
      </c>
      <c r="D451" s="18" t="s">
        <v>432</v>
      </c>
      <c r="E451" s="18" t="s">
        <v>442</v>
      </c>
      <c r="F451" s="2" t="s">
        <v>975</v>
      </c>
      <c r="G451" s="3"/>
      <c r="H451" s="4"/>
      <c r="I451" s="4"/>
      <c r="J451" s="4"/>
      <c r="K451" s="28"/>
      <c r="L451" s="28"/>
      <c r="M451" s="28"/>
      <c r="N451" s="28"/>
      <c r="O451" s="28"/>
      <c r="P451" s="28"/>
      <c r="Q451" s="28"/>
      <c r="R451" s="28">
        <v>1</v>
      </c>
      <c r="S451" s="28">
        <v>2</v>
      </c>
      <c r="T451" s="28"/>
      <c r="U451" s="28"/>
      <c r="V451" s="34"/>
    </row>
    <row r="452" spans="2:22">
      <c r="B452" s="17" t="s">
        <v>1157</v>
      </c>
      <c r="C452" s="3">
        <v>83763</v>
      </c>
      <c r="D452" s="18" t="s">
        <v>432</v>
      </c>
      <c r="E452" s="18" t="s">
        <v>439</v>
      </c>
      <c r="F452" s="2" t="s">
        <v>976</v>
      </c>
      <c r="G452" s="3" t="s">
        <v>3835</v>
      </c>
      <c r="H452" s="4" t="s">
        <v>3818</v>
      </c>
      <c r="I452" s="4" t="s">
        <v>3851</v>
      </c>
      <c r="J452" s="4"/>
      <c r="K452" s="28"/>
      <c r="L452" s="28"/>
      <c r="M452" s="28"/>
      <c r="N452" s="28"/>
      <c r="O452" s="28"/>
      <c r="P452" s="28"/>
      <c r="Q452" s="28"/>
      <c r="R452" s="28">
        <v>5</v>
      </c>
      <c r="S452" s="28">
        <v>10</v>
      </c>
      <c r="T452" s="28">
        <v>10</v>
      </c>
      <c r="U452" s="28">
        <v>10</v>
      </c>
      <c r="V452" s="34"/>
    </row>
    <row r="453" spans="2:22">
      <c r="B453" s="17" t="s">
        <v>1157</v>
      </c>
      <c r="C453" s="3">
        <v>83763</v>
      </c>
      <c r="D453" s="18" t="s">
        <v>432</v>
      </c>
      <c r="E453" s="18" t="s">
        <v>439</v>
      </c>
      <c r="F453" s="2" t="s">
        <v>977</v>
      </c>
      <c r="G453" s="3" t="s">
        <v>3835</v>
      </c>
      <c r="H453" s="4" t="s">
        <v>3818</v>
      </c>
      <c r="I453" s="4" t="s">
        <v>3851</v>
      </c>
      <c r="J453" s="4"/>
      <c r="K453" s="28"/>
      <c r="L453" s="28"/>
      <c r="M453" s="28"/>
      <c r="N453" s="28"/>
      <c r="O453" s="28"/>
      <c r="P453" s="28"/>
      <c r="Q453" s="28"/>
      <c r="R453" s="28">
        <v>5</v>
      </c>
      <c r="S453" s="28">
        <v>4</v>
      </c>
      <c r="T453" s="28"/>
      <c r="U453" s="28"/>
      <c r="V453" s="34"/>
    </row>
    <row r="454" spans="2:22">
      <c r="B454" s="17" t="s">
        <v>1157</v>
      </c>
      <c r="C454" s="3">
        <v>83763</v>
      </c>
      <c r="D454" s="18" t="s">
        <v>432</v>
      </c>
      <c r="E454" s="18" t="s">
        <v>439</v>
      </c>
      <c r="F454" s="2" t="s">
        <v>978</v>
      </c>
      <c r="G454" s="3" t="s">
        <v>3833</v>
      </c>
      <c r="H454" s="4" t="s">
        <v>3842</v>
      </c>
      <c r="I454" s="4" t="s">
        <v>3831</v>
      </c>
      <c r="J454" s="4"/>
      <c r="K454" s="28"/>
      <c r="L454" s="28"/>
      <c r="M454" s="28"/>
      <c r="N454" s="28"/>
      <c r="O454" s="28"/>
      <c r="P454" s="28"/>
      <c r="Q454" s="28"/>
      <c r="R454" s="28">
        <v>2</v>
      </c>
      <c r="S454" s="28"/>
      <c r="T454" s="28"/>
      <c r="U454" s="28"/>
      <c r="V454" s="34"/>
    </row>
    <row r="455" spans="2:22">
      <c r="B455" s="17" t="s">
        <v>1157</v>
      </c>
      <c r="C455" s="3">
        <v>83763</v>
      </c>
      <c r="D455" s="18" t="s">
        <v>432</v>
      </c>
      <c r="E455" s="18" t="s">
        <v>439</v>
      </c>
      <c r="F455" s="2" t="s">
        <v>979</v>
      </c>
      <c r="G455" s="3"/>
      <c r="H455" s="4"/>
      <c r="I455" s="4"/>
      <c r="J455" s="4"/>
      <c r="K455" s="28"/>
      <c r="L455" s="28"/>
      <c r="M455" s="28"/>
      <c r="N455" s="28"/>
      <c r="O455" s="28"/>
      <c r="P455" s="28"/>
      <c r="Q455" s="28"/>
      <c r="R455" s="28">
        <v>2</v>
      </c>
      <c r="S455" s="28"/>
      <c r="T455" s="28"/>
      <c r="U455" s="28"/>
      <c r="V455" s="34"/>
    </row>
    <row r="456" spans="2:22">
      <c r="B456" s="17" t="s">
        <v>1157</v>
      </c>
      <c r="C456" s="3">
        <v>83763</v>
      </c>
      <c r="D456" s="18" t="s">
        <v>432</v>
      </c>
      <c r="E456" s="18" t="s">
        <v>439</v>
      </c>
      <c r="F456" s="2" t="s">
        <v>980</v>
      </c>
      <c r="G456" s="3" t="s">
        <v>3833</v>
      </c>
      <c r="H456" s="4" t="s">
        <v>3842</v>
      </c>
      <c r="I456" s="4" t="s">
        <v>3852</v>
      </c>
      <c r="J456" s="4"/>
      <c r="K456" s="28"/>
      <c r="L456" s="28"/>
      <c r="M456" s="28"/>
      <c r="N456" s="28"/>
      <c r="O456" s="28"/>
      <c r="P456" s="28"/>
      <c r="Q456" s="28"/>
      <c r="R456" s="28">
        <v>2</v>
      </c>
      <c r="S456" s="28">
        <v>1</v>
      </c>
      <c r="T456" s="28">
        <v>2</v>
      </c>
      <c r="U456" s="28">
        <v>5</v>
      </c>
      <c r="V456" s="34"/>
    </row>
    <row r="457" spans="2:22">
      <c r="B457" s="17" t="s">
        <v>1157</v>
      </c>
      <c r="C457" s="3">
        <v>83763</v>
      </c>
      <c r="D457" s="18" t="s">
        <v>432</v>
      </c>
      <c r="E457" s="18" t="s">
        <v>439</v>
      </c>
      <c r="F457" s="2" t="s">
        <v>981</v>
      </c>
      <c r="G457" s="3"/>
      <c r="H457" s="4" t="s">
        <v>3853</v>
      </c>
      <c r="I457" s="4"/>
      <c r="J457" s="4"/>
      <c r="K457" s="28"/>
      <c r="L457" s="28"/>
      <c r="M457" s="28"/>
      <c r="N457" s="28"/>
      <c r="O457" s="28"/>
      <c r="P457" s="28"/>
      <c r="Q457" s="28"/>
      <c r="R457" s="28">
        <v>2</v>
      </c>
      <c r="S457" s="28"/>
      <c r="T457" s="28"/>
      <c r="U457" s="28"/>
      <c r="V457" s="34"/>
    </row>
    <row r="458" spans="2:22">
      <c r="B458" s="17" t="s">
        <v>1157</v>
      </c>
      <c r="C458" s="3">
        <v>83763</v>
      </c>
      <c r="D458" s="18" t="s">
        <v>432</v>
      </c>
      <c r="E458" s="18" t="s">
        <v>439</v>
      </c>
      <c r="F458" s="2" t="s">
        <v>982</v>
      </c>
      <c r="G458" s="3" t="s">
        <v>3832</v>
      </c>
      <c r="H458" s="4" t="s">
        <v>3837</v>
      </c>
      <c r="I458" s="4" t="s">
        <v>3854</v>
      </c>
      <c r="J458" s="4"/>
      <c r="K458" s="28"/>
      <c r="L458" s="28"/>
      <c r="M458" s="28"/>
      <c r="N458" s="28"/>
      <c r="O458" s="28"/>
      <c r="P458" s="28"/>
      <c r="Q458" s="28"/>
      <c r="R458" s="28">
        <v>2</v>
      </c>
      <c r="S458" s="28"/>
      <c r="T458" s="28">
        <v>1</v>
      </c>
      <c r="U458" s="28"/>
      <c r="V458" s="34"/>
    </row>
    <row r="459" spans="2:22">
      <c r="B459" s="17" t="s">
        <v>1157</v>
      </c>
      <c r="C459" s="3">
        <v>83763</v>
      </c>
      <c r="D459" s="18" t="s">
        <v>432</v>
      </c>
      <c r="E459" s="18" t="s">
        <v>439</v>
      </c>
      <c r="F459" s="2" t="s">
        <v>983</v>
      </c>
      <c r="G459" s="3" t="s">
        <v>3832</v>
      </c>
      <c r="H459" s="4" t="s">
        <v>3839</v>
      </c>
      <c r="I459" s="4" t="s">
        <v>3855</v>
      </c>
      <c r="J459" s="4"/>
      <c r="K459" s="28"/>
      <c r="L459" s="28"/>
      <c r="M459" s="28"/>
      <c r="N459" s="28"/>
      <c r="O459" s="28"/>
      <c r="P459" s="28"/>
      <c r="Q459" s="28"/>
      <c r="R459" s="28">
        <v>10</v>
      </c>
      <c r="S459" s="28">
        <v>11</v>
      </c>
      <c r="T459" s="28">
        <v>10</v>
      </c>
      <c r="U459" s="28">
        <v>12</v>
      </c>
      <c r="V459" s="34"/>
    </row>
    <row r="460" spans="2:22">
      <c r="B460" s="17" t="s">
        <v>1157</v>
      </c>
      <c r="C460" s="3">
        <v>83763</v>
      </c>
      <c r="D460" s="18" t="s">
        <v>432</v>
      </c>
      <c r="E460" s="18" t="s">
        <v>439</v>
      </c>
      <c r="F460" s="2" t="s">
        <v>984</v>
      </c>
      <c r="G460" s="3" t="s">
        <v>3832</v>
      </c>
      <c r="H460" s="4" t="s">
        <v>3837</v>
      </c>
      <c r="I460" s="4" t="s">
        <v>3855</v>
      </c>
      <c r="J460" s="4"/>
      <c r="K460" s="28"/>
      <c r="L460" s="28"/>
      <c r="M460" s="28"/>
      <c r="N460" s="28"/>
      <c r="O460" s="28"/>
      <c r="P460" s="28"/>
      <c r="Q460" s="28"/>
      <c r="R460" s="28">
        <v>2</v>
      </c>
      <c r="S460" s="28">
        <v>10</v>
      </c>
      <c r="T460" s="28">
        <v>6</v>
      </c>
      <c r="U460" s="28"/>
      <c r="V460" s="34"/>
    </row>
    <row r="461" spans="2:22">
      <c r="B461" s="17" t="s">
        <v>1157</v>
      </c>
      <c r="C461" s="3">
        <v>81891</v>
      </c>
      <c r="D461" s="18" t="s">
        <v>432</v>
      </c>
      <c r="E461" s="18" t="s">
        <v>442</v>
      </c>
      <c r="F461" s="2" t="s">
        <v>985</v>
      </c>
      <c r="G461" s="3" t="s">
        <v>3833</v>
      </c>
      <c r="H461" s="4" t="s">
        <v>30</v>
      </c>
      <c r="I461" s="4" t="s">
        <v>31</v>
      </c>
      <c r="J461" s="4" t="s">
        <v>986</v>
      </c>
      <c r="K461" s="28"/>
      <c r="L461" s="28"/>
      <c r="M461" s="28"/>
      <c r="N461" s="28"/>
      <c r="O461" s="28"/>
      <c r="P461" s="28"/>
      <c r="Q461" s="28"/>
      <c r="R461" s="28"/>
      <c r="S461" s="28">
        <v>2</v>
      </c>
      <c r="T461" s="28">
        <v>4</v>
      </c>
      <c r="U461" s="28"/>
      <c r="V461" s="34"/>
    </row>
    <row r="462" spans="2:22">
      <c r="B462" s="17" t="s">
        <v>1157</v>
      </c>
      <c r="C462" s="3">
        <v>33278</v>
      </c>
      <c r="D462" s="18" t="s">
        <v>432</v>
      </c>
      <c r="E462" s="18" t="s">
        <v>700</v>
      </c>
      <c r="F462" s="2" t="s">
        <v>987</v>
      </c>
      <c r="G462" s="3" t="s">
        <v>3835</v>
      </c>
      <c r="H462" s="4" t="s">
        <v>3839</v>
      </c>
      <c r="I462" s="4" t="s">
        <v>3856</v>
      </c>
      <c r="J462" s="4"/>
      <c r="K462" s="28"/>
      <c r="L462" s="28"/>
      <c r="M462" s="28"/>
      <c r="N462" s="28"/>
      <c r="O462" s="28"/>
      <c r="P462" s="28"/>
      <c r="Q462" s="28"/>
      <c r="R462" s="28"/>
      <c r="S462" s="28">
        <v>4</v>
      </c>
      <c r="T462" s="28"/>
      <c r="U462" s="28"/>
      <c r="V462" s="34"/>
    </row>
    <row r="463" spans="2:22">
      <c r="B463" s="17" t="s">
        <v>1157</v>
      </c>
      <c r="C463" s="3">
        <v>81877</v>
      </c>
      <c r="D463" s="18" t="s">
        <v>432</v>
      </c>
      <c r="E463" s="18" t="s">
        <v>436</v>
      </c>
      <c r="F463" s="2" t="s">
        <v>989</v>
      </c>
      <c r="G463" s="3"/>
      <c r="H463" s="4"/>
      <c r="I463" s="4"/>
      <c r="J463" s="4"/>
      <c r="K463" s="28"/>
      <c r="L463" s="28"/>
      <c r="M463" s="28"/>
      <c r="N463" s="28"/>
      <c r="O463" s="28"/>
      <c r="P463" s="28"/>
      <c r="Q463" s="28"/>
      <c r="R463" s="28"/>
      <c r="S463" s="28">
        <v>3</v>
      </c>
      <c r="T463" s="28">
        <v>2</v>
      </c>
      <c r="U463" s="28"/>
      <c r="V463" s="34"/>
    </row>
    <row r="464" spans="2:22">
      <c r="B464" s="17" t="s">
        <v>1157</v>
      </c>
      <c r="C464" s="3">
        <v>81877</v>
      </c>
      <c r="D464" s="18" t="s">
        <v>432</v>
      </c>
      <c r="E464" s="18" t="s">
        <v>436</v>
      </c>
      <c r="F464" s="2" t="s">
        <v>990</v>
      </c>
      <c r="G464" s="3" t="s">
        <v>3835</v>
      </c>
      <c r="H464" s="4" t="s">
        <v>3839</v>
      </c>
      <c r="I464" s="4" t="s">
        <v>3856</v>
      </c>
      <c r="J464" s="4"/>
      <c r="K464" s="28"/>
      <c r="L464" s="28"/>
      <c r="M464" s="28"/>
      <c r="N464" s="28"/>
      <c r="O464" s="28"/>
      <c r="P464" s="28"/>
      <c r="Q464" s="28"/>
      <c r="R464" s="28"/>
      <c r="S464" s="28">
        <v>1</v>
      </c>
      <c r="T464" s="28"/>
      <c r="U464" s="28"/>
      <c r="V464" s="34"/>
    </row>
    <row r="465" spans="2:22">
      <c r="B465" s="17" t="s">
        <v>1157</v>
      </c>
      <c r="C465" s="3">
        <v>81891</v>
      </c>
      <c r="D465" s="18" t="s">
        <v>432</v>
      </c>
      <c r="E465" s="18" t="s">
        <v>442</v>
      </c>
      <c r="F465" s="2" t="s">
        <v>991</v>
      </c>
      <c r="G465" s="3" t="s">
        <v>3832</v>
      </c>
      <c r="H465" s="4" t="s">
        <v>30</v>
      </c>
      <c r="I465" s="4" t="s">
        <v>50</v>
      </c>
      <c r="J465" s="4" t="s">
        <v>992</v>
      </c>
      <c r="K465" s="28"/>
      <c r="L465" s="28"/>
      <c r="M465" s="28"/>
      <c r="N465" s="28"/>
      <c r="O465" s="28"/>
      <c r="P465" s="28"/>
      <c r="Q465" s="28"/>
      <c r="R465" s="28"/>
      <c r="S465" s="28">
        <v>2</v>
      </c>
      <c r="T465" s="28">
        <v>1</v>
      </c>
      <c r="U465" s="28"/>
      <c r="V465" s="34"/>
    </row>
    <row r="466" spans="2:22">
      <c r="B466" s="17" t="s">
        <v>1157</v>
      </c>
      <c r="C466" s="3">
        <v>33342</v>
      </c>
      <c r="D466" s="18" t="s">
        <v>432</v>
      </c>
      <c r="E466" s="18" t="s">
        <v>994</v>
      </c>
      <c r="F466" s="2" t="s">
        <v>995</v>
      </c>
      <c r="G466" s="3" t="s">
        <v>3835</v>
      </c>
      <c r="H466" s="4" t="s">
        <v>21</v>
      </c>
      <c r="I466" s="4" t="s">
        <v>62</v>
      </c>
      <c r="J466" s="4" t="s">
        <v>996</v>
      </c>
      <c r="K466" s="28"/>
      <c r="L466" s="28"/>
      <c r="M466" s="28"/>
      <c r="N466" s="28">
        <v>5</v>
      </c>
      <c r="O466" s="28">
        <v>17</v>
      </c>
      <c r="P466" s="28">
        <v>15</v>
      </c>
      <c r="Q466" s="28">
        <v>15</v>
      </c>
      <c r="R466" s="28">
        <v>15</v>
      </c>
      <c r="S466" s="28">
        <v>15</v>
      </c>
      <c r="T466" s="28">
        <v>10</v>
      </c>
      <c r="U466" s="28"/>
      <c r="V466" s="34"/>
    </row>
    <row r="467" spans="2:22">
      <c r="B467" s="17" t="s">
        <v>1157</v>
      </c>
      <c r="C467" s="3">
        <v>33155</v>
      </c>
      <c r="D467" s="18" t="s">
        <v>993</v>
      </c>
      <c r="E467" s="18" t="s">
        <v>997</v>
      </c>
      <c r="F467" s="2" t="s">
        <v>998</v>
      </c>
      <c r="G467" s="3" t="s">
        <v>3832</v>
      </c>
      <c r="H467" s="4" t="s">
        <v>30</v>
      </c>
      <c r="I467" s="4" t="s">
        <v>299</v>
      </c>
      <c r="J467" s="4" t="s">
        <v>999</v>
      </c>
      <c r="K467" s="28"/>
      <c r="L467" s="28"/>
      <c r="M467" s="28"/>
      <c r="N467" s="28">
        <v>2</v>
      </c>
      <c r="O467" s="28">
        <v>2</v>
      </c>
      <c r="P467" s="28">
        <v>0</v>
      </c>
      <c r="Q467" s="28">
        <v>2</v>
      </c>
      <c r="R467" s="28">
        <v>2</v>
      </c>
      <c r="S467" s="28">
        <v>2</v>
      </c>
      <c r="T467" s="28">
        <v>2</v>
      </c>
      <c r="U467" s="28"/>
      <c r="V467" s="34"/>
    </row>
    <row r="468" spans="2:22">
      <c r="B468" s="17" t="s">
        <v>1157</v>
      </c>
      <c r="C468" s="3">
        <v>33342</v>
      </c>
      <c r="D468" s="18" t="s">
        <v>432</v>
      </c>
      <c r="E468" s="18" t="s">
        <v>994</v>
      </c>
      <c r="F468" s="2" t="s">
        <v>1000</v>
      </c>
      <c r="G468" s="3" t="s">
        <v>3835</v>
      </c>
      <c r="H468" s="4" t="s">
        <v>30</v>
      </c>
      <c r="I468" s="4" t="s">
        <v>138</v>
      </c>
      <c r="J468" s="4" t="s">
        <v>1001</v>
      </c>
      <c r="K468" s="28"/>
      <c r="L468" s="28"/>
      <c r="M468" s="28"/>
      <c r="N468" s="28">
        <v>2</v>
      </c>
      <c r="O468" s="28">
        <v>1</v>
      </c>
      <c r="P468" s="28">
        <v>2</v>
      </c>
      <c r="Q468" s="28">
        <v>1</v>
      </c>
      <c r="R468" s="28">
        <v>1</v>
      </c>
      <c r="S468" s="28">
        <v>1</v>
      </c>
      <c r="T468" s="28">
        <v>1</v>
      </c>
      <c r="U468" s="28"/>
      <c r="V468" s="34"/>
    </row>
    <row r="469" spans="2:22">
      <c r="B469" s="17" t="s">
        <v>1157</v>
      </c>
      <c r="C469" s="3">
        <v>33342</v>
      </c>
      <c r="D469" s="18" t="s">
        <v>432</v>
      </c>
      <c r="E469" s="18" t="s">
        <v>994</v>
      </c>
      <c r="F469" s="2" t="s">
        <v>1002</v>
      </c>
      <c r="G469" s="3" t="s">
        <v>3836</v>
      </c>
      <c r="H469" s="4" t="s">
        <v>30</v>
      </c>
      <c r="I469" s="4" t="s">
        <v>72</v>
      </c>
      <c r="J469" s="4" t="s">
        <v>1003</v>
      </c>
      <c r="K469" s="28"/>
      <c r="L469" s="28"/>
      <c r="M469" s="28"/>
      <c r="N469" s="28">
        <v>5</v>
      </c>
      <c r="O469" s="28">
        <v>5</v>
      </c>
      <c r="P469" s="28">
        <v>5</v>
      </c>
      <c r="Q469" s="28">
        <v>5</v>
      </c>
      <c r="R469" s="28">
        <v>5</v>
      </c>
      <c r="S469" s="28">
        <v>5</v>
      </c>
      <c r="T469" s="28">
        <v>5</v>
      </c>
      <c r="U469" s="28"/>
      <c r="V469" s="34"/>
    </row>
    <row r="470" spans="2:22">
      <c r="B470" s="17" t="s">
        <v>1157</v>
      </c>
      <c r="C470" s="3">
        <v>33342</v>
      </c>
      <c r="D470" s="18" t="s">
        <v>432</v>
      </c>
      <c r="E470" s="18" t="s">
        <v>994</v>
      </c>
      <c r="F470" s="2" t="s">
        <v>1004</v>
      </c>
      <c r="G470" s="3" t="s">
        <v>3832</v>
      </c>
      <c r="H470" s="4" t="s">
        <v>30</v>
      </c>
      <c r="I470" s="4" t="s">
        <v>538</v>
      </c>
      <c r="J470" s="4" t="s">
        <v>1005</v>
      </c>
      <c r="K470" s="28"/>
      <c r="L470" s="28"/>
      <c r="M470" s="28"/>
      <c r="N470" s="28">
        <v>1</v>
      </c>
      <c r="O470" s="28">
        <v>1</v>
      </c>
      <c r="P470" s="28">
        <v>1</v>
      </c>
      <c r="Q470" s="28">
        <v>1</v>
      </c>
      <c r="R470" s="28">
        <v>1</v>
      </c>
      <c r="S470" s="28">
        <v>1</v>
      </c>
      <c r="T470" s="28">
        <v>1</v>
      </c>
      <c r="U470" s="28"/>
      <c r="V470" s="34"/>
    </row>
    <row r="471" spans="2:22">
      <c r="B471" s="17" t="s">
        <v>1157</v>
      </c>
      <c r="C471" s="3">
        <v>33342</v>
      </c>
      <c r="D471" s="18" t="s">
        <v>432</v>
      </c>
      <c r="E471" s="18" t="s">
        <v>994</v>
      </c>
      <c r="F471" s="2" t="s">
        <v>1008</v>
      </c>
      <c r="G471" s="3" t="s">
        <v>3834</v>
      </c>
      <c r="H471" s="4" t="s">
        <v>21</v>
      </c>
      <c r="I471" s="4" t="s">
        <v>35</v>
      </c>
      <c r="J471" s="4" t="s">
        <v>1009</v>
      </c>
      <c r="K471" s="28"/>
      <c r="L471" s="28"/>
      <c r="M471" s="28"/>
      <c r="N471" s="28">
        <v>5</v>
      </c>
      <c r="O471" s="28">
        <v>0</v>
      </c>
      <c r="P471" s="28">
        <v>5</v>
      </c>
      <c r="Q471" s="28">
        <v>5</v>
      </c>
      <c r="R471" s="28">
        <v>5</v>
      </c>
      <c r="S471" s="28">
        <v>5</v>
      </c>
      <c r="T471" s="28">
        <v>5</v>
      </c>
      <c r="U471" s="28"/>
      <c r="V471" s="34"/>
    </row>
    <row r="472" spans="2:22">
      <c r="B472" s="17" t="s">
        <v>1157</v>
      </c>
      <c r="C472" s="3">
        <v>33342</v>
      </c>
      <c r="D472" s="18" t="s">
        <v>432</v>
      </c>
      <c r="E472" s="18" t="s">
        <v>994</v>
      </c>
      <c r="F472" s="2" t="s">
        <v>1010</v>
      </c>
      <c r="G472" s="3" t="s">
        <v>3833</v>
      </c>
      <c r="H472" s="4" t="s">
        <v>30</v>
      </c>
      <c r="I472" s="4" t="s">
        <v>135</v>
      </c>
      <c r="J472" s="4" t="s">
        <v>1011</v>
      </c>
      <c r="K472" s="28"/>
      <c r="L472" s="28"/>
      <c r="M472" s="28"/>
      <c r="N472" s="28">
        <v>5</v>
      </c>
      <c r="O472" s="28">
        <v>0</v>
      </c>
      <c r="P472" s="28">
        <v>5</v>
      </c>
      <c r="Q472" s="28">
        <v>5</v>
      </c>
      <c r="R472" s="28">
        <v>5</v>
      </c>
      <c r="S472" s="28">
        <v>5</v>
      </c>
      <c r="T472" s="28">
        <v>5</v>
      </c>
      <c r="U472" s="28"/>
      <c r="V472" s="34"/>
    </row>
    <row r="473" spans="2:22">
      <c r="B473" s="17" t="s">
        <v>1157</v>
      </c>
      <c r="C473" s="3">
        <v>83763</v>
      </c>
      <c r="D473" s="18" t="s">
        <v>432</v>
      </c>
      <c r="E473" s="18" t="s">
        <v>439</v>
      </c>
      <c r="F473" s="2" t="s">
        <v>1024</v>
      </c>
      <c r="G473" s="3" t="s">
        <v>3832</v>
      </c>
      <c r="H473" s="4" t="s">
        <v>30</v>
      </c>
      <c r="I473" s="4" t="s">
        <v>299</v>
      </c>
      <c r="J473" s="4" t="s">
        <v>1025</v>
      </c>
      <c r="K473" s="28"/>
      <c r="L473" s="28"/>
      <c r="M473" s="28"/>
      <c r="N473" s="28"/>
      <c r="O473" s="28"/>
      <c r="P473" s="28"/>
      <c r="Q473" s="28"/>
      <c r="R473" s="28"/>
      <c r="S473" s="28"/>
      <c r="T473" s="28">
        <v>7</v>
      </c>
      <c r="U473" s="28"/>
      <c r="V473" s="34"/>
    </row>
    <row r="474" spans="2:22">
      <c r="B474" s="17" t="s">
        <v>1157</v>
      </c>
      <c r="C474" s="3">
        <v>83763</v>
      </c>
      <c r="D474" s="18" t="s">
        <v>432</v>
      </c>
      <c r="E474" s="18" t="s">
        <v>439</v>
      </c>
      <c r="F474" s="2" t="s">
        <v>1026</v>
      </c>
      <c r="G474" s="3" t="s">
        <v>3832</v>
      </c>
      <c r="H474" s="4" t="s">
        <v>30</v>
      </c>
      <c r="I474" s="4" t="s">
        <v>299</v>
      </c>
      <c r="J474" s="4" t="s">
        <v>1027</v>
      </c>
      <c r="K474" s="28"/>
      <c r="L474" s="28"/>
      <c r="M474" s="28"/>
      <c r="N474" s="28"/>
      <c r="O474" s="28"/>
      <c r="P474" s="28"/>
      <c r="Q474" s="28"/>
      <c r="R474" s="28"/>
      <c r="S474" s="28"/>
      <c r="T474" s="28">
        <v>1</v>
      </c>
      <c r="U474" s="28"/>
      <c r="V474" s="34"/>
    </row>
    <row r="475" spans="2:22">
      <c r="B475" s="17" t="s">
        <v>1157</v>
      </c>
      <c r="C475" s="3">
        <v>83763</v>
      </c>
      <c r="D475" s="18" t="s">
        <v>432</v>
      </c>
      <c r="E475" s="18" t="s">
        <v>439</v>
      </c>
      <c r="F475" s="2" t="s">
        <v>1028</v>
      </c>
      <c r="G475" s="3" t="s">
        <v>3833</v>
      </c>
      <c r="H475" s="4" t="s">
        <v>30</v>
      </c>
      <c r="I475" s="4" t="s">
        <v>31</v>
      </c>
      <c r="J475" s="4" t="s">
        <v>1029</v>
      </c>
      <c r="K475" s="28"/>
      <c r="L475" s="28"/>
      <c r="M475" s="28"/>
      <c r="N475" s="28"/>
      <c r="O475" s="28"/>
      <c r="P475" s="28"/>
      <c r="Q475" s="28"/>
      <c r="R475" s="28"/>
      <c r="S475" s="28"/>
      <c r="T475" s="28">
        <v>2</v>
      </c>
      <c r="U475" s="28">
        <v>2</v>
      </c>
      <c r="V475" s="34"/>
    </row>
    <row r="476" spans="2:22">
      <c r="B476" s="17" t="s">
        <v>1157</v>
      </c>
      <c r="C476" s="3">
        <v>83763</v>
      </c>
      <c r="D476" s="18" t="s">
        <v>432</v>
      </c>
      <c r="E476" s="18" t="s">
        <v>439</v>
      </c>
      <c r="F476" s="2" t="s">
        <v>1030</v>
      </c>
      <c r="G476" s="3" t="s">
        <v>3833</v>
      </c>
      <c r="H476" s="4" t="s">
        <v>30</v>
      </c>
      <c r="I476" s="4" t="s">
        <v>31</v>
      </c>
      <c r="J476" s="4" t="s">
        <v>1031</v>
      </c>
      <c r="K476" s="28"/>
      <c r="L476" s="28"/>
      <c r="M476" s="28"/>
      <c r="N476" s="28"/>
      <c r="O476" s="28"/>
      <c r="P476" s="28"/>
      <c r="Q476" s="28"/>
      <c r="R476" s="28"/>
      <c r="S476" s="28"/>
      <c r="T476" s="28">
        <v>1</v>
      </c>
      <c r="U476" s="28"/>
      <c r="V476" s="34"/>
    </row>
    <row r="477" spans="2:22">
      <c r="B477" s="17" t="s">
        <v>1157</v>
      </c>
      <c r="C477" s="3">
        <v>83763</v>
      </c>
      <c r="D477" s="18" t="s">
        <v>432</v>
      </c>
      <c r="E477" s="18" t="s">
        <v>439</v>
      </c>
      <c r="F477" s="2" t="s">
        <v>1032</v>
      </c>
      <c r="G477" s="3" t="s">
        <v>3832</v>
      </c>
      <c r="H477" s="4" t="s">
        <v>30</v>
      </c>
      <c r="I477" s="4" t="s">
        <v>299</v>
      </c>
      <c r="J477" s="4" t="s">
        <v>1033</v>
      </c>
      <c r="K477" s="28"/>
      <c r="L477" s="28"/>
      <c r="M477" s="28"/>
      <c r="N477" s="28"/>
      <c r="O477" s="28"/>
      <c r="P477" s="28"/>
      <c r="Q477" s="28"/>
      <c r="R477" s="28"/>
      <c r="S477" s="28"/>
      <c r="T477" s="28">
        <v>2</v>
      </c>
      <c r="U477" s="28"/>
      <c r="V477" s="34"/>
    </row>
    <row r="478" spans="2:22">
      <c r="B478" s="17" t="s">
        <v>1157</v>
      </c>
      <c r="C478" s="3">
        <v>83763</v>
      </c>
      <c r="D478" s="18" t="s">
        <v>432</v>
      </c>
      <c r="E478" s="18" t="s">
        <v>439</v>
      </c>
      <c r="F478" s="2" t="s">
        <v>1034</v>
      </c>
      <c r="G478" s="3" t="s">
        <v>3832</v>
      </c>
      <c r="H478" s="4" t="s">
        <v>30</v>
      </c>
      <c r="I478" s="4" t="s">
        <v>50</v>
      </c>
      <c r="J478" s="4" t="s">
        <v>1035</v>
      </c>
      <c r="K478" s="28"/>
      <c r="L478" s="28"/>
      <c r="M478" s="28"/>
      <c r="N478" s="28"/>
      <c r="O478" s="28"/>
      <c r="P478" s="28"/>
      <c r="Q478" s="28"/>
      <c r="R478" s="28"/>
      <c r="S478" s="28"/>
      <c r="T478" s="28">
        <v>5</v>
      </c>
      <c r="U478" s="28">
        <v>3</v>
      </c>
      <c r="V478" s="34"/>
    </row>
    <row r="479" spans="2:22">
      <c r="B479" s="17" t="s">
        <v>1157</v>
      </c>
      <c r="C479" s="3">
        <v>81874</v>
      </c>
      <c r="D479" s="18" t="s">
        <v>432</v>
      </c>
      <c r="E479" s="18" t="s">
        <v>433</v>
      </c>
      <c r="F479" s="2" t="s">
        <v>1036</v>
      </c>
      <c r="G479" s="3" t="s">
        <v>3832</v>
      </c>
      <c r="H479" s="4" t="s">
        <v>21</v>
      </c>
      <c r="I479" s="4" t="s">
        <v>344</v>
      </c>
      <c r="J479" s="4" t="s">
        <v>1037</v>
      </c>
      <c r="K479" s="28"/>
      <c r="L479" s="28"/>
      <c r="M479" s="28"/>
      <c r="N479" s="28"/>
      <c r="O479" s="28"/>
      <c r="P479" s="28"/>
      <c r="Q479" s="28"/>
      <c r="R479" s="28"/>
      <c r="S479" s="28"/>
      <c r="T479" s="28">
        <v>1</v>
      </c>
      <c r="U479" s="28"/>
      <c r="V479" s="34"/>
    </row>
    <row r="480" spans="2:22">
      <c r="B480" s="17" t="s">
        <v>1157</v>
      </c>
      <c r="C480" s="3">
        <v>81877</v>
      </c>
      <c r="D480" s="18" t="s">
        <v>432</v>
      </c>
      <c r="E480" s="18" t="s">
        <v>436</v>
      </c>
      <c r="F480" s="2" t="s">
        <v>1038</v>
      </c>
      <c r="G480" s="3" t="s">
        <v>3845</v>
      </c>
      <c r="H480" s="4" t="s">
        <v>3846</v>
      </c>
      <c r="I480" s="4" t="s">
        <v>902</v>
      </c>
      <c r="J480" s="4" t="s">
        <v>1039</v>
      </c>
      <c r="K480" s="28"/>
      <c r="L480" s="28"/>
      <c r="M480" s="28"/>
      <c r="N480" s="28"/>
      <c r="O480" s="28"/>
      <c r="P480" s="28"/>
      <c r="Q480" s="28"/>
      <c r="R480" s="28"/>
      <c r="S480" s="28"/>
      <c r="T480" s="28">
        <v>2</v>
      </c>
      <c r="U480" s="28"/>
      <c r="V480" s="34"/>
    </row>
    <row r="481" spans="2:22">
      <c r="B481" s="17" t="s">
        <v>1157</v>
      </c>
      <c r="C481" s="3">
        <v>33333</v>
      </c>
      <c r="D481" s="18" t="s">
        <v>91</v>
      </c>
      <c r="E481" s="18" t="s">
        <v>1042</v>
      </c>
      <c r="F481" s="3" t="s">
        <v>1043</v>
      </c>
      <c r="G481" s="3" t="s">
        <v>3847</v>
      </c>
      <c r="H481" s="4" t="s">
        <v>30</v>
      </c>
      <c r="I481" s="4" t="s">
        <v>1044</v>
      </c>
      <c r="J481" s="4" t="s">
        <v>1045</v>
      </c>
      <c r="K481" s="36"/>
      <c r="L481" s="36"/>
      <c r="M481" s="36"/>
      <c r="N481" s="36">
        <v>1</v>
      </c>
      <c r="O481" s="36">
        <v>2</v>
      </c>
      <c r="P481" s="36"/>
      <c r="Q481" s="36"/>
      <c r="R481" s="36"/>
      <c r="S481" s="36"/>
      <c r="T481" s="36"/>
      <c r="U481" s="36"/>
      <c r="V481" s="29"/>
    </row>
    <row r="482" spans="2:22">
      <c r="B482" s="17" t="s">
        <v>1157</v>
      </c>
      <c r="C482" s="3">
        <v>33406</v>
      </c>
      <c r="D482" s="18" t="s">
        <v>91</v>
      </c>
      <c r="E482" s="18" t="s">
        <v>1046</v>
      </c>
      <c r="F482" s="3" t="s">
        <v>1047</v>
      </c>
      <c r="G482" s="3" t="s">
        <v>3836</v>
      </c>
      <c r="H482" s="4" t="s">
        <v>30</v>
      </c>
      <c r="I482" s="4" t="s">
        <v>182</v>
      </c>
      <c r="J482" s="4" t="s">
        <v>1048</v>
      </c>
      <c r="K482" s="36"/>
      <c r="L482" s="36"/>
      <c r="M482" s="36"/>
      <c r="N482" s="36">
        <v>1</v>
      </c>
      <c r="O482" s="36"/>
      <c r="P482" s="36"/>
      <c r="Q482" s="36"/>
      <c r="R482" s="36"/>
      <c r="S482" s="36">
        <v>1</v>
      </c>
      <c r="T482" s="36">
        <v>1</v>
      </c>
      <c r="U482" s="36"/>
      <c r="V482" s="29"/>
    </row>
    <row r="483" spans="2:22">
      <c r="B483" s="17" t="s">
        <v>1157</v>
      </c>
      <c r="C483" s="3">
        <v>33252</v>
      </c>
      <c r="D483" s="18" t="s">
        <v>91</v>
      </c>
      <c r="E483" s="18" t="s">
        <v>1049</v>
      </c>
      <c r="F483" s="3" t="s">
        <v>1050</v>
      </c>
      <c r="G483" s="3" t="s">
        <v>3836</v>
      </c>
      <c r="H483" s="4" t="s">
        <v>30</v>
      </c>
      <c r="I483" s="4" t="s">
        <v>1051</v>
      </c>
      <c r="J483" s="4" t="s">
        <v>1052</v>
      </c>
      <c r="K483" s="36"/>
      <c r="L483" s="36"/>
      <c r="M483" s="36"/>
      <c r="N483" s="36"/>
      <c r="O483" s="36">
        <v>10</v>
      </c>
      <c r="P483" s="36">
        <v>10</v>
      </c>
      <c r="Q483" s="36"/>
      <c r="R483" s="36"/>
      <c r="S483" s="36"/>
      <c r="T483" s="36"/>
      <c r="U483" s="36"/>
      <c r="V483" s="29"/>
    </row>
    <row r="484" spans="2:22">
      <c r="B484" s="17" t="s">
        <v>1157</v>
      </c>
      <c r="C484" s="3">
        <v>33406</v>
      </c>
      <c r="D484" s="18" t="s">
        <v>91</v>
      </c>
      <c r="E484" s="18" t="s">
        <v>1046</v>
      </c>
      <c r="F484" s="3" t="s">
        <v>1053</v>
      </c>
      <c r="G484" s="3" t="s">
        <v>3835</v>
      </c>
      <c r="H484" s="4" t="s">
        <v>30</v>
      </c>
      <c r="I484" s="4" t="s">
        <v>253</v>
      </c>
      <c r="J484" s="4" t="s">
        <v>1054</v>
      </c>
      <c r="K484" s="36"/>
      <c r="L484" s="36"/>
      <c r="M484" s="36"/>
      <c r="N484" s="36"/>
      <c r="O484" s="36">
        <v>3</v>
      </c>
      <c r="P484" s="36"/>
      <c r="Q484" s="36"/>
      <c r="R484" s="36"/>
      <c r="S484" s="36"/>
      <c r="T484" s="36"/>
      <c r="U484" s="36"/>
      <c r="V484" s="29"/>
    </row>
    <row r="485" spans="2:22">
      <c r="B485" s="17" t="s">
        <v>1157</v>
      </c>
      <c r="C485" s="3">
        <v>33322</v>
      </c>
      <c r="D485" s="18" t="s">
        <v>91</v>
      </c>
      <c r="E485" s="18" t="s">
        <v>1055</v>
      </c>
      <c r="F485" s="3" t="s">
        <v>1056</v>
      </c>
      <c r="G485" s="3" t="s">
        <v>3836</v>
      </c>
      <c r="H485" s="4" t="s">
        <v>30</v>
      </c>
      <c r="I485" s="4" t="s">
        <v>182</v>
      </c>
      <c r="J485" s="4" t="s">
        <v>1057</v>
      </c>
      <c r="K485" s="36"/>
      <c r="L485" s="36"/>
      <c r="M485" s="36"/>
      <c r="N485" s="36"/>
      <c r="O485" s="36">
        <v>2</v>
      </c>
      <c r="P485" s="36"/>
      <c r="Q485" s="36"/>
      <c r="R485" s="36"/>
      <c r="S485" s="36"/>
      <c r="T485" s="36"/>
      <c r="U485" s="36"/>
      <c r="V485" s="29"/>
    </row>
    <row r="486" spans="2:22">
      <c r="B486" s="17" t="s">
        <v>1157</v>
      </c>
      <c r="C486" s="3">
        <v>33406</v>
      </c>
      <c r="D486" s="18" t="s">
        <v>91</v>
      </c>
      <c r="E486" s="18" t="s">
        <v>1046</v>
      </c>
      <c r="F486" s="3" t="s">
        <v>1058</v>
      </c>
      <c r="G486" s="3" t="s">
        <v>3835</v>
      </c>
      <c r="H486" s="4" t="s">
        <v>30</v>
      </c>
      <c r="I486" s="4" t="s">
        <v>253</v>
      </c>
      <c r="J486" s="4" t="s">
        <v>1059</v>
      </c>
      <c r="K486" s="36"/>
      <c r="L486" s="36"/>
      <c r="M486" s="36"/>
      <c r="N486" s="36"/>
      <c r="O486" s="36"/>
      <c r="P486" s="36"/>
      <c r="Q486" s="36">
        <v>5</v>
      </c>
      <c r="R486" s="36">
        <v>4</v>
      </c>
      <c r="S486" s="36">
        <v>4</v>
      </c>
      <c r="T486" s="36">
        <v>4</v>
      </c>
      <c r="U486" s="36"/>
      <c r="V486" s="29"/>
    </row>
    <row r="487" spans="2:22">
      <c r="B487" s="17" t="s">
        <v>1157</v>
      </c>
      <c r="C487" s="3">
        <v>33406</v>
      </c>
      <c r="D487" s="18" t="s">
        <v>91</v>
      </c>
      <c r="E487" s="18" t="s">
        <v>1046</v>
      </c>
      <c r="F487" s="3" t="s">
        <v>1060</v>
      </c>
      <c r="G487" s="3" t="s">
        <v>3835</v>
      </c>
      <c r="H487" s="4" t="s">
        <v>30</v>
      </c>
      <c r="I487" s="4" t="s">
        <v>253</v>
      </c>
      <c r="J487" s="4" t="s">
        <v>1061</v>
      </c>
      <c r="K487" s="36"/>
      <c r="L487" s="36"/>
      <c r="M487" s="36"/>
      <c r="N487" s="36"/>
      <c r="O487" s="36"/>
      <c r="P487" s="36"/>
      <c r="Q487" s="36">
        <v>2</v>
      </c>
      <c r="R487" s="36"/>
      <c r="S487" s="36">
        <v>1</v>
      </c>
      <c r="T487" s="36"/>
      <c r="U487" s="36"/>
      <c r="V487" s="29"/>
    </row>
    <row r="488" spans="2:22">
      <c r="B488" s="17" t="s">
        <v>1157</v>
      </c>
      <c r="C488" s="3">
        <v>33406</v>
      </c>
      <c r="D488" s="18" t="s">
        <v>91</v>
      </c>
      <c r="E488" s="18" t="s">
        <v>1046</v>
      </c>
      <c r="F488" s="3" t="s">
        <v>1062</v>
      </c>
      <c r="G488" s="3" t="s">
        <v>3835</v>
      </c>
      <c r="H488" s="4" t="s">
        <v>30</v>
      </c>
      <c r="I488" s="4" t="s">
        <v>138</v>
      </c>
      <c r="J488" s="4" t="s">
        <v>1063</v>
      </c>
      <c r="K488" s="36"/>
      <c r="L488" s="36"/>
      <c r="M488" s="36"/>
      <c r="N488" s="36"/>
      <c r="O488" s="36"/>
      <c r="P488" s="36"/>
      <c r="Q488" s="36">
        <v>2</v>
      </c>
      <c r="R488" s="36">
        <v>2</v>
      </c>
      <c r="S488" s="36"/>
      <c r="T488" s="36">
        <v>3</v>
      </c>
      <c r="U488" s="36"/>
      <c r="V488" s="29"/>
    </row>
    <row r="489" spans="2:22">
      <c r="B489" s="17" t="s">
        <v>1157</v>
      </c>
      <c r="C489" s="3">
        <v>33406</v>
      </c>
      <c r="D489" s="18" t="s">
        <v>91</v>
      </c>
      <c r="E489" s="18" t="s">
        <v>1046</v>
      </c>
      <c r="F489" s="3" t="s">
        <v>1064</v>
      </c>
      <c r="G489" s="3" t="s">
        <v>3835</v>
      </c>
      <c r="H489" s="4" t="s">
        <v>30</v>
      </c>
      <c r="I489" s="4" t="s">
        <v>253</v>
      </c>
      <c r="J489" s="4" t="s">
        <v>1065</v>
      </c>
      <c r="K489" s="36"/>
      <c r="L489" s="36"/>
      <c r="M489" s="36"/>
      <c r="N489" s="36"/>
      <c r="O489" s="36"/>
      <c r="P489" s="36"/>
      <c r="Q489" s="36">
        <v>2</v>
      </c>
      <c r="R489" s="36">
        <v>3</v>
      </c>
      <c r="S489" s="36">
        <v>1</v>
      </c>
      <c r="T489" s="36">
        <v>1</v>
      </c>
      <c r="U489" s="36"/>
      <c r="V489" s="29"/>
    </row>
    <row r="490" spans="2:22">
      <c r="B490" s="17" t="s">
        <v>1157</v>
      </c>
      <c r="C490" s="3">
        <v>33251</v>
      </c>
      <c r="D490" s="18" t="s">
        <v>91</v>
      </c>
      <c r="E490" s="18" t="s">
        <v>1066</v>
      </c>
      <c r="F490" s="3" t="s">
        <v>1067</v>
      </c>
      <c r="G490" s="3" t="s">
        <v>3833</v>
      </c>
      <c r="H490" s="4" t="s">
        <v>30</v>
      </c>
      <c r="I490" s="4" t="s">
        <v>55</v>
      </c>
      <c r="J490" s="4" t="s">
        <v>1068</v>
      </c>
      <c r="K490" s="36"/>
      <c r="L490" s="36"/>
      <c r="M490" s="36"/>
      <c r="N490" s="36"/>
      <c r="O490" s="36"/>
      <c r="P490" s="36"/>
      <c r="Q490" s="36">
        <v>2</v>
      </c>
      <c r="R490" s="36"/>
      <c r="S490" s="36"/>
      <c r="T490" s="36"/>
      <c r="U490" s="36"/>
      <c r="V490" s="29"/>
    </row>
    <row r="491" spans="2:22">
      <c r="B491" s="17" t="s">
        <v>1157</v>
      </c>
      <c r="C491" s="3">
        <v>33251</v>
      </c>
      <c r="D491" s="18" t="s">
        <v>91</v>
      </c>
      <c r="E491" s="18" t="s">
        <v>1066</v>
      </c>
      <c r="F491" s="3" t="s">
        <v>1069</v>
      </c>
      <c r="G491" s="3" t="s">
        <v>3833</v>
      </c>
      <c r="H491" s="4" t="s">
        <v>30</v>
      </c>
      <c r="I491" s="4" t="s">
        <v>55</v>
      </c>
      <c r="J491" s="4" t="s">
        <v>1070</v>
      </c>
      <c r="K491" s="36"/>
      <c r="L491" s="36"/>
      <c r="M491" s="36"/>
      <c r="N491" s="36"/>
      <c r="O491" s="36"/>
      <c r="P491" s="36"/>
      <c r="Q491" s="36">
        <v>2</v>
      </c>
      <c r="R491" s="36"/>
      <c r="S491" s="36"/>
      <c r="T491" s="36"/>
      <c r="U491" s="36"/>
      <c r="V491" s="29"/>
    </row>
    <row r="492" spans="2:22">
      <c r="B492" s="17" t="s">
        <v>1157</v>
      </c>
      <c r="C492" s="3">
        <v>33328</v>
      </c>
      <c r="D492" s="18" t="s">
        <v>91</v>
      </c>
      <c r="E492" s="18" t="s">
        <v>1071</v>
      </c>
      <c r="F492" s="3" t="s">
        <v>1072</v>
      </c>
      <c r="G492" s="3" t="s">
        <v>3833</v>
      </c>
      <c r="H492" s="4" t="s">
        <v>3839</v>
      </c>
      <c r="I492" s="4" t="s">
        <v>3857</v>
      </c>
      <c r="J492" s="4"/>
      <c r="K492" s="36"/>
      <c r="L492" s="36"/>
      <c r="M492" s="36"/>
      <c r="N492" s="36"/>
      <c r="O492" s="36"/>
      <c r="P492" s="36"/>
      <c r="Q492" s="36"/>
      <c r="R492" s="36">
        <v>2</v>
      </c>
      <c r="S492" s="36">
        <v>2</v>
      </c>
      <c r="T492" s="36"/>
      <c r="U492" s="36"/>
      <c r="V492" s="29"/>
    </row>
    <row r="493" spans="2:22">
      <c r="B493" s="17" t="s">
        <v>1157</v>
      </c>
      <c r="C493" s="3">
        <v>33406</v>
      </c>
      <c r="D493" s="18" t="s">
        <v>91</v>
      </c>
      <c r="E493" s="18" t="s">
        <v>1046</v>
      </c>
      <c r="F493" s="3" t="s">
        <v>1073</v>
      </c>
      <c r="G493" s="3" t="s">
        <v>3833</v>
      </c>
      <c r="H493" s="4" t="s">
        <v>3842</v>
      </c>
      <c r="I493" s="4" t="s">
        <v>3831</v>
      </c>
      <c r="J493" s="4"/>
      <c r="K493" s="36"/>
      <c r="L493" s="36"/>
      <c r="M493" s="36"/>
      <c r="N493" s="36"/>
      <c r="O493" s="36"/>
      <c r="P493" s="36"/>
      <c r="Q493" s="36"/>
      <c r="R493" s="36">
        <v>3</v>
      </c>
      <c r="S493" s="36">
        <v>1</v>
      </c>
      <c r="T493" s="36"/>
      <c r="U493" s="36"/>
      <c r="V493" s="29"/>
    </row>
    <row r="494" spans="2:22">
      <c r="B494" s="17" t="s">
        <v>1157</v>
      </c>
      <c r="C494" s="3">
        <v>33406</v>
      </c>
      <c r="D494" s="18" t="s">
        <v>91</v>
      </c>
      <c r="E494" s="18" t="s">
        <v>1046</v>
      </c>
      <c r="F494" s="3" t="s">
        <v>1074</v>
      </c>
      <c r="G494" s="3" t="s">
        <v>3835</v>
      </c>
      <c r="H494" s="4" t="s">
        <v>663</v>
      </c>
      <c r="I494" s="4" t="s">
        <v>253</v>
      </c>
      <c r="J494" s="4" t="s">
        <v>1075</v>
      </c>
      <c r="K494" s="36"/>
      <c r="L494" s="36"/>
      <c r="M494" s="36"/>
      <c r="N494" s="36"/>
      <c r="O494" s="36"/>
      <c r="P494" s="36"/>
      <c r="Q494" s="36"/>
      <c r="R494" s="36"/>
      <c r="S494" s="36">
        <v>1</v>
      </c>
      <c r="T494" s="36"/>
      <c r="U494" s="36"/>
      <c r="V494" s="29"/>
    </row>
    <row r="495" spans="2:22">
      <c r="B495" s="17" t="s">
        <v>1157</v>
      </c>
      <c r="C495" s="3">
        <v>33361</v>
      </c>
      <c r="D495" s="18" t="s">
        <v>993</v>
      </c>
      <c r="E495" s="18" t="s">
        <v>1076</v>
      </c>
      <c r="F495" s="3" t="s">
        <v>1077</v>
      </c>
      <c r="G495" s="3" t="s">
        <v>3847</v>
      </c>
      <c r="H495" s="4" t="s">
        <v>30</v>
      </c>
      <c r="I495" s="4" t="s">
        <v>548</v>
      </c>
      <c r="J495" s="4" t="s">
        <v>1078</v>
      </c>
      <c r="K495" s="36"/>
      <c r="L495" s="36"/>
      <c r="M495" s="36"/>
      <c r="N495" s="36">
        <v>3</v>
      </c>
      <c r="O495" s="36"/>
      <c r="P495" s="36"/>
      <c r="Q495" s="36"/>
      <c r="R495" s="36"/>
      <c r="S495" s="36"/>
      <c r="T495" s="36"/>
      <c r="U495" s="36"/>
      <c r="V495" s="29"/>
    </row>
    <row r="496" spans="2:22">
      <c r="B496" s="17" t="s">
        <v>1157</v>
      </c>
      <c r="C496" s="3">
        <v>33361</v>
      </c>
      <c r="D496" s="18" t="s">
        <v>993</v>
      </c>
      <c r="E496" s="18" t="s">
        <v>1076</v>
      </c>
      <c r="F496" s="3" t="s">
        <v>1079</v>
      </c>
      <c r="G496" s="3" t="s">
        <v>3835</v>
      </c>
      <c r="H496" s="4" t="s">
        <v>30</v>
      </c>
      <c r="I496" s="4" t="s">
        <v>296</v>
      </c>
      <c r="J496" s="4" t="s">
        <v>1080</v>
      </c>
      <c r="K496" s="36"/>
      <c r="L496" s="36"/>
      <c r="M496" s="36"/>
      <c r="N496" s="36">
        <v>3</v>
      </c>
      <c r="O496" s="36"/>
      <c r="P496" s="36"/>
      <c r="Q496" s="36"/>
      <c r="R496" s="36"/>
      <c r="S496" s="36"/>
      <c r="T496" s="36"/>
      <c r="U496" s="36"/>
      <c r="V496" s="29"/>
    </row>
    <row r="497" spans="2:22">
      <c r="B497" s="17" t="s">
        <v>1157</v>
      </c>
      <c r="C497" s="3">
        <v>33361</v>
      </c>
      <c r="D497" s="18" t="s">
        <v>993</v>
      </c>
      <c r="E497" s="18" t="s">
        <v>1076</v>
      </c>
      <c r="F497" s="3" t="s">
        <v>1081</v>
      </c>
      <c r="G497" s="3" t="s">
        <v>3835</v>
      </c>
      <c r="H497" s="4" t="s">
        <v>30</v>
      </c>
      <c r="I497" s="4" t="s">
        <v>253</v>
      </c>
      <c r="J497" s="4" t="s">
        <v>1082</v>
      </c>
      <c r="K497" s="36"/>
      <c r="L497" s="36"/>
      <c r="M497" s="36"/>
      <c r="N497" s="36">
        <v>1</v>
      </c>
      <c r="O497" s="36"/>
      <c r="P497" s="36"/>
      <c r="Q497" s="36"/>
      <c r="R497" s="36"/>
      <c r="S497" s="36"/>
      <c r="T497" s="36"/>
      <c r="U497" s="36"/>
      <c r="V497" s="29"/>
    </row>
    <row r="498" spans="2:22">
      <c r="B498" s="17" t="s">
        <v>1157</v>
      </c>
      <c r="C498" s="3">
        <v>39203</v>
      </c>
      <c r="D498" s="18" t="s">
        <v>432</v>
      </c>
      <c r="E498" s="18" t="s">
        <v>1083</v>
      </c>
      <c r="F498" s="3" t="s">
        <v>1084</v>
      </c>
      <c r="G498" s="3" t="s">
        <v>3832</v>
      </c>
      <c r="H498" s="4" t="s">
        <v>21</v>
      </c>
      <c r="I498" s="4" t="s">
        <v>1085</v>
      </c>
      <c r="J498" s="4" t="s">
        <v>1086</v>
      </c>
      <c r="K498" s="36"/>
      <c r="L498" s="36"/>
      <c r="M498" s="36"/>
      <c r="N498" s="36">
        <v>2</v>
      </c>
      <c r="O498" s="36"/>
      <c r="P498" s="36"/>
      <c r="Q498" s="36"/>
      <c r="R498" s="36"/>
      <c r="S498" s="36"/>
      <c r="T498" s="36"/>
      <c r="U498" s="36"/>
      <c r="V498" s="29"/>
    </row>
    <row r="499" spans="2:22">
      <c r="B499" s="17" t="s">
        <v>1157</v>
      </c>
      <c r="C499" s="3">
        <v>86088</v>
      </c>
      <c r="D499" s="18" t="s">
        <v>993</v>
      </c>
      <c r="E499" s="18" t="s">
        <v>1087</v>
      </c>
      <c r="F499" s="3" t="s">
        <v>1088</v>
      </c>
      <c r="G499" s="3" t="s">
        <v>3833</v>
      </c>
      <c r="H499" s="4" t="s">
        <v>30</v>
      </c>
      <c r="I499" s="4" t="s">
        <v>55</v>
      </c>
      <c r="J499" s="4" t="s">
        <v>1089</v>
      </c>
      <c r="K499" s="36"/>
      <c r="L499" s="36"/>
      <c r="M499" s="36"/>
      <c r="N499" s="36">
        <v>2</v>
      </c>
      <c r="O499" s="36"/>
      <c r="P499" s="36"/>
      <c r="Q499" s="36"/>
      <c r="R499" s="36"/>
      <c r="S499" s="36"/>
      <c r="T499" s="36"/>
      <c r="U499" s="36"/>
      <c r="V499" s="29"/>
    </row>
    <row r="500" spans="2:22">
      <c r="B500" s="17" t="s">
        <v>1157</v>
      </c>
      <c r="C500" s="3">
        <v>33361</v>
      </c>
      <c r="D500" s="18" t="s">
        <v>993</v>
      </c>
      <c r="E500" s="18" t="s">
        <v>1076</v>
      </c>
      <c r="F500" s="3" t="s">
        <v>1090</v>
      </c>
      <c r="G500" s="3" t="s">
        <v>3835</v>
      </c>
      <c r="H500" s="4" t="s">
        <v>30</v>
      </c>
      <c r="I500" s="4" t="s">
        <v>253</v>
      </c>
      <c r="J500" s="4" t="s">
        <v>624</v>
      </c>
      <c r="K500" s="36"/>
      <c r="L500" s="36"/>
      <c r="M500" s="36"/>
      <c r="N500" s="36">
        <v>3</v>
      </c>
      <c r="O500" s="36"/>
      <c r="P500" s="36"/>
      <c r="Q500" s="36"/>
      <c r="R500" s="36"/>
      <c r="S500" s="36"/>
      <c r="T500" s="36"/>
      <c r="U500" s="36"/>
      <c r="V500" s="29"/>
    </row>
    <row r="501" spans="2:22">
      <c r="B501" s="17" t="s">
        <v>1157</v>
      </c>
      <c r="C501" s="3">
        <v>81940</v>
      </c>
      <c r="D501" s="18" t="s">
        <v>993</v>
      </c>
      <c r="E501" s="18" t="s">
        <v>1091</v>
      </c>
      <c r="F501" s="3" t="s">
        <v>1092</v>
      </c>
      <c r="G501" s="3" t="s">
        <v>3845</v>
      </c>
      <c r="H501" s="4" t="s">
        <v>3846</v>
      </c>
      <c r="I501" s="4" t="s">
        <v>565</v>
      </c>
      <c r="J501" s="4" t="s">
        <v>1093</v>
      </c>
      <c r="K501" s="36"/>
      <c r="L501" s="36"/>
      <c r="M501" s="36"/>
      <c r="N501" s="36">
        <v>2</v>
      </c>
      <c r="O501" s="36"/>
      <c r="P501" s="36"/>
      <c r="Q501" s="36"/>
      <c r="R501" s="36"/>
      <c r="S501" s="36"/>
      <c r="T501" s="36"/>
      <c r="U501" s="36"/>
      <c r="V501" s="29"/>
    </row>
    <row r="502" spans="2:22">
      <c r="B502" s="17" t="s">
        <v>1157</v>
      </c>
      <c r="C502" s="3">
        <v>81940</v>
      </c>
      <c r="D502" s="18" t="s">
        <v>993</v>
      </c>
      <c r="E502" s="18" t="s">
        <v>1091</v>
      </c>
      <c r="F502" s="3" t="s">
        <v>1094</v>
      </c>
      <c r="G502" s="3" t="s">
        <v>3835</v>
      </c>
      <c r="H502" s="4" t="s">
        <v>30</v>
      </c>
      <c r="I502" s="4" t="s">
        <v>138</v>
      </c>
      <c r="J502" s="4" t="s">
        <v>1095</v>
      </c>
      <c r="K502" s="36"/>
      <c r="L502" s="36"/>
      <c r="M502" s="36"/>
      <c r="N502" s="36">
        <v>2</v>
      </c>
      <c r="O502" s="36"/>
      <c r="P502" s="36"/>
      <c r="Q502" s="36"/>
      <c r="R502" s="36"/>
      <c r="S502" s="36"/>
      <c r="T502" s="36"/>
      <c r="U502" s="36"/>
      <c r="V502" s="29"/>
    </row>
    <row r="503" spans="2:22">
      <c r="B503" s="17" t="s">
        <v>1157</v>
      </c>
      <c r="C503" s="3">
        <v>81940</v>
      </c>
      <c r="D503" s="18" t="s">
        <v>993</v>
      </c>
      <c r="E503" s="18" t="s">
        <v>1091</v>
      </c>
      <c r="F503" s="3" t="s">
        <v>1096</v>
      </c>
      <c r="G503" s="3" t="s">
        <v>3845</v>
      </c>
      <c r="H503" s="4" t="s">
        <v>3846</v>
      </c>
      <c r="I503" s="4" t="s">
        <v>565</v>
      </c>
      <c r="J503" s="4" t="s">
        <v>1097</v>
      </c>
      <c r="K503" s="36"/>
      <c r="L503" s="36"/>
      <c r="M503" s="36"/>
      <c r="N503" s="36">
        <v>4</v>
      </c>
      <c r="O503" s="36"/>
      <c r="P503" s="36"/>
      <c r="Q503" s="36"/>
      <c r="R503" s="36"/>
      <c r="S503" s="36"/>
      <c r="T503" s="36"/>
      <c r="U503" s="36"/>
      <c r="V503" s="29"/>
    </row>
    <row r="504" spans="2:22">
      <c r="B504" s="17" t="s">
        <v>1157</v>
      </c>
      <c r="C504" s="3">
        <v>81940</v>
      </c>
      <c r="D504" s="18" t="s">
        <v>993</v>
      </c>
      <c r="E504" s="18" t="s">
        <v>1091</v>
      </c>
      <c r="F504" s="3" t="s">
        <v>1098</v>
      </c>
      <c r="G504" s="3" t="s">
        <v>3847</v>
      </c>
      <c r="H504" s="4" t="s">
        <v>30</v>
      </c>
      <c r="I504" s="4" t="s">
        <v>819</v>
      </c>
      <c r="J504" s="4" t="s">
        <v>1099</v>
      </c>
      <c r="K504" s="36"/>
      <c r="L504" s="36"/>
      <c r="M504" s="36"/>
      <c r="N504" s="36"/>
      <c r="O504" s="36">
        <v>1</v>
      </c>
      <c r="P504" s="36"/>
      <c r="Q504" s="36"/>
      <c r="R504" s="36"/>
      <c r="S504" s="36"/>
      <c r="T504" s="36"/>
      <c r="U504" s="36"/>
      <c r="V504" s="29"/>
    </row>
    <row r="505" spans="2:22">
      <c r="B505" s="17" t="s">
        <v>1157</v>
      </c>
      <c r="C505" s="3">
        <v>81731</v>
      </c>
      <c r="D505" s="18" t="s">
        <v>993</v>
      </c>
      <c r="E505" s="18" t="s">
        <v>1100</v>
      </c>
      <c r="F505" s="3" t="s">
        <v>1101</v>
      </c>
      <c r="G505" s="3" t="s">
        <v>3835</v>
      </c>
      <c r="H505" s="4" t="s">
        <v>30</v>
      </c>
      <c r="I505" s="4" t="s">
        <v>296</v>
      </c>
      <c r="J505" s="4" t="s">
        <v>1102</v>
      </c>
      <c r="K505" s="36"/>
      <c r="L505" s="36"/>
      <c r="M505" s="36"/>
      <c r="N505" s="36"/>
      <c r="O505" s="36">
        <v>10</v>
      </c>
      <c r="P505" s="36"/>
      <c r="Q505" s="36"/>
      <c r="R505" s="36"/>
      <c r="S505" s="36"/>
      <c r="T505" s="36"/>
      <c r="U505" s="36"/>
      <c r="V505" s="29"/>
    </row>
    <row r="506" spans="2:22">
      <c r="B506" s="17" t="s">
        <v>1157</v>
      </c>
      <c r="C506" s="3">
        <v>86368</v>
      </c>
      <c r="D506" s="18" t="s">
        <v>432</v>
      </c>
      <c r="E506" s="18" t="s">
        <v>1103</v>
      </c>
      <c r="F506" s="3" t="s">
        <v>1104</v>
      </c>
      <c r="G506" s="3" t="s">
        <v>3836</v>
      </c>
      <c r="H506" s="4" t="s">
        <v>30</v>
      </c>
      <c r="I506" s="4" t="s">
        <v>182</v>
      </c>
      <c r="J506" s="4" t="s">
        <v>1105</v>
      </c>
      <c r="K506" s="36"/>
      <c r="L506" s="36"/>
      <c r="M506" s="36"/>
      <c r="N506" s="36"/>
      <c r="O506" s="36">
        <v>4</v>
      </c>
      <c r="P506" s="36"/>
      <c r="Q506" s="36"/>
      <c r="R506" s="36"/>
      <c r="S506" s="36"/>
      <c r="T506" s="36"/>
      <c r="U506" s="36"/>
      <c r="V506" s="29"/>
    </row>
    <row r="507" spans="2:22">
      <c r="B507" s="17" t="s">
        <v>1157</v>
      </c>
      <c r="C507" s="3">
        <v>84042</v>
      </c>
      <c r="D507" s="18" t="s">
        <v>993</v>
      </c>
      <c r="E507" s="18" t="s">
        <v>1106</v>
      </c>
      <c r="F507" s="3" t="s">
        <v>1107</v>
      </c>
      <c r="G507" s="3" t="s">
        <v>3836</v>
      </c>
      <c r="H507" s="4" t="s">
        <v>30</v>
      </c>
      <c r="I507" s="4" t="s">
        <v>328</v>
      </c>
      <c r="J507" s="4" t="s">
        <v>1108</v>
      </c>
      <c r="K507" s="36"/>
      <c r="L507" s="36"/>
      <c r="M507" s="36"/>
      <c r="N507" s="36"/>
      <c r="O507" s="36">
        <v>1</v>
      </c>
      <c r="P507" s="36"/>
      <c r="Q507" s="36"/>
      <c r="R507" s="36"/>
      <c r="S507" s="36"/>
      <c r="T507" s="36"/>
      <c r="U507" s="36"/>
      <c r="V507" s="29"/>
    </row>
    <row r="508" spans="2:22">
      <c r="B508" s="17" t="s">
        <v>1157</v>
      </c>
      <c r="C508" s="3">
        <v>33361</v>
      </c>
      <c r="D508" s="18" t="s">
        <v>993</v>
      </c>
      <c r="E508" s="18" t="s">
        <v>1076</v>
      </c>
      <c r="F508" s="3" t="s">
        <v>1109</v>
      </c>
      <c r="G508" s="3" t="s">
        <v>3847</v>
      </c>
      <c r="H508" s="4" t="s">
        <v>30</v>
      </c>
      <c r="I508" s="4" t="s">
        <v>548</v>
      </c>
      <c r="J508" s="4" t="s">
        <v>1110</v>
      </c>
      <c r="K508" s="36"/>
      <c r="L508" s="36"/>
      <c r="M508" s="36"/>
      <c r="N508" s="36"/>
      <c r="O508" s="36">
        <v>3</v>
      </c>
      <c r="P508" s="36"/>
      <c r="Q508" s="36"/>
      <c r="R508" s="36"/>
      <c r="S508" s="36"/>
      <c r="T508" s="36"/>
      <c r="U508" s="36"/>
      <c r="V508" s="29"/>
    </row>
    <row r="509" spans="2:22">
      <c r="B509" s="17" t="s">
        <v>1157</v>
      </c>
      <c r="C509" s="3">
        <v>39150</v>
      </c>
      <c r="D509" s="18" t="s">
        <v>432</v>
      </c>
      <c r="E509" s="18" t="s">
        <v>1111</v>
      </c>
      <c r="F509" s="3" t="s">
        <v>1112</v>
      </c>
      <c r="G509" s="3" t="s">
        <v>3836</v>
      </c>
      <c r="H509" s="4" t="s">
        <v>30</v>
      </c>
      <c r="I509" s="4" t="s">
        <v>182</v>
      </c>
      <c r="J509" s="4" t="s">
        <v>1113</v>
      </c>
      <c r="K509" s="36"/>
      <c r="L509" s="36"/>
      <c r="M509" s="36"/>
      <c r="N509" s="36"/>
      <c r="O509" s="36"/>
      <c r="P509" s="36"/>
      <c r="Q509" s="36">
        <v>1</v>
      </c>
      <c r="R509" s="36"/>
      <c r="S509" s="36"/>
      <c r="T509" s="36"/>
      <c r="U509" s="36"/>
      <c r="V509" s="29"/>
    </row>
    <row r="510" spans="2:22">
      <c r="B510" s="17" t="s">
        <v>1157</v>
      </c>
      <c r="C510" s="3">
        <v>33222</v>
      </c>
      <c r="D510" s="18" t="s">
        <v>993</v>
      </c>
      <c r="E510" s="18" t="s">
        <v>1114</v>
      </c>
      <c r="F510" s="60" t="s">
        <v>1115</v>
      </c>
      <c r="G510" s="3" t="s">
        <v>3835</v>
      </c>
      <c r="H510" s="4" t="s">
        <v>21</v>
      </c>
      <c r="I510" s="4" t="s">
        <v>341</v>
      </c>
      <c r="J510" s="4" t="s">
        <v>1116</v>
      </c>
      <c r="K510" s="36"/>
      <c r="L510" s="36"/>
      <c r="M510" s="36"/>
      <c r="N510" s="36"/>
      <c r="O510" s="36"/>
      <c r="P510" s="36"/>
      <c r="Q510" s="36">
        <v>1</v>
      </c>
      <c r="R510" s="36"/>
      <c r="S510" s="36"/>
      <c r="T510" s="36"/>
      <c r="U510" s="36"/>
      <c r="V510" s="29"/>
    </row>
    <row r="511" spans="2:22">
      <c r="B511" s="17" t="s">
        <v>1157</v>
      </c>
      <c r="C511" s="3">
        <v>33392</v>
      </c>
      <c r="D511" s="18" t="s">
        <v>993</v>
      </c>
      <c r="E511" s="18" t="s">
        <v>1117</v>
      </c>
      <c r="F511" s="60" t="s">
        <v>1118</v>
      </c>
      <c r="G511" s="3" t="s">
        <v>3835</v>
      </c>
      <c r="H511" s="4" t="s">
        <v>21</v>
      </c>
      <c r="I511" s="4" t="s">
        <v>128</v>
      </c>
      <c r="J511" s="4" t="s">
        <v>1119</v>
      </c>
      <c r="K511" s="36"/>
      <c r="L511" s="36"/>
      <c r="M511" s="36"/>
      <c r="N511" s="36"/>
      <c r="O511" s="36"/>
      <c r="P511" s="36"/>
      <c r="Q511" s="36">
        <v>1</v>
      </c>
      <c r="R511" s="36"/>
      <c r="S511" s="36"/>
      <c r="T511" s="36"/>
      <c r="U511" s="36"/>
      <c r="V511" s="29"/>
    </row>
    <row r="512" spans="2:22">
      <c r="B512" s="17" t="s">
        <v>1157</v>
      </c>
      <c r="C512" s="3">
        <v>33368</v>
      </c>
      <c r="D512" s="18" t="s">
        <v>993</v>
      </c>
      <c r="E512" s="18" t="s">
        <v>1120</v>
      </c>
      <c r="F512" s="3" t="s">
        <v>1121</v>
      </c>
      <c r="G512" s="3" t="s">
        <v>3835</v>
      </c>
      <c r="H512" s="4" t="s">
        <v>30</v>
      </c>
      <c r="I512" s="4" t="s">
        <v>138</v>
      </c>
      <c r="J512" s="4" t="s">
        <v>1122</v>
      </c>
      <c r="K512" s="36"/>
      <c r="L512" s="36"/>
      <c r="M512" s="36"/>
      <c r="N512" s="36"/>
      <c r="O512" s="36"/>
      <c r="P512" s="36"/>
      <c r="Q512" s="36">
        <v>2</v>
      </c>
      <c r="R512" s="36"/>
      <c r="S512" s="36"/>
      <c r="T512" s="36"/>
      <c r="U512" s="36"/>
      <c r="V512" s="29"/>
    </row>
    <row r="513" spans="2:22">
      <c r="B513" s="17" t="s">
        <v>1157</v>
      </c>
      <c r="C513" s="3">
        <v>33368</v>
      </c>
      <c r="D513" s="18" t="s">
        <v>993</v>
      </c>
      <c r="E513" s="18" t="s">
        <v>1120</v>
      </c>
      <c r="F513" s="3" t="s">
        <v>1121</v>
      </c>
      <c r="G513" s="3" t="s">
        <v>3835</v>
      </c>
      <c r="H513" s="4" t="s">
        <v>30</v>
      </c>
      <c r="I513" s="4" t="s">
        <v>138</v>
      </c>
      <c r="J513" s="4" t="s">
        <v>1122</v>
      </c>
      <c r="K513" s="36"/>
      <c r="L513" s="36"/>
      <c r="M513" s="36"/>
      <c r="N513" s="36"/>
      <c r="O513" s="36"/>
      <c r="P513" s="36"/>
      <c r="Q513" s="36">
        <v>3</v>
      </c>
      <c r="R513" s="36">
        <v>1</v>
      </c>
      <c r="S513" s="36"/>
      <c r="T513" s="36"/>
      <c r="U513" s="36"/>
      <c r="V513" s="29"/>
    </row>
    <row r="514" spans="2:22">
      <c r="B514" s="17" t="s">
        <v>1157</v>
      </c>
      <c r="C514" s="3">
        <v>33368</v>
      </c>
      <c r="D514" s="18" t="s">
        <v>993</v>
      </c>
      <c r="E514" s="18" t="s">
        <v>1120</v>
      </c>
      <c r="F514" s="3" t="s">
        <v>1123</v>
      </c>
      <c r="G514" s="3" t="s">
        <v>3835</v>
      </c>
      <c r="H514" s="4" t="s">
        <v>30</v>
      </c>
      <c r="I514" s="4" t="s">
        <v>138</v>
      </c>
      <c r="J514" s="4" t="s">
        <v>1124</v>
      </c>
      <c r="K514" s="36"/>
      <c r="L514" s="36"/>
      <c r="M514" s="36"/>
      <c r="N514" s="36"/>
      <c r="O514" s="36"/>
      <c r="P514" s="36"/>
      <c r="Q514" s="36">
        <v>10</v>
      </c>
      <c r="R514" s="36"/>
      <c r="S514" s="36"/>
      <c r="T514" s="36"/>
      <c r="U514" s="36"/>
      <c r="V514" s="29"/>
    </row>
    <row r="515" spans="2:22">
      <c r="B515" s="17" t="s">
        <v>1157</v>
      </c>
      <c r="C515" s="3">
        <v>81940</v>
      </c>
      <c r="D515" s="18" t="s">
        <v>993</v>
      </c>
      <c r="E515" s="18" t="s">
        <v>1091</v>
      </c>
      <c r="F515" s="3" t="s">
        <v>1125</v>
      </c>
      <c r="G515" s="3" t="s">
        <v>3845</v>
      </c>
      <c r="H515" s="4" t="s">
        <v>3846</v>
      </c>
      <c r="I515" s="4" t="s">
        <v>902</v>
      </c>
      <c r="J515" s="4" t="s">
        <v>1126</v>
      </c>
      <c r="K515" s="36"/>
      <c r="L515" s="36"/>
      <c r="M515" s="36"/>
      <c r="N515" s="36"/>
      <c r="O515" s="36"/>
      <c r="P515" s="36"/>
      <c r="Q515" s="36">
        <v>2</v>
      </c>
      <c r="R515" s="36"/>
      <c r="S515" s="36"/>
      <c r="T515" s="36"/>
      <c r="U515" s="36"/>
      <c r="V515" s="29"/>
    </row>
    <row r="516" spans="2:22">
      <c r="B516" s="17" t="s">
        <v>1157</v>
      </c>
      <c r="C516" s="3">
        <v>81940</v>
      </c>
      <c r="D516" s="18" t="s">
        <v>993</v>
      </c>
      <c r="E516" s="18" t="s">
        <v>1091</v>
      </c>
      <c r="F516" s="3" t="s">
        <v>1127</v>
      </c>
      <c r="G516" s="3" t="s">
        <v>3836</v>
      </c>
      <c r="H516" s="4" t="s">
        <v>30</v>
      </c>
      <c r="I516" s="4" t="s">
        <v>182</v>
      </c>
      <c r="J516" s="4" t="s">
        <v>1128</v>
      </c>
      <c r="K516" s="36"/>
      <c r="L516" s="36"/>
      <c r="M516" s="36"/>
      <c r="N516" s="36"/>
      <c r="O516" s="36"/>
      <c r="P516" s="36"/>
      <c r="Q516" s="36">
        <v>2</v>
      </c>
      <c r="R516" s="36"/>
      <c r="S516" s="36"/>
      <c r="T516" s="36"/>
      <c r="U516" s="36"/>
      <c r="V516" s="29"/>
    </row>
    <row r="517" spans="2:22">
      <c r="B517" s="17" t="s">
        <v>1157</v>
      </c>
      <c r="C517" s="3">
        <v>81940</v>
      </c>
      <c r="D517" s="18" t="s">
        <v>993</v>
      </c>
      <c r="E517" s="18" t="s">
        <v>1091</v>
      </c>
      <c r="F517" s="3" t="s">
        <v>1129</v>
      </c>
      <c r="G517" s="3" t="s">
        <v>3836</v>
      </c>
      <c r="H517" s="4" t="s">
        <v>30</v>
      </c>
      <c r="I517" s="4" t="s">
        <v>72</v>
      </c>
      <c r="J517" s="4" t="s">
        <v>1130</v>
      </c>
      <c r="K517" s="36"/>
      <c r="L517" s="36"/>
      <c r="M517" s="36"/>
      <c r="N517" s="36"/>
      <c r="O517" s="36"/>
      <c r="P517" s="36"/>
      <c r="Q517" s="36">
        <v>3</v>
      </c>
      <c r="R517" s="36"/>
      <c r="S517" s="36"/>
      <c r="T517" s="36"/>
      <c r="U517" s="36"/>
      <c r="V517" s="29"/>
    </row>
    <row r="518" spans="2:22">
      <c r="B518" s="17" t="s">
        <v>1157</v>
      </c>
      <c r="C518" s="3">
        <v>86088</v>
      </c>
      <c r="D518" s="18" t="s">
        <v>993</v>
      </c>
      <c r="E518" s="18" t="s">
        <v>1087</v>
      </c>
      <c r="F518" s="3" t="s">
        <v>1131</v>
      </c>
      <c r="G518" s="3" t="s">
        <v>3835</v>
      </c>
      <c r="H518" s="4" t="s">
        <v>30</v>
      </c>
      <c r="I518" s="4" t="s">
        <v>253</v>
      </c>
      <c r="J518" s="4" t="s">
        <v>1132</v>
      </c>
      <c r="K518" s="36"/>
      <c r="L518" s="36"/>
      <c r="M518" s="36"/>
      <c r="N518" s="36"/>
      <c r="O518" s="36"/>
      <c r="P518" s="36"/>
      <c r="Q518" s="36">
        <v>30</v>
      </c>
      <c r="R518" s="36"/>
      <c r="S518" s="36"/>
      <c r="T518" s="36"/>
      <c r="U518" s="36"/>
      <c r="V518" s="29"/>
    </row>
    <row r="519" spans="2:22">
      <c r="B519" s="17" t="s">
        <v>1157</v>
      </c>
      <c r="C519" s="3">
        <v>81940</v>
      </c>
      <c r="D519" s="18" t="s">
        <v>993</v>
      </c>
      <c r="E519" s="18" t="s">
        <v>1091</v>
      </c>
      <c r="F519" s="3" t="s">
        <v>1133</v>
      </c>
      <c r="G519" s="3" t="s">
        <v>3835</v>
      </c>
      <c r="H519" s="4" t="s">
        <v>30</v>
      </c>
      <c r="I519" s="4" t="s">
        <v>253</v>
      </c>
      <c r="J519" s="4" t="s">
        <v>1134</v>
      </c>
      <c r="K519" s="36"/>
      <c r="L519" s="36"/>
      <c r="M519" s="36"/>
      <c r="N519" s="36"/>
      <c r="O519" s="36"/>
      <c r="P519" s="36"/>
      <c r="Q519" s="36">
        <v>2</v>
      </c>
      <c r="R519" s="36"/>
      <c r="S519" s="36"/>
      <c r="T519" s="36"/>
      <c r="U519" s="36"/>
      <c r="V519" s="29"/>
    </row>
    <row r="520" spans="2:22">
      <c r="B520" s="17" t="s">
        <v>1157</v>
      </c>
      <c r="C520" s="3">
        <v>33361</v>
      </c>
      <c r="D520" s="18" t="s">
        <v>993</v>
      </c>
      <c r="E520" s="18" t="s">
        <v>1076</v>
      </c>
      <c r="F520" s="3" t="s">
        <v>1135</v>
      </c>
      <c r="G520" s="3" t="s">
        <v>3835</v>
      </c>
      <c r="H520" s="4" t="s">
        <v>30</v>
      </c>
      <c r="I520" s="4" t="s">
        <v>296</v>
      </c>
      <c r="J520" s="4" t="s">
        <v>1136</v>
      </c>
      <c r="K520" s="36"/>
      <c r="L520" s="36"/>
      <c r="M520" s="36"/>
      <c r="N520" s="36"/>
      <c r="O520" s="36"/>
      <c r="P520" s="36"/>
      <c r="Q520" s="36">
        <v>2</v>
      </c>
      <c r="R520" s="36"/>
      <c r="S520" s="36"/>
      <c r="T520" s="36"/>
      <c r="U520" s="36"/>
      <c r="V520" s="29"/>
    </row>
    <row r="521" spans="2:22">
      <c r="B521" s="17" t="s">
        <v>1157</v>
      </c>
      <c r="C521" s="3">
        <v>33361</v>
      </c>
      <c r="D521" s="18" t="s">
        <v>993</v>
      </c>
      <c r="E521" s="18" t="s">
        <v>1076</v>
      </c>
      <c r="F521" s="3" t="s">
        <v>1137</v>
      </c>
      <c r="G521" s="3" t="s">
        <v>3835</v>
      </c>
      <c r="H521" s="4" t="s">
        <v>30</v>
      </c>
      <c r="I521" s="4" t="s">
        <v>296</v>
      </c>
      <c r="J521" s="4" t="s">
        <v>1138</v>
      </c>
      <c r="K521" s="36"/>
      <c r="L521" s="36"/>
      <c r="M521" s="36"/>
      <c r="N521" s="36"/>
      <c r="O521" s="36"/>
      <c r="P521" s="36"/>
      <c r="Q521" s="36"/>
      <c r="R521" s="36">
        <v>1</v>
      </c>
      <c r="S521" s="36"/>
      <c r="T521" s="36"/>
      <c r="U521" s="36"/>
      <c r="V521" s="29"/>
    </row>
    <row r="522" spans="2:22">
      <c r="B522" s="17" t="s">
        <v>1157</v>
      </c>
      <c r="C522" s="3">
        <v>33361</v>
      </c>
      <c r="D522" s="18" t="s">
        <v>993</v>
      </c>
      <c r="E522" s="18" t="s">
        <v>1076</v>
      </c>
      <c r="F522" s="3" t="s">
        <v>1139</v>
      </c>
      <c r="G522" s="3" t="s">
        <v>3835</v>
      </c>
      <c r="H522" s="4" t="s">
        <v>30</v>
      </c>
      <c r="I522" s="4" t="s">
        <v>296</v>
      </c>
      <c r="J522" s="4" t="s">
        <v>1140</v>
      </c>
      <c r="K522" s="36"/>
      <c r="L522" s="36"/>
      <c r="M522" s="36"/>
      <c r="N522" s="36"/>
      <c r="O522" s="36"/>
      <c r="P522" s="36"/>
      <c r="Q522" s="36"/>
      <c r="R522" s="36"/>
      <c r="S522" s="36"/>
      <c r="T522" s="36">
        <v>2</v>
      </c>
      <c r="U522" s="36"/>
      <c r="V522" s="29"/>
    </row>
    <row r="523" spans="2:22">
      <c r="B523" s="17" t="s">
        <v>1157</v>
      </c>
      <c r="C523" s="3">
        <v>85921</v>
      </c>
      <c r="D523" s="18" t="s">
        <v>993</v>
      </c>
      <c r="E523" s="18" t="s">
        <v>1141</v>
      </c>
      <c r="F523" s="3" t="s">
        <v>1142</v>
      </c>
      <c r="G523" s="3" t="s">
        <v>3836</v>
      </c>
      <c r="H523" s="4" t="s">
        <v>30</v>
      </c>
      <c r="I523" s="4" t="s">
        <v>911</v>
      </c>
      <c r="J523" s="4" t="s">
        <v>1143</v>
      </c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>
        <v>1</v>
      </c>
      <c r="V523" s="29"/>
    </row>
    <row r="524" spans="2:22">
      <c r="B524" s="17" t="s">
        <v>1157</v>
      </c>
      <c r="C524" s="3">
        <v>85921</v>
      </c>
      <c r="D524" s="18" t="s">
        <v>993</v>
      </c>
      <c r="E524" s="18" t="s">
        <v>1141</v>
      </c>
      <c r="F524" s="3" t="s">
        <v>1144</v>
      </c>
      <c r="G524" s="3" t="s">
        <v>3845</v>
      </c>
      <c r="H524" s="4" t="s">
        <v>1145</v>
      </c>
      <c r="I524" s="4" t="s">
        <v>1146</v>
      </c>
      <c r="J524" s="4" t="s">
        <v>1147</v>
      </c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>
        <v>1</v>
      </c>
      <c r="V524" s="29"/>
    </row>
    <row r="525" spans="2:22">
      <c r="B525" s="17" t="s">
        <v>1157</v>
      </c>
      <c r="C525" s="3">
        <v>81877</v>
      </c>
      <c r="D525" s="18" t="s">
        <v>432</v>
      </c>
      <c r="E525" s="18" t="s">
        <v>436</v>
      </c>
      <c r="F525" s="3" t="s">
        <v>1148</v>
      </c>
      <c r="G525" s="3" t="s">
        <v>3835</v>
      </c>
      <c r="H525" s="4" t="s">
        <v>3818</v>
      </c>
      <c r="I525" s="4" t="s">
        <v>62</v>
      </c>
      <c r="J525" s="4" t="s">
        <v>1149</v>
      </c>
      <c r="K525" s="36">
        <v>0</v>
      </c>
      <c r="L525" s="36">
        <v>0</v>
      </c>
      <c r="M525" s="36">
        <v>0</v>
      </c>
      <c r="N525" s="36">
        <v>0</v>
      </c>
      <c r="O525" s="36">
        <v>0</v>
      </c>
      <c r="P525" s="36">
        <v>0</v>
      </c>
      <c r="Q525" s="36">
        <v>0</v>
      </c>
      <c r="R525" s="36">
        <v>0</v>
      </c>
      <c r="S525" s="36">
        <v>0</v>
      </c>
      <c r="T525" s="36">
        <v>0</v>
      </c>
      <c r="U525" s="36">
        <v>5</v>
      </c>
      <c r="V525" s="29"/>
    </row>
    <row r="526" spans="2:22">
      <c r="B526" s="17" t="s">
        <v>1157</v>
      </c>
      <c r="C526" s="3">
        <v>81877</v>
      </c>
      <c r="D526" s="18" t="s">
        <v>432</v>
      </c>
      <c r="E526" s="18" t="s">
        <v>436</v>
      </c>
      <c r="F526" s="3" t="s">
        <v>1150</v>
      </c>
      <c r="G526" s="3" t="s">
        <v>3835</v>
      </c>
      <c r="H526" s="4" t="s">
        <v>3818</v>
      </c>
      <c r="I526" s="4" t="s">
        <v>62</v>
      </c>
      <c r="J526" s="4" t="s">
        <v>1151</v>
      </c>
      <c r="K526" s="36">
        <v>0</v>
      </c>
      <c r="L526" s="36">
        <v>0</v>
      </c>
      <c r="M526" s="36">
        <v>0</v>
      </c>
      <c r="N526" s="36">
        <v>0</v>
      </c>
      <c r="O526" s="36">
        <v>0</v>
      </c>
      <c r="P526" s="36">
        <v>0</v>
      </c>
      <c r="Q526" s="36">
        <v>0</v>
      </c>
      <c r="R526" s="36">
        <v>0</v>
      </c>
      <c r="S526" s="36">
        <v>0</v>
      </c>
      <c r="T526" s="36">
        <v>0</v>
      </c>
      <c r="U526" s="36">
        <v>7</v>
      </c>
      <c r="V526" s="29"/>
    </row>
    <row r="527" spans="2:22">
      <c r="B527" s="17" t="s">
        <v>1157</v>
      </c>
      <c r="C527" s="3">
        <v>83763</v>
      </c>
      <c r="D527" s="18" t="s">
        <v>432</v>
      </c>
      <c r="E527" s="18" t="s">
        <v>439</v>
      </c>
      <c r="F527" s="3" t="s">
        <v>1152</v>
      </c>
      <c r="G527" s="3" t="s">
        <v>3832</v>
      </c>
      <c r="H527" s="4" t="s">
        <v>3837</v>
      </c>
      <c r="I527" s="4" t="s">
        <v>3855</v>
      </c>
      <c r="J527" s="4" t="s">
        <v>3858</v>
      </c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>
        <v>10</v>
      </c>
      <c r="V527" s="29"/>
    </row>
    <row r="528" spans="2:22">
      <c r="B528" s="17" t="s">
        <v>1157</v>
      </c>
      <c r="C528" s="3">
        <v>83763</v>
      </c>
      <c r="D528" s="18" t="s">
        <v>432</v>
      </c>
      <c r="E528" s="18" t="s">
        <v>439</v>
      </c>
      <c r="F528" s="3" t="s">
        <v>1155</v>
      </c>
      <c r="G528" s="3"/>
      <c r="H528" s="4" t="s">
        <v>3859</v>
      </c>
      <c r="I528" s="4" t="s">
        <v>3860</v>
      </c>
      <c r="J528" s="4" t="s">
        <v>3861</v>
      </c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>
        <v>2</v>
      </c>
      <c r="V528" s="29"/>
    </row>
    <row r="529" spans="2:35">
      <c r="B529" s="17" t="s">
        <v>1157</v>
      </c>
      <c r="C529" s="3">
        <v>81891</v>
      </c>
      <c r="D529" s="18" t="s">
        <v>432</v>
      </c>
      <c r="E529" s="18" t="s">
        <v>442</v>
      </c>
      <c r="F529" s="3" t="s">
        <v>1156</v>
      </c>
      <c r="G529" s="3"/>
      <c r="H529" s="4"/>
      <c r="I529" s="4"/>
      <c r="J529" s="4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>
        <v>1</v>
      </c>
      <c r="V529" s="29"/>
    </row>
    <row r="530" spans="2:35">
      <c r="B530" s="17" t="str">
        <f>IFERROR(VLOOKUP(C530,[2]Sheet2!$C$3:$F$1223,2,0),"")</f>
        <v>Seoul</v>
      </c>
      <c r="C530" s="20">
        <v>81873</v>
      </c>
      <c r="D530" s="18" t="str">
        <f>IFERROR(VLOOKUP(C530,[2]Sheet2!$C$1:$F$1223,3,0),"")</f>
        <v>채영한</v>
      </c>
      <c r="E530" s="18" t="str">
        <f>IFERROR(VLOOKUP(C530,[2]Sheet2!$C$1:$F$1223,4,0),"")</f>
        <v>(합)청도코리아</v>
      </c>
      <c r="F530" s="39" t="s">
        <v>3862</v>
      </c>
      <c r="G530" s="39" t="s">
        <v>1218</v>
      </c>
      <c r="H530" s="20" t="s">
        <v>264</v>
      </c>
      <c r="I530" s="20" t="s">
        <v>265</v>
      </c>
      <c r="J530" s="20" t="s">
        <v>3863</v>
      </c>
      <c r="Y530" s="32">
        <v>1</v>
      </c>
    </row>
    <row r="531" spans="2:35">
      <c r="B531" s="17" t="str">
        <f>IFERROR(VLOOKUP(C531,[2]Sheet2!$C$3:$F$1223,2,0),"")</f>
        <v>Seoul</v>
      </c>
      <c r="C531" s="20">
        <v>81873</v>
      </c>
      <c r="D531" s="18" t="str">
        <f>IFERROR(VLOOKUP(C531,[2]Sheet2!$C$1:$F$1223,3,0),"")</f>
        <v>채영한</v>
      </c>
      <c r="E531" s="18" t="str">
        <f>IFERROR(VLOOKUP(C531,[2]Sheet2!$C$1:$F$1223,4,0),"")</f>
        <v>(합)청도코리아</v>
      </c>
      <c r="F531" s="39" t="s">
        <v>3864</v>
      </c>
      <c r="G531" s="39" t="s">
        <v>1218</v>
      </c>
      <c r="H531" s="20" t="s">
        <v>264</v>
      </c>
      <c r="I531" s="20" t="s">
        <v>265</v>
      </c>
      <c r="J531" s="20" t="s">
        <v>3865</v>
      </c>
      <c r="Y531" s="32">
        <v>1</v>
      </c>
    </row>
    <row r="532" spans="2:35">
      <c r="B532" s="17" t="str">
        <f>IFERROR(VLOOKUP(C532,[2]Sheet2!$C$3:$F$1223,2,0),"")</f>
        <v>Seoul</v>
      </c>
      <c r="C532" s="20">
        <v>33457</v>
      </c>
      <c r="D532" s="18" t="str">
        <f>IFERROR(VLOOKUP(C532,[2]Sheet2!$C$1:$F$1223,3,0),"")</f>
        <v>홍건석</v>
      </c>
      <c r="E532" s="18" t="str">
        <f>IFERROR(VLOOKUP(C532,[2]Sheet2!$C$1:$F$1223,4,0),"")</f>
        <v>해동주류합동(유)</v>
      </c>
      <c r="F532" s="39" t="s">
        <v>3866</v>
      </c>
      <c r="G532" s="39" t="s">
        <v>1218</v>
      </c>
      <c r="H532" s="20" t="s">
        <v>264</v>
      </c>
      <c r="I532" s="20" t="s">
        <v>265</v>
      </c>
      <c r="J532" s="20" t="s">
        <v>3867</v>
      </c>
      <c r="Y532" s="32">
        <v>1</v>
      </c>
    </row>
    <row r="533" spans="2:35">
      <c r="B533" s="17" t="str">
        <f>IFERROR(VLOOKUP(C533,[2]Sheet2!$C$3:$F$1223,2,0),"")</f>
        <v>Seoul</v>
      </c>
      <c r="C533" s="20">
        <v>33457</v>
      </c>
      <c r="D533" s="18" t="str">
        <f>IFERROR(VLOOKUP(C533,[2]Sheet2!$C$1:$F$1223,3,0),"")</f>
        <v>홍건석</v>
      </c>
      <c r="E533" s="18" t="str">
        <f>IFERROR(VLOOKUP(C533,[2]Sheet2!$C$1:$F$1223,4,0),"")</f>
        <v>해동주류합동(유)</v>
      </c>
      <c r="F533" s="39" t="s">
        <v>3868</v>
      </c>
      <c r="G533" s="39" t="s">
        <v>1218</v>
      </c>
      <c r="H533" s="20" t="s">
        <v>264</v>
      </c>
      <c r="I533" s="20" t="s">
        <v>265</v>
      </c>
      <c r="J533" s="20" t="s">
        <v>3869</v>
      </c>
      <c r="Y533" s="32">
        <v>1</v>
      </c>
    </row>
    <row r="534" spans="2:35">
      <c r="B534" s="17" t="str">
        <f>IFERROR(VLOOKUP(C534,[2]Sheet2!$C$3:$F$1223,2,0),"")</f>
        <v>Seoul</v>
      </c>
      <c r="C534" s="20">
        <v>33474</v>
      </c>
      <c r="D534" s="18" t="str">
        <f>IFERROR(VLOOKUP(C534,[2]Sheet2!$C$1:$F$1223,3,0),"")</f>
        <v>홍건석</v>
      </c>
      <c r="E534" s="18" t="str">
        <f>IFERROR(VLOOKUP(C534,[2]Sheet2!$C$1:$F$1223,4,0),"")</f>
        <v>대명종합춘천</v>
      </c>
      <c r="F534" s="39" t="s">
        <v>3870</v>
      </c>
      <c r="G534" s="39" t="s">
        <v>1218</v>
      </c>
      <c r="H534" s="20" t="s">
        <v>264</v>
      </c>
      <c r="I534" s="20" t="s">
        <v>475</v>
      </c>
      <c r="J534" s="20" t="s">
        <v>3871</v>
      </c>
      <c r="Y534" s="32">
        <v>1</v>
      </c>
    </row>
    <row r="535" spans="2:35">
      <c r="B535" s="17" t="s">
        <v>3872</v>
      </c>
      <c r="C535" s="20">
        <v>33250</v>
      </c>
      <c r="D535" s="18" t="str">
        <f>IFERROR(VLOOKUP(C535,[2]Sheet2!$C$1:$F$1223,3,0),"")</f>
        <v>정구영</v>
      </c>
      <c r="E535" s="18" t="str">
        <f>IFERROR(VLOOKUP(C535,[2]Sheet2!$C$1:$F$1223,4,0),"")</f>
        <v>우주실업(주)</v>
      </c>
      <c r="F535" s="39" t="s">
        <v>3873</v>
      </c>
      <c r="G535" s="39" t="s">
        <v>3835</v>
      </c>
      <c r="H535" s="20" t="s">
        <v>3818</v>
      </c>
      <c r="I535" s="20" t="s">
        <v>3874</v>
      </c>
      <c r="J535" s="20" t="s">
        <v>3875</v>
      </c>
      <c r="Y535" s="32">
        <v>1</v>
      </c>
    </row>
    <row r="536" spans="2:35">
      <c r="B536" s="17" t="s">
        <v>3872</v>
      </c>
      <c r="C536" s="20">
        <v>81873</v>
      </c>
      <c r="D536" s="18" t="str">
        <f>IFERROR(VLOOKUP(C536,[2]Sheet2!$C$1:$F$1223,3,0),"")</f>
        <v>채영한</v>
      </c>
      <c r="E536" s="18" t="str">
        <f>IFERROR(VLOOKUP(C536,[2]Sheet2!$C$1:$F$1223,4,0),"")</f>
        <v>(합)청도코리아</v>
      </c>
      <c r="F536" s="39" t="s">
        <v>3876</v>
      </c>
      <c r="G536" s="39" t="s">
        <v>3835</v>
      </c>
      <c r="H536" s="20" t="s">
        <v>3818</v>
      </c>
      <c r="I536" s="20" t="s">
        <v>3874</v>
      </c>
      <c r="J536" s="20" t="s">
        <v>3877</v>
      </c>
      <c r="Z536" s="32">
        <v>5</v>
      </c>
    </row>
    <row r="537" spans="2:35">
      <c r="B537" s="17" t="s">
        <v>3872</v>
      </c>
      <c r="C537" s="20">
        <v>81873</v>
      </c>
      <c r="D537" s="18" t="str">
        <f>IFERROR(VLOOKUP(C537,[2]Sheet2!$C$1:$F$1223,3,0),"")</f>
        <v>채영한</v>
      </c>
      <c r="E537" s="18" t="str">
        <f>IFERROR(VLOOKUP(C537,[2]Sheet2!$C$1:$F$1223,4,0),"")</f>
        <v>(합)청도코리아</v>
      </c>
      <c r="F537" s="39" t="s">
        <v>3878</v>
      </c>
      <c r="G537" s="39" t="s">
        <v>3835</v>
      </c>
      <c r="H537" s="20" t="s">
        <v>3818</v>
      </c>
      <c r="I537" s="20" t="s">
        <v>3874</v>
      </c>
      <c r="J537" s="20" t="s">
        <v>3879</v>
      </c>
      <c r="Z537" s="32">
        <v>1</v>
      </c>
    </row>
    <row r="538" spans="2:35">
      <c r="B538" s="17" t="str">
        <f>IFERROR(VLOOKUP(C538,[1]Sheet2!$C$3:$F$1223,2,0),"")</f>
        <v>Seoul</v>
      </c>
      <c r="C538" s="3">
        <v>81995</v>
      </c>
      <c r="D538" s="18" t="str">
        <f>IFERROR(VLOOKUP(C538,[1]Sheet2!$C$1:$F$1223,3,0),"")</f>
        <v>모정호</v>
      </c>
      <c r="E538" s="18" t="str">
        <f>IFERROR(VLOOKUP(C538,[1]Sheet2!$C$1:$F$1223,4,0),"")</f>
        <v>(자)중국주류</v>
      </c>
      <c r="F538" s="3" t="s">
        <v>3880</v>
      </c>
      <c r="G538" s="39" t="s">
        <v>3815</v>
      </c>
      <c r="H538" s="20" t="s">
        <v>3881</v>
      </c>
      <c r="I538" s="20" t="s">
        <v>3831</v>
      </c>
      <c r="J538" s="20" t="s">
        <v>3882</v>
      </c>
      <c r="K538" s="42">
        <v>0</v>
      </c>
      <c r="L538" s="42">
        <v>0</v>
      </c>
      <c r="M538" s="42">
        <v>0</v>
      </c>
      <c r="N538" s="42">
        <v>0</v>
      </c>
      <c r="O538" s="42">
        <v>0</v>
      </c>
      <c r="P538" s="42">
        <v>0</v>
      </c>
      <c r="Q538" s="42">
        <v>0</v>
      </c>
      <c r="R538" s="42">
        <v>0</v>
      </c>
      <c r="S538" s="42">
        <v>0</v>
      </c>
      <c r="T538" s="42">
        <v>0</v>
      </c>
      <c r="U538" s="42">
        <v>0</v>
      </c>
      <c r="V538" s="43">
        <v>0</v>
      </c>
      <c r="W538" s="40"/>
      <c r="X538" s="41">
        <v>5</v>
      </c>
      <c r="Y538" s="42">
        <v>0</v>
      </c>
      <c r="Z538" s="42"/>
      <c r="AA538" s="42"/>
      <c r="AB538" s="42"/>
      <c r="AC538" s="42"/>
      <c r="AD538" s="42"/>
      <c r="AE538" s="42"/>
      <c r="AF538" s="42"/>
      <c r="AG538" s="42"/>
      <c r="AH538" s="42"/>
      <c r="AI538" s="43"/>
    </row>
    <row r="539" spans="2:35">
      <c r="B539" s="17" t="str">
        <f>IFERROR(VLOOKUP(C539,[1]Sheet2!$C$3:$F$1223,2,0),"")</f>
        <v>Seoul</v>
      </c>
      <c r="C539" s="3">
        <v>81995</v>
      </c>
      <c r="D539" s="18" t="str">
        <f>IFERROR(VLOOKUP(C539,[1]Sheet2!$C$1:$F$1223,3,0),"")</f>
        <v>모정호</v>
      </c>
      <c r="E539" s="18" t="str">
        <f>IFERROR(VLOOKUP(C539,[1]Sheet2!$C$1:$F$1223,4,0),"")</f>
        <v>(자)중국주류</v>
      </c>
      <c r="F539" s="3" t="s">
        <v>3883</v>
      </c>
      <c r="G539" s="39" t="s">
        <v>3815</v>
      </c>
      <c r="H539" s="20" t="s">
        <v>3881</v>
      </c>
      <c r="I539" s="20" t="s">
        <v>3884</v>
      </c>
      <c r="J539" s="20" t="s">
        <v>3885</v>
      </c>
      <c r="K539" s="42">
        <v>0</v>
      </c>
      <c r="L539" s="42">
        <v>0</v>
      </c>
      <c r="M539" s="42">
        <v>0</v>
      </c>
      <c r="N539" s="42">
        <v>0</v>
      </c>
      <c r="O539" s="42">
        <v>0</v>
      </c>
      <c r="P539" s="42">
        <v>0</v>
      </c>
      <c r="Q539" s="42">
        <v>0</v>
      </c>
      <c r="R539" s="42">
        <v>0</v>
      </c>
      <c r="S539" s="42">
        <v>0</v>
      </c>
      <c r="T539" s="42">
        <v>0</v>
      </c>
      <c r="U539" s="42">
        <v>0</v>
      </c>
      <c r="V539" s="43">
        <v>0</v>
      </c>
      <c r="W539" s="40"/>
      <c r="X539" s="41">
        <v>1</v>
      </c>
      <c r="Y539" s="42">
        <v>2</v>
      </c>
      <c r="Z539" s="42"/>
      <c r="AA539" s="42"/>
      <c r="AB539" s="42"/>
      <c r="AC539" s="42"/>
      <c r="AD539" s="42"/>
      <c r="AE539" s="42"/>
      <c r="AF539" s="42"/>
      <c r="AG539" s="42"/>
      <c r="AH539" s="42"/>
      <c r="AI539" s="43"/>
    </row>
    <row r="540" spans="2:35">
      <c r="B540" s="17" t="s">
        <v>3872</v>
      </c>
      <c r="C540" s="39">
        <v>81995</v>
      </c>
      <c r="D540" s="18" t="str">
        <f>IFERROR(VLOOKUP(C540,[1]Sheet2!$C$1:$F$1223,3,0),"")</f>
        <v>모정호</v>
      </c>
      <c r="E540" s="18" t="s">
        <v>3886</v>
      </c>
      <c r="F540" s="39" t="s">
        <v>3887</v>
      </c>
      <c r="G540" s="39" t="s">
        <v>3814</v>
      </c>
      <c r="H540" s="20" t="s">
        <v>3818</v>
      </c>
      <c r="I540" s="20" t="s">
        <v>3888</v>
      </c>
      <c r="J540" s="20" t="s">
        <v>3889</v>
      </c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3"/>
      <c r="W540" s="40"/>
      <c r="X540" s="41"/>
      <c r="Y540" s="42">
        <v>1</v>
      </c>
      <c r="Z540" s="42"/>
      <c r="AA540" s="42"/>
      <c r="AB540" s="42"/>
      <c r="AC540" s="42"/>
      <c r="AD540" s="42"/>
      <c r="AE540" s="42"/>
      <c r="AF540" s="42"/>
      <c r="AG540" s="42"/>
      <c r="AH540" s="42"/>
      <c r="AI540" s="43"/>
    </row>
    <row r="541" spans="2:35">
      <c r="B541" s="17" t="s">
        <v>3872</v>
      </c>
      <c r="C541" s="3">
        <v>83763</v>
      </c>
      <c r="D541" s="18" t="s">
        <v>432</v>
      </c>
      <c r="E541" s="18" t="s">
        <v>439</v>
      </c>
      <c r="F541" s="63" t="s">
        <v>3895</v>
      </c>
      <c r="G541" s="39" t="s">
        <v>3896</v>
      </c>
      <c r="H541" s="20" t="s">
        <v>46</v>
      </c>
      <c r="I541" s="20" t="s">
        <v>119</v>
      </c>
      <c r="J541" s="20" t="s">
        <v>3897</v>
      </c>
    </row>
    <row r="542" spans="2:35">
      <c r="B542" s="17" t="s">
        <v>3872</v>
      </c>
      <c r="C542" s="3">
        <v>83763</v>
      </c>
      <c r="D542" s="18" t="s">
        <v>432</v>
      </c>
      <c r="E542" s="18" t="s">
        <v>439</v>
      </c>
      <c r="F542" s="63" t="s">
        <v>3898</v>
      </c>
      <c r="G542" s="39" t="s">
        <v>3896</v>
      </c>
      <c r="H542" s="20" t="s">
        <v>46</v>
      </c>
      <c r="I542" s="20" t="s">
        <v>47</v>
      </c>
      <c r="J542" s="20" t="s">
        <v>3899</v>
      </c>
    </row>
    <row r="543" spans="2:35">
      <c r="B543" s="17" t="s">
        <v>3872</v>
      </c>
      <c r="C543" s="20">
        <v>81873</v>
      </c>
      <c r="D543" s="18" t="s">
        <v>993</v>
      </c>
      <c r="E543" s="18" t="str">
        <f>IFERROR(VLOOKUP(C543,[2]Sheet2!$C$1:$F$1223,4,0),"")</f>
        <v>(합)청도코리아</v>
      </c>
      <c r="F543" s="63" t="s">
        <v>3900</v>
      </c>
      <c r="G543" s="39" t="s">
        <v>1218</v>
      </c>
      <c r="H543" s="20" t="s">
        <v>264</v>
      </c>
      <c r="I543" s="20" t="s">
        <v>3901</v>
      </c>
      <c r="J543" s="20" t="s">
        <v>3902</v>
      </c>
      <c r="X543" s="31">
        <v>1</v>
      </c>
      <c r="Y543" s="32">
        <v>1</v>
      </c>
    </row>
    <row r="544" spans="2:35">
      <c r="B544" s="17" t="s">
        <v>3872</v>
      </c>
      <c r="C544" s="20">
        <v>81873</v>
      </c>
      <c r="D544" s="18" t="s">
        <v>993</v>
      </c>
      <c r="E544" s="18" t="str">
        <f>IFERROR(VLOOKUP(C544,[2]Sheet2!$C$1:$F$1223,4,0),"")</f>
        <v>(합)청도코리아</v>
      </c>
      <c r="F544" s="63" t="s">
        <v>3903</v>
      </c>
      <c r="G544" s="39" t="s">
        <v>1218</v>
      </c>
      <c r="H544" s="20" t="s">
        <v>264</v>
      </c>
      <c r="I544" s="20" t="s">
        <v>265</v>
      </c>
      <c r="J544" s="20" t="s">
        <v>3904</v>
      </c>
      <c r="X544" s="31">
        <v>1</v>
      </c>
      <c r="Y544" s="32">
        <v>1</v>
      </c>
    </row>
    <row r="545" spans="2:26">
      <c r="B545" s="17" t="s">
        <v>3872</v>
      </c>
      <c r="C545" s="20">
        <v>33455</v>
      </c>
      <c r="D545" s="18" t="s">
        <v>1218</v>
      </c>
      <c r="E545" s="18" t="str">
        <f>IFERROR(VLOOKUP(C545,[1]Sheet2!$C$1:$F$1223,4,0),"")</f>
        <v>원일 주식회사</v>
      </c>
      <c r="F545" s="63" t="s">
        <v>3905</v>
      </c>
      <c r="G545" s="39" t="s">
        <v>1218</v>
      </c>
      <c r="H545" s="20" t="s">
        <v>264</v>
      </c>
      <c r="I545" s="20" t="s">
        <v>265</v>
      </c>
      <c r="J545" s="20" t="s">
        <v>3906</v>
      </c>
      <c r="Y545" s="32">
        <v>2</v>
      </c>
    </row>
    <row r="546" spans="2:26">
      <c r="B546" s="17" t="s">
        <v>1157</v>
      </c>
      <c r="C546" s="20">
        <v>33142</v>
      </c>
      <c r="D546" s="18" t="s">
        <v>993</v>
      </c>
      <c r="E546" s="18" t="s">
        <v>1369</v>
      </c>
      <c r="F546" s="63" t="s">
        <v>3907</v>
      </c>
      <c r="G546" s="39" t="s">
        <v>3908</v>
      </c>
      <c r="H546" s="20" t="s">
        <v>21</v>
      </c>
      <c r="I546" s="20" t="s">
        <v>128</v>
      </c>
      <c r="J546" s="20" t="s">
        <v>3909</v>
      </c>
      <c r="Z546" s="32">
        <v>2</v>
      </c>
    </row>
  </sheetData>
  <autoFilter ref="B2:V529"/>
  <mergeCells count="2">
    <mergeCell ref="K1:V1"/>
    <mergeCell ref="X1:AI1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AI746"/>
  <sheetViews>
    <sheetView showGridLines="0" zoomScale="85" zoomScaleNormal="85" workbookViewId="0">
      <selection activeCell="A2" sqref="A2"/>
    </sheetView>
  </sheetViews>
  <sheetFormatPr defaultRowHeight="17" outlineLevelCol="1"/>
  <cols>
    <col min="1" max="1" width="9"/>
    <col min="2" max="2" width="6.58203125" style="19" bestFit="1" customWidth="1"/>
    <col min="3" max="3" width="6.5" style="20" bestFit="1" customWidth="1"/>
    <col min="4" max="4" width="7.08203125" style="21" bestFit="1" customWidth="1"/>
    <col min="5" max="5" width="24.08203125" style="21" bestFit="1" customWidth="1"/>
    <col min="6" max="6" width="38" style="39" bestFit="1" customWidth="1"/>
    <col min="7" max="7" width="8.08203125" style="39" bestFit="1" customWidth="1"/>
    <col min="8" max="8" width="11" style="20" bestFit="1" customWidth="1" outlineLevel="1"/>
    <col min="9" max="9" width="14.83203125" style="20" bestFit="1" customWidth="1" outlineLevel="1"/>
    <col min="10" max="10" width="54.25" style="20" bestFit="1" customWidth="1" outlineLevel="1"/>
    <col min="11" max="21" width="8.58203125" style="32" customWidth="1"/>
    <col min="22" max="22" width="8.58203125" style="33" customWidth="1"/>
    <col min="23" max="23" width="9" style="30"/>
    <col min="24" max="24" width="9" style="31"/>
    <col min="25" max="34" width="9" style="32"/>
    <col min="35" max="35" width="9" style="33"/>
  </cols>
  <sheetData>
    <row r="1" spans="2:35">
      <c r="B1" s="13"/>
      <c r="C1"/>
      <c r="D1" s="13"/>
      <c r="E1" s="13"/>
      <c r="F1" s="1"/>
      <c r="G1" s="1"/>
      <c r="H1"/>
      <c r="I1"/>
      <c r="J1"/>
      <c r="K1" s="101" t="s">
        <v>2315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/>
      <c r="X1" s="104" t="s">
        <v>2316</v>
      </c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6"/>
    </row>
    <row r="2" spans="2:35">
      <c r="B2" s="14" t="s">
        <v>1158</v>
      </c>
      <c r="C2" s="15" t="s">
        <v>0</v>
      </c>
      <c r="D2" s="16" t="s">
        <v>2313</v>
      </c>
      <c r="E2" s="16" t="s">
        <v>1</v>
      </c>
      <c r="F2" s="15" t="s">
        <v>2314</v>
      </c>
      <c r="G2" s="15" t="s">
        <v>17</v>
      </c>
      <c r="H2" s="15" t="s">
        <v>14</v>
      </c>
      <c r="I2" s="15" t="s">
        <v>15</v>
      </c>
      <c r="J2" s="22" t="s">
        <v>16</v>
      </c>
      <c r="K2" s="24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25" t="s">
        <v>7</v>
      </c>
      <c r="Q2" s="25" t="s">
        <v>8</v>
      </c>
      <c r="R2" s="25" t="s">
        <v>9</v>
      </c>
      <c r="S2" s="25" t="s">
        <v>10</v>
      </c>
      <c r="T2" s="25" t="s">
        <v>11</v>
      </c>
      <c r="U2" s="25" t="s">
        <v>12</v>
      </c>
      <c r="V2" s="26" t="s">
        <v>13</v>
      </c>
      <c r="W2"/>
      <c r="X2" s="24" t="s">
        <v>2</v>
      </c>
      <c r="Y2" s="25" t="s">
        <v>3</v>
      </c>
      <c r="Z2" s="25" t="s">
        <v>4</v>
      </c>
      <c r="AA2" s="25" t="s">
        <v>5</v>
      </c>
      <c r="AB2" s="25" t="s">
        <v>6</v>
      </c>
      <c r="AC2" s="25" t="s">
        <v>7</v>
      </c>
      <c r="AD2" s="25" t="s">
        <v>8</v>
      </c>
      <c r="AE2" s="25" t="s">
        <v>9</v>
      </c>
      <c r="AF2" s="25" t="s">
        <v>10</v>
      </c>
      <c r="AG2" s="25" t="s">
        <v>11</v>
      </c>
      <c r="AH2" s="25" t="s">
        <v>12</v>
      </c>
      <c r="AI2" s="26" t="s">
        <v>13</v>
      </c>
    </row>
    <row r="3" spans="2:35">
      <c r="B3" s="17" t="s">
        <v>2294</v>
      </c>
      <c r="C3" s="3">
        <v>33587</v>
      </c>
      <c r="D3" s="18" t="s">
        <v>1596</v>
      </c>
      <c r="E3" s="18" t="s">
        <v>1598</v>
      </c>
      <c r="F3" s="2" t="s">
        <v>2317</v>
      </c>
      <c r="G3" s="3" t="s">
        <v>2670</v>
      </c>
      <c r="H3" s="4" t="s">
        <v>2479</v>
      </c>
      <c r="I3" s="4" t="s">
        <v>2480</v>
      </c>
      <c r="J3" s="23" t="s">
        <v>2481</v>
      </c>
      <c r="K3" s="66"/>
      <c r="L3" s="67"/>
      <c r="M3" s="67"/>
      <c r="N3" s="67">
        <v>1</v>
      </c>
      <c r="O3" s="67"/>
      <c r="P3" s="67"/>
      <c r="Q3" s="67"/>
      <c r="R3" s="67"/>
      <c r="S3" s="67"/>
      <c r="T3" s="67"/>
      <c r="U3" s="67"/>
      <c r="V3" s="68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2:35">
      <c r="B4" s="17" t="s">
        <v>2294</v>
      </c>
      <c r="C4" s="3">
        <v>33797</v>
      </c>
      <c r="D4" s="18" t="s">
        <v>1596</v>
      </c>
      <c r="E4" s="18" t="s">
        <v>1599</v>
      </c>
      <c r="F4" s="2" t="s">
        <v>2318</v>
      </c>
      <c r="G4" s="3" t="s">
        <v>2670</v>
      </c>
      <c r="H4" s="4" t="s">
        <v>2479</v>
      </c>
      <c r="I4" s="4" t="s">
        <v>2482</v>
      </c>
      <c r="J4" s="23" t="s">
        <v>2483</v>
      </c>
      <c r="K4" s="66"/>
      <c r="L4" s="67"/>
      <c r="M4" s="67"/>
      <c r="N4" s="67">
        <v>1</v>
      </c>
      <c r="O4" s="67"/>
      <c r="P4" s="67"/>
      <c r="Q4" s="67"/>
      <c r="R4" s="67"/>
      <c r="S4" s="67"/>
      <c r="T4" s="67"/>
      <c r="U4" s="67"/>
      <c r="V4" s="68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2:35">
      <c r="B5" s="17" t="s">
        <v>2294</v>
      </c>
      <c r="C5" s="3">
        <v>33797</v>
      </c>
      <c r="D5" s="18" t="s">
        <v>1596</v>
      </c>
      <c r="E5" s="18" t="s">
        <v>1599</v>
      </c>
      <c r="F5" s="2" t="s">
        <v>2319</v>
      </c>
      <c r="G5" s="3" t="s">
        <v>2670</v>
      </c>
      <c r="H5" s="4" t="s">
        <v>2479</v>
      </c>
      <c r="I5" s="4" t="s">
        <v>2480</v>
      </c>
      <c r="J5" s="23" t="s">
        <v>2484</v>
      </c>
      <c r="K5" s="66"/>
      <c r="L5" s="67"/>
      <c r="M5" s="67"/>
      <c r="N5" s="67">
        <v>1</v>
      </c>
      <c r="O5" s="67"/>
      <c r="P5" s="67"/>
      <c r="Q5" s="67"/>
      <c r="R5" s="67"/>
      <c r="S5" s="67"/>
      <c r="T5" s="67"/>
      <c r="U5" s="67"/>
      <c r="V5" s="68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2:35">
      <c r="B6" s="17" t="s">
        <v>2294</v>
      </c>
      <c r="C6" s="3">
        <v>33654</v>
      </c>
      <c r="D6" s="18" t="s">
        <v>1596</v>
      </c>
      <c r="E6" s="18" t="s">
        <v>1605</v>
      </c>
      <c r="F6" s="2" t="s">
        <v>2320</v>
      </c>
      <c r="G6" s="3" t="s">
        <v>2671</v>
      </c>
      <c r="H6" s="4" t="s">
        <v>2485</v>
      </c>
      <c r="I6" s="4" t="s">
        <v>2486</v>
      </c>
      <c r="J6" s="23" t="s">
        <v>2487</v>
      </c>
      <c r="K6" s="66"/>
      <c r="L6" s="67"/>
      <c r="M6" s="67"/>
      <c r="N6" s="67">
        <v>1</v>
      </c>
      <c r="O6" s="67"/>
      <c r="P6" s="67"/>
      <c r="Q6" s="67"/>
      <c r="R6" s="67"/>
      <c r="S6" s="67"/>
      <c r="T6" s="67"/>
      <c r="U6" s="67"/>
      <c r="V6" s="68"/>
      <c r="W6"/>
      <c r="X6"/>
      <c r="Y6"/>
      <c r="Z6"/>
      <c r="AA6"/>
      <c r="AB6"/>
      <c r="AC6"/>
      <c r="AD6"/>
      <c r="AE6"/>
      <c r="AF6"/>
      <c r="AG6"/>
      <c r="AH6"/>
      <c r="AI6"/>
    </row>
    <row r="7" spans="2:35">
      <c r="B7" s="17" t="s">
        <v>2294</v>
      </c>
      <c r="C7" s="3">
        <v>33587</v>
      </c>
      <c r="D7" s="18" t="s">
        <v>1596</v>
      </c>
      <c r="E7" s="18" t="s">
        <v>1598</v>
      </c>
      <c r="F7" s="2" t="s">
        <v>2321</v>
      </c>
      <c r="G7" s="3" t="s">
        <v>2670</v>
      </c>
      <c r="H7" s="4" t="s">
        <v>2479</v>
      </c>
      <c r="I7" s="4" t="s">
        <v>2488</v>
      </c>
      <c r="J7" s="23" t="s">
        <v>2489</v>
      </c>
      <c r="K7" s="66"/>
      <c r="L7" s="67"/>
      <c r="M7" s="67"/>
      <c r="N7" s="67">
        <v>1</v>
      </c>
      <c r="O7" s="67"/>
      <c r="P7" s="67"/>
      <c r="Q7" s="67">
        <v>1</v>
      </c>
      <c r="R7" s="67"/>
      <c r="S7" s="67"/>
      <c r="T7" s="67"/>
      <c r="U7" s="67"/>
      <c r="V7" s="68"/>
      <c r="W7"/>
      <c r="X7"/>
      <c r="Y7"/>
      <c r="Z7"/>
      <c r="AA7"/>
      <c r="AB7"/>
      <c r="AC7"/>
      <c r="AD7"/>
      <c r="AE7"/>
      <c r="AF7"/>
      <c r="AG7"/>
      <c r="AH7"/>
      <c r="AI7"/>
    </row>
    <row r="8" spans="2:35">
      <c r="B8" s="17" t="s">
        <v>2294</v>
      </c>
      <c r="C8" s="3">
        <v>33587</v>
      </c>
      <c r="D8" s="18" t="s">
        <v>1596</v>
      </c>
      <c r="E8" s="18" t="s">
        <v>1598</v>
      </c>
      <c r="F8" s="2" t="s">
        <v>2322</v>
      </c>
      <c r="G8" s="3" t="s">
        <v>2670</v>
      </c>
      <c r="H8" s="4" t="s">
        <v>2479</v>
      </c>
      <c r="I8" s="4" t="s">
        <v>2490</v>
      </c>
      <c r="J8" s="23" t="s">
        <v>2491</v>
      </c>
      <c r="K8" s="66"/>
      <c r="L8" s="67"/>
      <c r="M8" s="67"/>
      <c r="N8" s="67">
        <v>5</v>
      </c>
      <c r="O8" s="67"/>
      <c r="P8" s="67"/>
      <c r="Q8" s="67">
        <v>5</v>
      </c>
      <c r="R8" s="67"/>
      <c r="S8" s="67"/>
      <c r="T8" s="67"/>
      <c r="U8" s="67"/>
      <c r="V8" s="6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2:35">
      <c r="B9" s="17" t="s">
        <v>2294</v>
      </c>
      <c r="C9" s="3">
        <v>33587</v>
      </c>
      <c r="D9" s="18" t="s">
        <v>1596</v>
      </c>
      <c r="E9" s="18" t="s">
        <v>1598</v>
      </c>
      <c r="F9" s="2" t="s">
        <v>2323</v>
      </c>
      <c r="G9" s="3" t="s">
        <v>2670</v>
      </c>
      <c r="H9" s="4" t="s">
        <v>2479</v>
      </c>
      <c r="I9" s="4" t="s">
        <v>2482</v>
      </c>
      <c r="J9" s="23" t="s">
        <v>2492</v>
      </c>
      <c r="K9" s="66"/>
      <c r="L9" s="67"/>
      <c r="M9" s="67"/>
      <c r="N9" s="67">
        <v>1</v>
      </c>
      <c r="O9" s="67">
        <v>8</v>
      </c>
      <c r="P9" s="67"/>
      <c r="Q9" s="67"/>
      <c r="R9" s="67"/>
      <c r="S9" s="67">
        <v>2</v>
      </c>
      <c r="T9" s="67">
        <v>1</v>
      </c>
      <c r="U9" s="67">
        <v>2</v>
      </c>
      <c r="V9" s="68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2:35">
      <c r="B10" s="17" t="s">
        <v>2294</v>
      </c>
      <c r="C10" s="3">
        <v>33587</v>
      </c>
      <c r="D10" s="18" t="s">
        <v>1596</v>
      </c>
      <c r="E10" s="18" t="s">
        <v>1598</v>
      </c>
      <c r="F10" s="2" t="s">
        <v>2324</v>
      </c>
      <c r="G10" s="3" t="s">
        <v>2670</v>
      </c>
      <c r="H10" s="4" t="s">
        <v>2479</v>
      </c>
      <c r="I10" s="4" t="s">
        <v>2488</v>
      </c>
      <c r="J10" s="23" t="s">
        <v>2493</v>
      </c>
      <c r="K10" s="66"/>
      <c r="L10" s="67"/>
      <c r="M10" s="67"/>
      <c r="N10" s="67">
        <v>2</v>
      </c>
      <c r="O10" s="67">
        <v>2</v>
      </c>
      <c r="P10" s="67">
        <v>4</v>
      </c>
      <c r="Q10" s="67">
        <v>6</v>
      </c>
      <c r="R10" s="67">
        <v>4</v>
      </c>
      <c r="S10" s="67">
        <v>1</v>
      </c>
      <c r="T10" s="67">
        <v>5</v>
      </c>
      <c r="U10" s="67">
        <v>2</v>
      </c>
      <c r="V10" s="68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2:35">
      <c r="B11" s="17" t="s">
        <v>2294</v>
      </c>
      <c r="C11" s="3">
        <v>33587</v>
      </c>
      <c r="D11" s="18" t="s">
        <v>1596</v>
      </c>
      <c r="E11" s="18" t="s">
        <v>1598</v>
      </c>
      <c r="F11" s="2" t="s">
        <v>2325</v>
      </c>
      <c r="G11" s="3" t="s">
        <v>2671</v>
      </c>
      <c r="H11" s="4" t="s">
        <v>2485</v>
      </c>
      <c r="I11" s="4" t="s">
        <v>2486</v>
      </c>
      <c r="J11" s="23" t="s">
        <v>2494</v>
      </c>
      <c r="K11" s="66"/>
      <c r="L11" s="67"/>
      <c r="M11" s="67"/>
      <c r="N11" s="67">
        <v>5</v>
      </c>
      <c r="O11" s="67">
        <v>5</v>
      </c>
      <c r="P11" s="67">
        <v>9</v>
      </c>
      <c r="Q11" s="67">
        <v>5</v>
      </c>
      <c r="R11" s="67">
        <v>4</v>
      </c>
      <c r="S11" s="67">
        <v>11</v>
      </c>
      <c r="T11" s="67"/>
      <c r="U11" s="67">
        <v>4</v>
      </c>
      <c r="V11" s="68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spans="2:35">
      <c r="B12" s="17" t="s">
        <v>2294</v>
      </c>
      <c r="C12" s="3">
        <v>33587</v>
      </c>
      <c r="D12" s="18" t="s">
        <v>1596</v>
      </c>
      <c r="E12" s="18" t="s">
        <v>1598</v>
      </c>
      <c r="F12" s="2" t="s">
        <v>2326</v>
      </c>
      <c r="G12" s="3" t="s">
        <v>2670</v>
      </c>
      <c r="H12" s="4" t="s">
        <v>2479</v>
      </c>
      <c r="I12" s="4" t="s">
        <v>2495</v>
      </c>
      <c r="J12" s="23" t="s">
        <v>2496</v>
      </c>
      <c r="K12" s="66"/>
      <c r="L12" s="67"/>
      <c r="M12" s="67"/>
      <c r="N12" s="67">
        <v>2</v>
      </c>
      <c r="O12" s="67"/>
      <c r="P12" s="67"/>
      <c r="Q12" s="67"/>
      <c r="R12" s="67"/>
      <c r="S12" s="67"/>
      <c r="T12" s="67"/>
      <c r="U12" s="67"/>
      <c r="V12" s="68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2:35">
      <c r="B13" s="17" t="s">
        <v>2294</v>
      </c>
      <c r="C13" s="3">
        <v>33587</v>
      </c>
      <c r="D13" s="18" t="s">
        <v>1596</v>
      </c>
      <c r="E13" s="18" t="s">
        <v>1598</v>
      </c>
      <c r="F13" s="2" t="s">
        <v>2327</v>
      </c>
      <c r="G13" s="3" t="s">
        <v>2672</v>
      </c>
      <c r="H13" s="4" t="s">
        <v>2485</v>
      </c>
      <c r="I13" s="4" t="s">
        <v>2497</v>
      </c>
      <c r="J13" s="23" t="s">
        <v>2498</v>
      </c>
      <c r="K13" s="66"/>
      <c r="L13" s="67"/>
      <c r="M13" s="67"/>
      <c r="N13" s="67">
        <v>2</v>
      </c>
      <c r="O13" s="67"/>
      <c r="P13" s="67"/>
      <c r="Q13" s="67"/>
      <c r="R13" s="67"/>
      <c r="S13" s="67"/>
      <c r="T13" s="67"/>
      <c r="U13" s="67"/>
      <c r="V13" s="68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2:35">
      <c r="B14" s="17" t="s">
        <v>2294</v>
      </c>
      <c r="C14" s="3">
        <v>33587</v>
      </c>
      <c r="D14" s="18" t="s">
        <v>1596</v>
      </c>
      <c r="E14" s="18" t="s">
        <v>1598</v>
      </c>
      <c r="F14" s="2" t="s">
        <v>2328</v>
      </c>
      <c r="G14" s="3" t="s">
        <v>2673</v>
      </c>
      <c r="H14" s="4" t="s">
        <v>2499</v>
      </c>
      <c r="I14" s="4" t="s">
        <v>2500</v>
      </c>
      <c r="J14" s="23" t="s">
        <v>2501</v>
      </c>
      <c r="K14" s="66"/>
      <c r="L14" s="67"/>
      <c r="M14" s="67"/>
      <c r="N14" s="67">
        <v>2</v>
      </c>
      <c r="O14" s="67">
        <v>2</v>
      </c>
      <c r="P14" s="67"/>
      <c r="Q14" s="67"/>
      <c r="R14" s="67"/>
      <c r="S14" s="67"/>
      <c r="T14" s="67"/>
      <c r="U14" s="67"/>
      <c r="V14" s="68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2:35">
      <c r="B15" s="17" t="s">
        <v>2294</v>
      </c>
      <c r="C15" s="3">
        <v>33587</v>
      </c>
      <c r="D15" s="18" t="s">
        <v>1596</v>
      </c>
      <c r="E15" s="18" t="s">
        <v>1598</v>
      </c>
      <c r="F15" s="2" t="s">
        <v>2329</v>
      </c>
      <c r="G15" s="3" t="s">
        <v>2673</v>
      </c>
      <c r="H15" s="4" t="s">
        <v>2499</v>
      </c>
      <c r="I15" s="4" t="s">
        <v>2500</v>
      </c>
      <c r="J15" s="23" t="s">
        <v>2502</v>
      </c>
      <c r="K15" s="66"/>
      <c r="L15" s="67"/>
      <c r="M15" s="67"/>
      <c r="N15" s="67">
        <v>2</v>
      </c>
      <c r="O15" s="67">
        <v>7</v>
      </c>
      <c r="P15" s="67"/>
      <c r="Q15" s="67">
        <v>2</v>
      </c>
      <c r="R15" s="67">
        <v>2</v>
      </c>
      <c r="S15" s="67"/>
      <c r="T15" s="67">
        <v>2</v>
      </c>
      <c r="U15" s="67">
        <v>1</v>
      </c>
      <c r="V15" s="68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2:35">
      <c r="B16" s="17" t="s">
        <v>2294</v>
      </c>
      <c r="C16" s="3">
        <v>33587</v>
      </c>
      <c r="D16" s="18" t="s">
        <v>1596</v>
      </c>
      <c r="E16" s="18" t="s">
        <v>1598</v>
      </c>
      <c r="F16" s="2" t="s">
        <v>2330</v>
      </c>
      <c r="G16" s="3" t="s">
        <v>2670</v>
      </c>
      <c r="H16" s="4" t="s">
        <v>2479</v>
      </c>
      <c r="I16" s="4" t="s">
        <v>2503</v>
      </c>
      <c r="J16" s="23" t="s">
        <v>2504</v>
      </c>
      <c r="K16" s="66"/>
      <c r="L16" s="67"/>
      <c r="M16" s="67"/>
      <c r="N16" s="67">
        <v>1</v>
      </c>
      <c r="O16" s="67"/>
      <c r="P16" s="67"/>
      <c r="Q16" s="67"/>
      <c r="R16" s="67"/>
      <c r="S16" s="67"/>
      <c r="T16" s="67"/>
      <c r="U16" s="67"/>
      <c r="V16" s="68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2:22">
      <c r="B17" s="17" t="s">
        <v>2294</v>
      </c>
      <c r="C17" s="3">
        <v>33587</v>
      </c>
      <c r="D17" s="18" t="s">
        <v>1596</v>
      </c>
      <c r="E17" s="18" t="s">
        <v>1598</v>
      </c>
      <c r="F17" s="2" t="s">
        <v>2331</v>
      </c>
      <c r="G17" s="3" t="s">
        <v>2670</v>
      </c>
      <c r="H17" s="4" t="s">
        <v>2479</v>
      </c>
      <c r="I17" s="4" t="s">
        <v>2503</v>
      </c>
      <c r="J17" s="23" t="s">
        <v>2505</v>
      </c>
      <c r="K17" s="66"/>
      <c r="L17" s="67"/>
      <c r="M17" s="67"/>
      <c r="N17" s="67">
        <v>1</v>
      </c>
      <c r="O17" s="67">
        <v>1</v>
      </c>
      <c r="P17" s="67">
        <v>1</v>
      </c>
      <c r="Q17" s="67"/>
      <c r="R17" s="67">
        <v>1</v>
      </c>
      <c r="S17" s="67"/>
      <c r="T17" s="67"/>
      <c r="U17" s="67"/>
      <c r="V17" s="68"/>
    </row>
    <row r="18" spans="2:22">
      <c r="B18" s="17" t="s">
        <v>2294</v>
      </c>
      <c r="C18" s="3">
        <v>33587</v>
      </c>
      <c r="D18" s="18" t="s">
        <v>1596</v>
      </c>
      <c r="E18" s="18" t="s">
        <v>1598</v>
      </c>
      <c r="F18" s="2" t="s">
        <v>2332</v>
      </c>
      <c r="G18" s="3" t="s">
        <v>2673</v>
      </c>
      <c r="H18" s="4" t="s">
        <v>2499</v>
      </c>
      <c r="I18" s="4" t="s">
        <v>2500</v>
      </c>
      <c r="J18" s="23" t="s">
        <v>2506</v>
      </c>
      <c r="K18" s="66"/>
      <c r="L18" s="67"/>
      <c r="M18" s="67"/>
      <c r="N18" s="67">
        <v>1</v>
      </c>
      <c r="O18" s="67"/>
      <c r="P18" s="67"/>
      <c r="Q18" s="67"/>
      <c r="R18" s="67"/>
      <c r="S18" s="67"/>
      <c r="T18" s="67"/>
      <c r="U18" s="67"/>
      <c r="V18" s="68"/>
    </row>
    <row r="19" spans="2:22">
      <c r="B19" s="17" t="s">
        <v>2294</v>
      </c>
      <c r="C19" s="3">
        <v>33587</v>
      </c>
      <c r="D19" s="18" t="s">
        <v>1596</v>
      </c>
      <c r="E19" s="18" t="s">
        <v>1598</v>
      </c>
      <c r="F19" s="2" t="s">
        <v>2333</v>
      </c>
      <c r="G19" s="3" t="s">
        <v>2673</v>
      </c>
      <c r="H19" s="4" t="s">
        <v>2499</v>
      </c>
      <c r="I19" s="4" t="s">
        <v>2507</v>
      </c>
      <c r="J19" s="23" t="s">
        <v>2508</v>
      </c>
      <c r="K19" s="66"/>
      <c r="L19" s="67"/>
      <c r="M19" s="67"/>
      <c r="N19" s="67">
        <v>2</v>
      </c>
      <c r="O19" s="67"/>
      <c r="P19" s="67"/>
      <c r="Q19" s="67"/>
      <c r="R19" s="67"/>
      <c r="S19" s="67"/>
      <c r="T19" s="67"/>
      <c r="U19" s="67"/>
      <c r="V19" s="68"/>
    </row>
    <row r="20" spans="2:22">
      <c r="B20" s="17" t="s">
        <v>2294</v>
      </c>
      <c r="C20" s="3">
        <v>33587</v>
      </c>
      <c r="D20" s="18" t="s">
        <v>1596</v>
      </c>
      <c r="E20" s="18" t="s">
        <v>1598</v>
      </c>
      <c r="F20" s="2" t="s">
        <v>2334</v>
      </c>
      <c r="G20" s="3" t="s">
        <v>2673</v>
      </c>
      <c r="H20" s="4" t="s">
        <v>2499</v>
      </c>
      <c r="I20" s="4" t="s">
        <v>2500</v>
      </c>
      <c r="J20" s="23" t="s">
        <v>2509</v>
      </c>
      <c r="K20" s="66"/>
      <c r="L20" s="67"/>
      <c r="M20" s="67"/>
      <c r="N20" s="67">
        <v>5</v>
      </c>
      <c r="O20" s="67"/>
      <c r="P20" s="67"/>
      <c r="Q20" s="67"/>
      <c r="R20" s="67"/>
      <c r="S20" s="67"/>
      <c r="T20" s="67"/>
      <c r="U20" s="67"/>
      <c r="V20" s="68"/>
    </row>
    <row r="21" spans="2:22">
      <c r="B21" s="17" t="s">
        <v>2294</v>
      </c>
      <c r="C21" s="3">
        <v>33640</v>
      </c>
      <c r="D21" s="18" t="s">
        <v>1596</v>
      </c>
      <c r="E21" s="18" t="s">
        <v>1643</v>
      </c>
      <c r="F21" s="2" t="s">
        <v>2335</v>
      </c>
      <c r="G21" s="3" t="s">
        <v>2672</v>
      </c>
      <c r="H21" s="4" t="s">
        <v>2485</v>
      </c>
      <c r="I21" s="4" t="s">
        <v>2510</v>
      </c>
      <c r="J21" s="23" t="s">
        <v>2511</v>
      </c>
      <c r="K21" s="66"/>
      <c r="L21" s="67"/>
      <c r="M21" s="67"/>
      <c r="N21" s="67">
        <v>1</v>
      </c>
      <c r="O21" s="67"/>
      <c r="P21" s="67"/>
      <c r="Q21" s="67"/>
      <c r="R21" s="67"/>
      <c r="S21" s="67"/>
      <c r="T21" s="67"/>
      <c r="U21" s="67"/>
      <c r="V21" s="68"/>
    </row>
    <row r="22" spans="2:22">
      <c r="B22" s="17" t="s">
        <v>2294</v>
      </c>
      <c r="C22" s="3">
        <v>33822</v>
      </c>
      <c r="D22" s="18" t="s">
        <v>1596</v>
      </c>
      <c r="E22" s="18" t="s">
        <v>1603</v>
      </c>
      <c r="F22" s="2" t="s">
        <v>2336</v>
      </c>
      <c r="G22" s="3" t="s">
        <v>2671</v>
      </c>
      <c r="H22" s="4" t="s">
        <v>2485</v>
      </c>
      <c r="I22" s="4" t="s">
        <v>2512</v>
      </c>
      <c r="J22" s="23" t="s">
        <v>2513</v>
      </c>
      <c r="K22" s="66"/>
      <c r="L22" s="67"/>
      <c r="M22" s="67"/>
      <c r="N22" s="67">
        <v>1</v>
      </c>
      <c r="O22" s="67">
        <v>6</v>
      </c>
      <c r="P22" s="67">
        <v>3</v>
      </c>
      <c r="Q22" s="67">
        <v>5</v>
      </c>
      <c r="R22" s="67">
        <v>6</v>
      </c>
      <c r="S22" s="67">
        <v>4</v>
      </c>
      <c r="T22" s="67">
        <v>4</v>
      </c>
      <c r="U22" s="67">
        <v>5</v>
      </c>
      <c r="V22" s="68"/>
    </row>
    <row r="23" spans="2:22">
      <c r="B23" s="17" t="s">
        <v>2294</v>
      </c>
      <c r="C23" s="3">
        <v>33587</v>
      </c>
      <c r="D23" s="18" t="s">
        <v>1596</v>
      </c>
      <c r="E23" s="18" t="s">
        <v>1598</v>
      </c>
      <c r="F23" s="2" t="s">
        <v>2337</v>
      </c>
      <c r="G23" s="3" t="s">
        <v>2670</v>
      </c>
      <c r="H23" s="4" t="s">
        <v>2479</v>
      </c>
      <c r="I23" s="4" t="s">
        <v>2480</v>
      </c>
      <c r="J23" s="23" t="s">
        <v>2514</v>
      </c>
      <c r="K23" s="66"/>
      <c r="L23" s="67"/>
      <c r="M23" s="67"/>
      <c r="N23" s="67">
        <v>2</v>
      </c>
      <c r="O23" s="67"/>
      <c r="P23" s="67"/>
      <c r="Q23" s="67"/>
      <c r="R23" s="67"/>
      <c r="S23" s="67"/>
      <c r="T23" s="67"/>
      <c r="U23" s="67"/>
      <c r="V23" s="68"/>
    </row>
    <row r="24" spans="2:22">
      <c r="B24" s="17" t="s">
        <v>2294</v>
      </c>
      <c r="C24" s="3">
        <v>34727</v>
      </c>
      <c r="D24" s="18" t="s">
        <v>1596</v>
      </c>
      <c r="E24" s="18" t="s">
        <v>1614</v>
      </c>
      <c r="F24" s="2" t="s">
        <v>2338</v>
      </c>
      <c r="G24" s="3" t="s">
        <v>2670</v>
      </c>
      <c r="H24" s="4" t="s">
        <v>2479</v>
      </c>
      <c r="I24" s="4" t="s">
        <v>2488</v>
      </c>
      <c r="J24" s="23" t="s">
        <v>2515</v>
      </c>
      <c r="K24" s="66"/>
      <c r="L24" s="67"/>
      <c r="M24" s="67"/>
      <c r="N24" s="67">
        <v>2</v>
      </c>
      <c r="O24" s="67">
        <v>3</v>
      </c>
      <c r="P24" s="67">
        <v>4</v>
      </c>
      <c r="Q24" s="67">
        <v>4</v>
      </c>
      <c r="R24" s="67">
        <v>3</v>
      </c>
      <c r="S24" s="67">
        <v>3</v>
      </c>
      <c r="T24" s="67">
        <v>4</v>
      </c>
      <c r="U24" s="67"/>
      <c r="V24" s="68"/>
    </row>
    <row r="25" spans="2:22">
      <c r="B25" s="17" t="s">
        <v>2294</v>
      </c>
      <c r="C25" s="3">
        <v>33587</v>
      </c>
      <c r="D25" s="18" t="s">
        <v>1596</v>
      </c>
      <c r="E25" s="18" t="s">
        <v>1598</v>
      </c>
      <c r="F25" s="2" t="s">
        <v>2339</v>
      </c>
      <c r="G25" s="3" t="s">
        <v>2670</v>
      </c>
      <c r="H25" s="4" t="s">
        <v>2479</v>
      </c>
      <c r="I25" s="4" t="s">
        <v>2488</v>
      </c>
      <c r="J25" s="23" t="s">
        <v>2516</v>
      </c>
      <c r="K25" s="66"/>
      <c r="L25" s="67"/>
      <c r="M25" s="67"/>
      <c r="N25" s="67">
        <v>2</v>
      </c>
      <c r="O25" s="67">
        <v>2</v>
      </c>
      <c r="P25" s="67">
        <v>3</v>
      </c>
      <c r="Q25" s="67"/>
      <c r="R25" s="67"/>
      <c r="S25" s="67"/>
      <c r="T25" s="67"/>
      <c r="U25" s="67"/>
      <c r="V25" s="68"/>
    </row>
    <row r="26" spans="2:22">
      <c r="B26" s="17" t="s">
        <v>2294</v>
      </c>
      <c r="C26" s="3">
        <v>33822</v>
      </c>
      <c r="D26" s="18" t="s">
        <v>1596</v>
      </c>
      <c r="E26" s="18" t="s">
        <v>1603</v>
      </c>
      <c r="F26" s="2" t="s">
        <v>2340</v>
      </c>
      <c r="G26" s="3" t="s">
        <v>2671</v>
      </c>
      <c r="H26" s="4" t="s">
        <v>2485</v>
      </c>
      <c r="I26" s="4" t="s">
        <v>2517</v>
      </c>
      <c r="J26" s="23" t="s">
        <v>2518</v>
      </c>
      <c r="K26" s="66"/>
      <c r="L26" s="67"/>
      <c r="M26" s="67"/>
      <c r="N26" s="67">
        <v>3</v>
      </c>
      <c r="O26" s="67">
        <v>6</v>
      </c>
      <c r="P26" s="67">
        <v>9</v>
      </c>
      <c r="Q26" s="67">
        <v>10</v>
      </c>
      <c r="R26" s="67">
        <v>9</v>
      </c>
      <c r="S26" s="67">
        <v>6</v>
      </c>
      <c r="T26" s="67">
        <v>11</v>
      </c>
      <c r="U26" s="67">
        <v>7</v>
      </c>
      <c r="V26" s="68"/>
    </row>
    <row r="27" spans="2:22">
      <c r="B27" s="17" t="s">
        <v>2294</v>
      </c>
      <c r="C27" s="3">
        <v>33822</v>
      </c>
      <c r="D27" s="18" t="s">
        <v>1596</v>
      </c>
      <c r="E27" s="18" t="s">
        <v>1603</v>
      </c>
      <c r="F27" s="2" t="s">
        <v>2341</v>
      </c>
      <c r="G27" s="3" t="s">
        <v>2672</v>
      </c>
      <c r="H27" s="4" t="s">
        <v>2485</v>
      </c>
      <c r="I27" s="4" t="s">
        <v>2519</v>
      </c>
      <c r="J27" s="23" t="s">
        <v>2520</v>
      </c>
      <c r="K27" s="66"/>
      <c r="L27" s="67"/>
      <c r="M27" s="67"/>
      <c r="N27" s="67">
        <v>1</v>
      </c>
      <c r="O27" s="67">
        <v>4</v>
      </c>
      <c r="P27" s="67">
        <v>3</v>
      </c>
      <c r="Q27" s="67">
        <v>2</v>
      </c>
      <c r="R27" s="67">
        <v>3</v>
      </c>
      <c r="S27" s="67">
        <v>4</v>
      </c>
      <c r="T27" s="67"/>
      <c r="U27" s="67"/>
      <c r="V27" s="68"/>
    </row>
    <row r="28" spans="2:22">
      <c r="B28" s="17" t="s">
        <v>2294</v>
      </c>
      <c r="C28" s="3">
        <v>33822</v>
      </c>
      <c r="D28" s="18" t="s">
        <v>1596</v>
      </c>
      <c r="E28" s="18" t="s">
        <v>1603</v>
      </c>
      <c r="F28" s="2" t="s">
        <v>2342</v>
      </c>
      <c r="G28" s="3" t="s">
        <v>2672</v>
      </c>
      <c r="H28" s="4" t="s">
        <v>2485</v>
      </c>
      <c r="I28" s="4" t="s">
        <v>2510</v>
      </c>
      <c r="J28" s="23" t="s">
        <v>2521</v>
      </c>
      <c r="K28" s="66"/>
      <c r="L28" s="67"/>
      <c r="M28" s="67"/>
      <c r="N28" s="67">
        <v>1</v>
      </c>
      <c r="O28" s="67">
        <v>3</v>
      </c>
      <c r="P28" s="67">
        <v>1</v>
      </c>
      <c r="Q28" s="67">
        <v>2</v>
      </c>
      <c r="R28" s="67">
        <v>2</v>
      </c>
      <c r="S28" s="67">
        <v>2</v>
      </c>
      <c r="T28" s="67">
        <v>5</v>
      </c>
      <c r="U28" s="67">
        <v>2</v>
      </c>
      <c r="V28" s="68"/>
    </row>
    <row r="29" spans="2:22">
      <c r="B29" s="17" t="s">
        <v>2294</v>
      </c>
      <c r="C29" s="3">
        <v>33587</v>
      </c>
      <c r="D29" s="18" t="s">
        <v>1596</v>
      </c>
      <c r="E29" s="18" t="s">
        <v>1598</v>
      </c>
      <c r="F29" s="2" t="s">
        <v>2343</v>
      </c>
      <c r="G29" s="3" t="s">
        <v>2670</v>
      </c>
      <c r="H29" s="4" t="s">
        <v>2479</v>
      </c>
      <c r="I29" s="4" t="s">
        <v>2488</v>
      </c>
      <c r="J29" s="23" t="s">
        <v>2522</v>
      </c>
      <c r="K29" s="66"/>
      <c r="L29" s="67"/>
      <c r="M29" s="67"/>
      <c r="N29" s="67">
        <v>1</v>
      </c>
      <c r="O29" s="67"/>
      <c r="P29" s="67"/>
      <c r="Q29" s="67"/>
      <c r="R29" s="67"/>
      <c r="S29" s="67"/>
      <c r="T29" s="67"/>
      <c r="U29" s="67"/>
      <c r="V29" s="68"/>
    </row>
    <row r="30" spans="2:22">
      <c r="B30" s="17" t="s">
        <v>2294</v>
      </c>
      <c r="C30" s="3">
        <v>33587</v>
      </c>
      <c r="D30" s="18" t="s">
        <v>1596</v>
      </c>
      <c r="E30" s="18" t="s">
        <v>1598</v>
      </c>
      <c r="F30" s="2" t="s">
        <v>2344</v>
      </c>
      <c r="G30" s="3" t="s">
        <v>2670</v>
      </c>
      <c r="H30" s="4" t="s">
        <v>2479</v>
      </c>
      <c r="I30" s="4" t="s">
        <v>2488</v>
      </c>
      <c r="J30" s="23" t="s">
        <v>2523</v>
      </c>
      <c r="K30" s="66"/>
      <c r="L30" s="67"/>
      <c r="M30" s="67"/>
      <c r="N30" s="67">
        <v>1</v>
      </c>
      <c r="O30" s="67"/>
      <c r="P30" s="67">
        <v>1</v>
      </c>
      <c r="Q30" s="67"/>
      <c r="R30" s="67">
        <v>1</v>
      </c>
      <c r="S30" s="67"/>
      <c r="T30" s="67">
        <v>1</v>
      </c>
      <c r="U30" s="67"/>
      <c r="V30" s="68"/>
    </row>
    <row r="31" spans="2:22">
      <c r="B31" s="17" t="s">
        <v>2294</v>
      </c>
      <c r="C31" s="3">
        <v>36088</v>
      </c>
      <c r="D31" s="18" t="s">
        <v>1596</v>
      </c>
      <c r="E31" s="18" t="s">
        <v>2256</v>
      </c>
      <c r="F31" s="2" t="s">
        <v>2345</v>
      </c>
      <c r="G31" s="3" t="s">
        <v>2673</v>
      </c>
      <c r="H31" s="4" t="s">
        <v>2499</v>
      </c>
      <c r="I31" s="4" t="s">
        <v>2507</v>
      </c>
      <c r="J31" s="23" t="s">
        <v>2524</v>
      </c>
      <c r="K31" s="66"/>
      <c r="L31" s="67"/>
      <c r="M31" s="67"/>
      <c r="N31" s="67"/>
      <c r="O31" s="67">
        <v>5</v>
      </c>
      <c r="P31" s="67"/>
      <c r="Q31" s="67"/>
      <c r="R31" s="67"/>
      <c r="S31" s="67"/>
      <c r="T31" s="67"/>
      <c r="U31" s="67"/>
      <c r="V31" s="68"/>
    </row>
    <row r="32" spans="2:22">
      <c r="B32" s="17" t="s">
        <v>2294</v>
      </c>
      <c r="C32" s="3">
        <v>36088</v>
      </c>
      <c r="D32" s="18" t="s">
        <v>1596</v>
      </c>
      <c r="E32" s="18" t="s">
        <v>2256</v>
      </c>
      <c r="F32" s="2" t="s">
        <v>2346</v>
      </c>
      <c r="G32" s="3" t="s">
        <v>2673</v>
      </c>
      <c r="H32" s="4" t="s">
        <v>2499</v>
      </c>
      <c r="I32" s="4" t="s">
        <v>2519</v>
      </c>
      <c r="J32" s="23" t="s">
        <v>2525</v>
      </c>
      <c r="K32" s="66"/>
      <c r="L32" s="67"/>
      <c r="M32" s="67"/>
      <c r="N32" s="67"/>
      <c r="O32" s="67">
        <v>5</v>
      </c>
      <c r="P32" s="67"/>
      <c r="Q32" s="67"/>
      <c r="R32" s="67"/>
      <c r="S32" s="67"/>
      <c r="T32" s="67"/>
      <c r="U32" s="67"/>
      <c r="V32" s="68"/>
    </row>
    <row r="33" spans="2:22">
      <c r="B33" s="17" t="s">
        <v>2294</v>
      </c>
      <c r="C33" s="3">
        <v>36088</v>
      </c>
      <c r="D33" s="18" t="s">
        <v>1596</v>
      </c>
      <c r="E33" s="18" t="s">
        <v>2256</v>
      </c>
      <c r="F33" s="2" t="s">
        <v>2347</v>
      </c>
      <c r="G33" s="3" t="s">
        <v>2673</v>
      </c>
      <c r="H33" s="4" t="s">
        <v>2499</v>
      </c>
      <c r="I33" s="4" t="s">
        <v>2519</v>
      </c>
      <c r="J33" s="23" t="s">
        <v>2526</v>
      </c>
      <c r="K33" s="66"/>
      <c r="L33" s="67"/>
      <c r="M33" s="67"/>
      <c r="N33" s="67"/>
      <c r="O33" s="67">
        <v>5</v>
      </c>
      <c r="P33" s="67"/>
      <c r="Q33" s="67"/>
      <c r="R33" s="67"/>
      <c r="S33" s="67"/>
      <c r="T33" s="67"/>
      <c r="U33" s="67"/>
      <c r="V33" s="68"/>
    </row>
    <row r="34" spans="2:22">
      <c r="B34" s="17" t="s">
        <v>2294</v>
      </c>
      <c r="C34" s="3">
        <v>33822</v>
      </c>
      <c r="D34" s="18" t="s">
        <v>1596</v>
      </c>
      <c r="E34" s="18" t="s">
        <v>1603</v>
      </c>
      <c r="F34" s="2" t="s">
        <v>2348</v>
      </c>
      <c r="G34" s="3" t="s">
        <v>2670</v>
      </c>
      <c r="H34" s="4" t="s">
        <v>2479</v>
      </c>
      <c r="I34" s="4" t="s">
        <v>2488</v>
      </c>
      <c r="J34" s="23" t="s">
        <v>2527</v>
      </c>
      <c r="K34" s="66"/>
      <c r="L34" s="67"/>
      <c r="M34" s="67"/>
      <c r="N34" s="67"/>
      <c r="O34" s="67">
        <v>8</v>
      </c>
      <c r="P34" s="67">
        <v>5</v>
      </c>
      <c r="Q34" s="67">
        <v>6</v>
      </c>
      <c r="R34" s="67">
        <v>10</v>
      </c>
      <c r="S34" s="67">
        <v>8</v>
      </c>
      <c r="T34" s="67">
        <v>8</v>
      </c>
      <c r="U34" s="67">
        <v>7</v>
      </c>
      <c r="V34" s="68"/>
    </row>
    <row r="35" spans="2:22">
      <c r="B35" s="17" t="s">
        <v>2294</v>
      </c>
      <c r="C35" s="3">
        <v>33822</v>
      </c>
      <c r="D35" s="18" t="s">
        <v>1596</v>
      </c>
      <c r="E35" s="18" t="s">
        <v>1603</v>
      </c>
      <c r="F35" s="2" t="s">
        <v>2349</v>
      </c>
      <c r="G35" s="3" t="s">
        <v>2672</v>
      </c>
      <c r="H35" s="4" t="s">
        <v>2485</v>
      </c>
      <c r="I35" s="4" t="s">
        <v>119</v>
      </c>
      <c r="J35" s="23" t="s">
        <v>2528</v>
      </c>
      <c r="K35" s="66"/>
      <c r="L35" s="67"/>
      <c r="M35" s="67"/>
      <c r="N35" s="67"/>
      <c r="O35" s="67">
        <v>7</v>
      </c>
      <c r="P35" s="67">
        <v>4</v>
      </c>
      <c r="Q35" s="67">
        <v>3</v>
      </c>
      <c r="R35" s="67">
        <v>2</v>
      </c>
      <c r="S35" s="67">
        <v>5</v>
      </c>
      <c r="T35" s="67">
        <v>5</v>
      </c>
      <c r="U35" s="67">
        <v>6</v>
      </c>
      <c r="V35" s="68"/>
    </row>
    <row r="36" spans="2:22">
      <c r="B36" s="17" t="s">
        <v>2294</v>
      </c>
      <c r="C36" s="3">
        <v>33634</v>
      </c>
      <c r="D36" s="18" t="s">
        <v>1507</v>
      </c>
      <c r="E36" s="18" t="s">
        <v>1513</v>
      </c>
      <c r="F36" s="2" t="s">
        <v>2350</v>
      </c>
      <c r="G36" s="3" t="s">
        <v>2673</v>
      </c>
      <c r="H36" s="4" t="s">
        <v>2485</v>
      </c>
      <c r="I36" s="4" t="s">
        <v>2529</v>
      </c>
      <c r="J36" s="23" t="s">
        <v>2530</v>
      </c>
      <c r="K36" s="66"/>
      <c r="L36" s="67"/>
      <c r="M36" s="67"/>
      <c r="N36" s="67">
        <v>10</v>
      </c>
      <c r="O36" s="67"/>
      <c r="P36" s="67"/>
      <c r="Q36" s="67"/>
      <c r="R36" s="67"/>
      <c r="S36" s="67"/>
      <c r="T36" s="67"/>
      <c r="U36" s="67"/>
      <c r="V36" s="68"/>
    </row>
    <row r="37" spans="2:22">
      <c r="B37" s="17" t="s">
        <v>2294</v>
      </c>
      <c r="C37" s="3">
        <v>33652</v>
      </c>
      <c r="D37" s="18" t="s">
        <v>1507</v>
      </c>
      <c r="E37" s="18" t="s">
        <v>1577</v>
      </c>
      <c r="F37" s="2" t="s">
        <v>2351</v>
      </c>
      <c r="G37" s="3" t="s">
        <v>2670</v>
      </c>
      <c r="H37" s="4" t="s">
        <v>2531</v>
      </c>
      <c r="I37" s="4" t="s">
        <v>2482</v>
      </c>
      <c r="J37" s="23" t="s">
        <v>2532</v>
      </c>
      <c r="K37" s="66"/>
      <c r="L37" s="67"/>
      <c r="M37" s="67"/>
      <c r="N37" s="67">
        <v>10</v>
      </c>
      <c r="O37" s="67"/>
      <c r="P37" s="67"/>
      <c r="Q37" s="67"/>
      <c r="R37" s="67"/>
      <c r="S37" s="67"/>
      <c r="T37" s="67"/>
      <c r="U37" s="67"/>
      <c r="V37" s="68"/>
    </row>
    <row r="38" spans="2:22">
      <c r="B38" s="17" t="s">
        <v>2294</v>
      </c>
      <c r="C38" s="3">
        <v>33597</v>
      </c>
      <c r="D38" s="18" t="s">
        <v>1507</v>
      </c>
      <c r="E38" s="18" t="s">
        <v>1526</v>
      </c>
      <c r="F38" s="2" t="s">
        <v>2352</v>
      </c>
      <c r="G38" s="3" t="s">
        <v>2671</v>
      </c>
      <c r="H38" s="4" t="s">
        <v>2485</v>
      </c>
      <c r="I38" s="4" t="s">
        <v>2486</v>
      </c>
      <c r="J38" s="23" t="s">
        <v>2533</v>
      </c>
      <c r="K38" s="66"/>
      <c r="L38" s="67"/>
      <c r="M38" s="67"/>
      <c r="N38" s="67">
        <v>1</v>
      </c>
      <c r="O38" s="67"/>
      <c r="P38" s="67"/>
      <c r="Q38" s="67"/>
      <c r="R38" s="67"/>
      <c r="S38" s="67"/>
      <c r="T38" s="67"/>
      <c r="U38" s="67"/>
      <c r="V38" s="68"/>
    </row>
    <row r="39" spans="2:22">
      <c r="B39" s="17" t="s">
        <v>2294</v>
      </c>
      <c r="C39" s="3">
        <v>33597</v>
      </c>
      <c r="D39" s="18" t="s">
        <v>1507</v>
      </c>
      <c r="E39" s="18" t="s">
        <v>1526</v>
      </c>
      <c r="F39" s="2" t="s">
        <v>2353</v>
      </c>
      <c r="G39" s="3" t="s">
        <v>2671</v>
      </c>
      <c r="H39" s="4" t="s">
        <v>2485</v>
      </c>
      <c r="I39" s="4" t="s">
        <v>2486</v>
      </c>
      <c r="J39" s="23" t="s">
        <v>2534</v>
      </c>
      <c r="K39" s="66"/>
      <c r="L39" s="67"/>
      <c r="M39" s="67"/>
      <c r="N39" s="67">
        <v>1</v>
      </c>
      <c r="O39" s="67"/>
      <c r="P39" s="67"/>
      <c r="Q39" s="67"/>
      <c r="R39" s="67">
        <v>1</v>
      </c>
      <c r="S39" s="67"/>
      <c r="T39" s="67"/>
      <c r="U39" s="67"/>
      <c r="V39" s="68"/>
    </row>
    <row r="40" spans="2:22">
      <c r="B40" s="17" t="s">
        <v>2294</v>
      </c>
      <c r="C40" s="3">
        <v>33609</v>
      </c>
      <c r="D40" s="18" t="s">
        <v>1507</v>
      </c>
      <c r="E40" s="18" t="s">
        <v>1568</v>
      </c>
      <c r="F40" s="2" t="s">
        <v>2354</v>
      </c>
      <c r="G40" s="3" t="s">
        <v>2672</v>
      </c>
      <c r="H40" s="4" t="s">
        <v>2485</v>
      </c>
      <c r="I40" s="4" t="s">
        <v>2519</v>
      </c>
      <c r="J40" s="23" t="s">
        <v>2535</v>
      </c>
      <c r="K40" s="66"/>
      <c r="L40" s="67"/>
      <c r="M40" s="67"/>
      <c r="N40" s="67">
        <v>2</v>
      </c>
      <c r="O40" s="67">
        <v>2</v>
      </c>
      <c r="P40" s="67"/>
      <c r="Q40" s="67"/>
      <c r="R40" s="67"/>
      <c r="S40" s="67"/>
      <c r="T40" s="67"/>
      <c r="U40" s="67"/>
      <c r="V40" s="68"/>
    </row>
    <row r="41" spans="2:22">
      <c r="B41" s="17" t="s">
        <v>2294</v>
      </c>
      <c r="C41" s="3">
        <v>33645</v>
      </c>
      <c r="D41" s="18" t="s">
        <v>1507</v>
      </c>
      <c r="E41" s="18" t="s">
        <v>1541</v>
      </c>
      <c r="F41" s="2" t="s">
        <v>2355</v>
      </c>
      <c r="G41" s="3" t="s">
        <v>2672</v>
      </c>
      <c r="H41" s="4" t="s">
        <v>2485</v>
      </c>
      <c r="I41" s="4" t="s">
        <v>119</v>
      </c>
      <c r="J41" s="23" t="s">
        <v>2536</v>
      </c>
      <c r="K41" s="66"/>
      <c r="L41" s="67"/>
      <c r="M41" s="67"/>
      <c r="N41" s="67">
        <v>2</v>
      </c>
      <c r="O41" s="67">
        <v>3</v>
      </c>
      <c r="P41" s="67"/>
      <c r="Q41" s="67"/>
      <c r="R41" s="67"/>
      <c r="S41" s="67">
        <v>2</v>
      </c>
      <c r="T41" s="67">
        <v>1</v>
      </c>
      <c r="U41" s="67"/>
      <c r="V41" s="68"/>
    </row>
    <row r="42" spans="2:22">
      <c r="B42" s="17" t="s">
        <v>2294</v>
      </c>
      <c r="C42" s="3">
        <v>33832</v>
      </c>
      <c r="D42" s="18" t="s">
        <v>1507</v>
      </c>
      <c r="E42" s="18" t="s">
        <v>1529</v>
      </c>
      <c r="F42" s="2" t="s">
        <v>2356</v>
      </c>
      <c r="G42" s="3" t="s">
        <v>2671</v>
      </c>
      <c r="H42" s="4" t="s">
        <v>2485</v>
      </c>
      <c r="I42" s="4" t="s">
        <v>65</v>
      </c>
      <c r="J42" s="23" t="s">
        <v>2537</v>
      </c>
      <c r="K42" s="66"/>
      <c r="L42" s="67"/>
      <c r="M42" s="67"/>
      <c r="N42" s="67">
        <v>1</v>
      </c>
      <c r="O42" s="67"/>
      <c r="P42" s="67">
        <v>5</v>
      </c>
      <c r="Q42" s="67"/>
      <c r="R42" s="67"/>
      <c r="S42" s="67"/>
      <c r="T42" s="67"/>
      <c r="U42" s="67">
        <v>10</v>
      </c>
      <c r="V42" s="68"/>
    </row>
    <row r="43" spans="2:22">
      <c r="B43" s="17" t="s">
        <v>2294</v>
      </c>
      <c r="C43" s="3">
        <v>34754</v>
      </c>
      <c r="D43" s="18" t="s">
        <v>1596</v>
      </c>
      <c r="E43" s="18" t="s">
        <v>2248</v>
      </c>
      <c r="F43" s="2" t="s">
        <v>2357</v>
      </c>
      <c r="G43" s="3" t="s">
        <v>2673</v>
      </c>
      <c r="H43" s="4" t="s">
        <v>2499</v>
      </c>
      <c r="I43" s="4" t="s">
        <v>119</v>
      </c>
      <c r="J43" s="23" t="s">
        <v>2538</v>
      </c>
      <c r="K43" s="66"/>
      <c r="L43" s="67"/>
      <c r="M43" s="67"/>
      <c r="N43" s="67"/>
      <c r="O43" s="67">
        <v>10</v>
      </c>
      <c r="P43" s="67">
        <v>5</v>
      </c>
      <c r="Q43" s="67"/>
      <c r="R43" s="67"/>
      <c r="S43" s="67">
        <v>10</v>
      </c>
      <c r="T43" s="67"/>
      <c r="U43" s="67"/>
      <c r="V43" s="68"/>
    </row>
    <row r="44" spans="2:22">
      <c r="B44" s="17" t="s">
        <v>2294</v>
      </c>
      <c r="C44" s="3">
        <v>33621</v>
      </c>
      <c r="D44" s="18" t="s">
        <v>1507</v>
      </c>
      <c r="E44" s="18" t="s">
        <v>1510</v>
      </c>
      <c r="F44" s="2" t="s">
        <v>2358</v>
      </c>
      <c r="G44" s="3" t="s">
        <v>2673</v>
      </c>
      <c r="H44" s="4" t="s">
        <v>2485</v>
      </c>
      <c r="I44" s="4" t="s">
        <v>2529</v>
      </c>
      <c r="J44" s="23" t="s">
        <v>2539</v>
      </c>
      <c r="K44" s="66"/>
      <c r="L44" s="67"/>
      <c r="M44" s="67"/>
      <c r="N44" s="67"/>
      <c r="O44" s="67">
        <v>3</v>
      </c>
      <c r="P44" s="67"/>
      <c r="Q44" s="67"/>
      <c r="R44" s="67"/>
      <c r="S44" s="67">
        <v>3</v>
      </c>
      <c r="T44" s="67"/>
      <c r="U44" s="67"/>
      <c r="V44" s="68"/>
    </row>
    <row r="45" spans="2:22">
      <c r="B45" s="17" t="s">
        <v>2294</v>
      </c>
      <c r="C45" s="3">
        <v>33603</v>
      </c>
      <c r="D45" s="18" t="s">
        <v>1507</v>
      </c>
      <c r="E45" s="18" t="s">
        <v>1508</v>
      </c>
      <c r="F45" s="2" t="s">
        <v>2359</v>
      </c>
      <c r="G45" s="3" t="s">
        <v>2673</v>
      </c>
      <c r="H45" s="4" t="s">
        <v>2485</v>
      </c>
      <c r="I45" s="4" t="s">
        <v>2529</v>
      </c>
      <c r="J45" s="23" t="s">
        <v>2540</v>
      </c>
      <c r="K45" s="66"/>
      <c r="L45" s="67"/>
      <c r="M45" s="67"/>
      <c r="N45" s="67"/>
      <c r="O45" s="67">
        <v>5</v>
      </c>
      <c r="P45" s="67"/>
      <c r="Q45" s="67">
        <v>5</v>
      </c>
      <c r="R45" s="67">
        <v>2</v>
      </c>
      <c r="S45" s="67">
        <v>7</v>
      </c>
      <c r="T45" s="67"/>
      <c r="U45" s="67"/>
      <c r="V45" s="68"/>
    </row>
    <row r="46" spans="2:22">
      <c r="B46" s="17" t="s">
        <v>2294</v>
      </c>
      <c r="C46" s="3">
        <v>33621</v>
      </c>
      <c r="D46" s="18" t="s">
        <v>1507</v>
      </c>
      <c r="E46" s="18" t="s">
        <v>1510</v>
      </c>
      <c r="F46" s="2" t="s">
        <v>2360</v>
      </c>
      <c r="G46" s="3" t="s">
        <v>2671</v>
      </c>
      <c r="H46" s="4" t="s">
        <v>2485</v>
      </c>
      <c r="I46" s="4" t="s">
        <v>2486</v>
      </c>
      <c r="J46" s="23" t="s">
        <v>2541</v>
      </c>
      <c r="K46" s="66"/>
      <c r="L46" s="67"/>
      <c r="M46" s="67"/>
      <c r="N46" s="67"/>
      <c r="O46" s="67">
        <v>6</v>
      </c>
      <c r="P46" s="67"/>
      <c r="Q46" s="67"/>
      <c r="R46" s="67"/>
      <c r="S46" s="67"/>
      <c r="T46" s="67"/>
      <c r="U46" s="67">
        <v>5</v>
      </c>
      <c r="V46" s="68"/>
    </row>
    <row r="47" spans="2:22">
      <c r="B47" s="17" t="s">
        <v>2294</v>
      </c>
      <c r="C47" s="3">
        <v>33621</v>
      </c>
      <c r="D47" s="18" t="s">
        <v>1507</v>
      </c>
      <c r="E47" s="18" t="s">
        <v>1510</v>
      </c>
      <c r="F47" s="2" t="s">
        <v>2361</v>
      </c>
      <c r="G47" s="3" t="s">
        <v>2671</v>
      </c>
      <c r="H47" s="4" t="s">
        <v>2485</v>
      </c>
      <c r="I47" s="4" t="s">
        <v>65</v>
      </c>
      <c r="J47" s="23" t="s">
        <v>2542</v>
      </c>
      <c r="K47" s="66"/>
      <c r="L47" s="67"/>
      <c r="M47" s="67"/>
      <c r="N47" s="67"/>
      <c r="O47" s="67">
        <v>2</v>
      </c>
      <c r="P47" s="67"/>
      <c r="Q47" s="67"/>
      <c r="R47" s="67"/>
      <c r="S47" s="67"/>
      <c r="T47" s="67"/>
      <c r="U47" s="67"/>
      <c r="V47" s="68"/>
    </row>
    <row r="48" spans="2:22">
      <c r="B48" s="17" t="s">
        <v>2294</v>
      </c>
      <c r="C48" s="3">
        <v>33596</v>
      </c>
      <c r="D48" s="18" t="s">
        <v>1507</v>
      </c>
      <c r="E48" s="18" t="s">
        <v>1516</v>
      </c>
      <c r="F48" s="2" t="s">
        <v>2362</v>
      </c>
      <c r="G48" s="3" t="s">
        <v>2671</v>
      </c>
      <c r="H48" s="4" t="s">
        <v>2485</v>
      </c>
      <c r="I48" s="4" t="s">
        <v>2543</v>
      </c>
      <c r="J48" s="23" t="s">
        <v>2544</v>
      </c>
      <c r="K48" s="66"/>
      <c r="L48" s="67"/>
      <c r="M48" s="67"/>
      <c r="N48" s="67"/>
      <c r="O48" s="67">
        <v>5</v>
      </c>
      <c r="P48" s="67"/>
      <c r="Q48" s="67"/>
      <c r="R48" s="67"/>
      <c r="S48" s="67">
        <v>5</v>
      </c>
      <c r="T48" s="67"/>
      <c r="U48" s="67"/>
      <c r="V48" s="68"/>
    </row>
    <row r="49" spans="2:22">
      <c r="B49" s="17" t="s">
        <v>2294</v>
      </c>
      <c r="C49" s="3">
        <v>33831</v>
      </c>
      <c r="D49" s="18" t="s">
        <v>1507</v>
      </c>
      <c r="E49" s="18" t="s">
        <v>1522</v>
      </c>
      <c r="F49" s="2" t="s">
        <v>2363</v>
      </c>
      <c r="G49" s="3" t="s">
        <v>2670</v>
      </c>
      <c r="H49" s="4" t="s">
        <v>2488</v>
      </c>
      <c r="I49" s="4" t="s">
        <v>2545</v>
      </c>
      <c r="J49" s="23" t="s">
        <v>2546</v>
      </c>
      <c r="K49" s="66"/>
      <c r="L49" s="67"/>
      <c r="M49" s="67"/>
      <c r="N49" s="67"/>
      <c r="O49" s="67">
        <v>1</v>
      </c>
      <c r="P49" s="67">
        <v>2</v>
      </c>
      <c r="Q49" s="67"/>
      <c r="R49" s="67"/>
      <c r="S49" s="67">
        <v>2</v>
      </c>
      <c r="T49" s="67"/>
      <c r="U49" s="67"/>
      <c r="V49" s="68"/>
    </row>
    <row r="50" spans="2:22">
      <c r="B50" s="17" t="s">
        <v>2294</v>
      </c>
      <c r="C50" s="3">
        <v>33609</v>
      </c>
      <c r="D50" s="18" t="s">
        <v>1507</v>
      </c>
      <c r="E50" s="18" t="s">
        <v>1568</v>
      </c>
      <c r="F50" s="2" t="s">
        <v>2364</v>
      </c>
      <c r="G50" s="3" t="s">
        <v>2672</v>
      </c>
      <c r="H50" s="4" t="s">
        <v>2485</v>
      </c>
      <c r="I50" s="4" t="s">
        <v>119</v>
      </c>
      <c r="J50" s="23" t="s">
        <v>2547</v>
      </c>
      <c r="K50" s="66"/>
      <c r="L50" s="67"/>
      <c r="M50" s="67"/>
      <c r="N50" s="67"/>
      <c r="O50" s="67">
        <v>2</v>
      </c>
      <c r="P50" s="67">
        <v>1</v>
      </c>
      <c r="Q50" s="67"/>
      <c r="R50" s="67"/>
      <c r="S50" s="67"/>
      <c r="T50" s="67"/>
      <c r="U50" s="67"/>
      <c r="V50" s="68"/>
    </row>
    <row r="51" spans="2:22">
      <c r="B51" s="17" t="s">
        <v>2294</v>
      </c>
      <c r="C51" s="3">
        <v>33813</v>
      </c>
      <c r="D51" s="18" t="s">
        <v>1596</v>
      </c>
      <c r="E51" s="18" t="s">
        <v>1619</v>
      </c>
      <c r="F51" s="2" t="s">
        <v>2365</v>
      </c>
      <c r="G51" s="3" t="s">
        <v>2670</v>
      </c>
      <c r="H51" s="4" t="s">
        <v>2488</v>
      </c>
      <c r="I51" s="4" t="s">
        <v>2545</v>
      </c>
      <c r="J51" s="23" t="s">
        <v>2548</v>
      </c>
      <c r="K51" s="66"/>
      <c r="L51" s="67"/>
      <c r="M51" s="67"/>
      <c r="N51" s="67"/>
      <c r="O51" s="67">
        <v>5</v>
      </c>
      <c r="P51" s="67">
        <v>5</v>
      </c>
      <c r="Q51" s="67">
        <v>5</v>
      </c>
      <c r="R51" s="67">
        <v>5</v>
      </c>
      <c r="S51" s="67"/>
      <c r="T51" s="67"/>
      <c r="U51" s="67"/>
      <c r="V51" s="68"/>
    </row>
    <row r="52" spans="2:22">
      <c r="B52" s="17" t="s">
        <v>2294</v>
      </c>
      <c r="C52" s="3">
        <v>33845</v>
      </c>
      <c r="D52" s="18" t="s">
        <v>1596</v>
      </c>
      <c r="E52" s="18" t="s">
        <v>1607</v>
      </c>
      <c r="F52" s="2" t="s">
        <v>2366</v>
      </c>
      <c r="G52" s="3" t="s">
        <v>2670</v>
      </c>
      <c r="H52" s="4" t="s">
        <v>2488</v>
      </c>
      <c r="I52" s="4" t="s">
        <v>2549</v>
      </c>
      <c r="J52" s="23" t="s">
        <v>2550</v>
      </c>
      <c r="K52" s="66"/>
      <c r="L52" s="67"/>
      <c r="M52" s="67"/>
      <c r="N52" s="67"/>
      <c r="O52" s="67">
        <v>5</v>
      </c>
      <c r="P52" s="67"/>
      <c r="Q52" s="67"/>
      <c r="R52" s="67"/>
      <c r="S52" s="67"/>
      <c r="T52" s="67"/>
      <c r="U52" s="67"/>
      <c r="V52" s="68"/>
    </row>
    <row r="53" spans="2:22">
      <c r="B53" s="17" t="s">
        <v>2294</v>
      </c>
      <c r="C53" s="3">
        <v>33659</v>
      </c>
      <c r="D53" s="18" t="s">
        <v>1596</v>
      </c>
      <c r="E53" s="18" t="s">
        <v>1597</v>
      </c>
      <c r="F53" s="2" t="s">
        <v>2367</v>
      </c>
      <c r="G53" s="3" t="s">
        <v>2671</v>
      </c>
      <c r="H53" s="4" t="s">
        <v>2485</v>
      </c>
      <c r="I53" s="4" t="s">
        <v>65</v>
      </c>
      <c r="J53" s="23" t="s">
        <v>2551</v>
      </c>
      <c r="K53" s="66"/>
      <c r="L53" s="67"/>
      <c r="M53" s="67"/>
      <c r="N53" s="67"/>
      <c r="O53" s="67">
        <v>2</v>
      </c>
      <c r="P53" s="67">
        <v>4</v>
      </c>
      <c r="Q53" s="67">
        <v>4</v>
      </c>
      <c r="R53" s="67">
        <v>4</v>
      </c>
      <c r="S53" s="67">
        <v>4</v>
      </c>
      <c r="T53" s="67">
        <v>2</v>
      </c>
      <c r="U53" s="67"/>
      <c r="V53" s="68"/>
    </row>
    <row r="54" spans="2:22">
      <c r="B54" s="17" t="s">
        <v>2294</v>
      </c>
      <c r="C54" s="3">
        <v>33646</v>
      </c>
      <c r="D54" s="18" t="s">
        <v>1507</v>
      </c>
      <c r="E54" s="18" t="s">
        <v>1518</v>
      </c>
      <c r="F54" s="2" t="s">
        <v>2368</v>
      </c>
      <c r="G54" s="3" t="s">
        <v>2671</v>
      </c>
      <c r="H54" s="4" t="s">
        <v>2485</v>
      </c>
      <c r="I54" s="4" t="s">
        <v>2486</v>
      </c>
      <c r="J54" s="23" t="s">
        <v>2552</v>
      </c>
      <c r="K54" s="66"/>
      <c r="L54" s="67"/>
      <c r="M54" s="67"/>
      <c r="N54" s="67"/>
      <c r="O54" s="67">
        <v>5</v>
      </c>
      <c r="P54" s="67"/>
      <c r="Q54" s="67"/>
      <c r="R54" s="67"/>
      <c r="S54" s="67"/>
      <c r="T54" s="67"/>
      <c r="U54" s="67"/>
      <c r="V54" s="68"/>
    </row>
    <row r="55" spans="2:22">
      <c r="B55" s="17" t="s">
        <v>2294</v>
      </c>
      <c r="C55" s="3">
        <v>33609</v>
      </c>
      <c r="D55" s="18" t="s">
        <v>1507</v>
      </c>
      <c r="E55" s="18" t="s">
        <v>1568</v>
      </c>
      <c r="F55" s="2" t="s">
        <v>2369</v>
      </c>
      <c r="G55" s="3" t="s">
        <v>2672</v>
      </c>
      <c r="H55" s="4" t="s">
        <v>2485</v>
      </c>
      <c r="I55" s="4" t="s">
        <v>2519</v>
      </c>
      <c r="J55" s="23" t="s">
        <v>2553</v>
      </c>
      <c r="K55" s="66"/>
      <c r="L55" s="67"/>
      <c r="M55" s="67"/>
      <c r="N55" s="67"/>
      <c r="O55" s="67">
        <v>5</v>
      </c>
      <c r="P55" s="67">
        <v>5</v>
      </c>
      <c r="Q55" s="67"/>
      <c r="R55" s="67"/>
      <c r="S55" s="67"/>
      <c r="T55" s="67">
        <v>10</v>
      </c>
      <c r="U55" s="67"/>
      <c r="V55" s="68"/>
    </row>
    <row r="56" spans="2:22">
      <c r="B56" s="17" t="s">
        <v>2294</v>
      </c>
      <c r="C56" s="3">
        <v>34817</v>
      </c>
      <c r="D56" s="18" t="s">
        <v>1507</v>
      </c>
      <c r="E56" s="18" t="s">
        <v>1567</v>
      </c>
      <c r="F56" s="2" t="s">
        <v>2370</v>
      </c>
      <c r="G56" s="3" t="s">
        <v>2670</v>
      </c>
      <c r="H56" s="4" t="s">
        <v>2479</v>
      </c>
      <c r="I56" s="4" t="s">
        <v>2554</v>
      </c>
      <c r="J56" s="23" t="s">
        <v>2555</v>
      </c>
      <c r="K56" s="66"/>
      <c r="L56" s="67"/>
      <c r="M56" s="67"/>
      <c r="N56" s="67"/>
      <c r="O56" s="67">
        <v>5</v>
      </c>
      <c r="P56" s="67"/>
      <c r="Q56" s="67"/>
      <c r="R56" s="67"/>
      <c r="S56" s="67"/>
      <c r="T56" s="67">
        <v>10</v>
      </c>
      <c r="U56" s="67"/>
      <c r="V56" s="68"/>
    </row>
    <row r="57" spans="2:22">
      <c r="B57" s="17" t="s">
        <v>2294</v>
      </c>
      <c r="C57" s="3">
        <v>33870</v>
      </c>
      <c r="D57" s="18" t="s">
        <v>1507</v>
      </c>
      <c r="E57" s="18" t="s">
        <v>1549</v>
      </c>
      <c r="F57" s="2" t="s">
        <v>2371</v>
      </c>
      <c r="G57" s="3" t="s">
        <v>2672</v>
      </c>
      <c r="H57" s="4" t="s">
        <v>2485</v>
      </c>
      <c r="I57" s="4" t="s">
        <v>119</v>
      </c>
      <c r="J57" s="23" t="s">
        <v>2556</v>
      </c>
      <c r="K57" s="66"/>
      <c r="L57" s="67"/>
      <c r="M57" s="67"/>
      <c r="N57" s="67"/>
      <c r="O57" s="67">
        <v>5</v>
      </c>
      <c r="P57" s="67">
        <v>10</v>
      </c>
      <c r="Q57" s="67">
        <v>5</v>
      </c>
      <c r="R57" s="67">
        <v>5</v>
      </c>
      <c r="S57" s="67"/>
      <c r="T57" s="67">
        <v>10</v>
      </c>
      <c r="U57" s="67">
        <v>10</v>
      </c>
      <c r="V57" s="68"/>
    </row>
    <row r="58" spans="2:22">
      <c r="B58" s="17" t="s">
        <v>2294</v>
      </c>
      <c r="C58" s="3">
        <v>33612</v>
      </c>
      <c r="D58" s="18" t="s">
        <v>1507</v>
      </c>
      <c r="E58" s="18" t="s">
        <v>1552</v>
      </c>
      <c r="F58" s="2" t="s">
        <v>2372</v>
      </c>
      <c r="G58" s="3" t="s">
        <v>2672</v>
      </c>
      <c r="H58" s="4" t="s">
        <v>2485</v>
      </c>
      <c r="I58" s="4" t="s">
        <v>2519</v>
      </c>
      <c r="J58" s="23" t="s">
        <v>2557</v>
      </c>
      <c r="K58" s="66"/>
      <c r="L58" s="67"/>
      <c r="M58" s="67"/>
      <c r="N58" s="67"/>
      <c r="O58" s="67">
        <v>3</v>
      </c>
      <c r="P58" s="67">
        <v>2</v>
      </c>
      <c r="Q58" s="67"/>
      <c r="R58" s="67">
        <v>2</v>
      </c>
      <c r="S58" s="67">
        <v>2</v>
      </c>
      <c r="T58" s="67"/>
      <c r="U58" s="67"/>
      <c r="V58" s="68"/>
    </row>
    <row r="59" spans="2:22">
      <c r="B59" s="17" t="s">
        <v>2294</v>
      </c>
      <c r="C59" s="3">
        <v>33639</v>
      </c>
      <c r="D59" s="18" t="s">
        <v>1596</v>
      </c>
      <c r="E59" s="18" t="s">
        <v>1654</v>
      </c>
      <c r="F59" s="2" t="s">
        <v>2373</v>
      </c>
      <c r="G59" s="3" t="s">
        <v>2671</v>
      </c>
      <c r="H59" s="4" t="s">
        <v>2485</v>
      </c>
      <c r="I59" s="4" t="s">
        <v>2512</v>
      </c>
      <c r="J59" s="23" t="s">
        <v>2558</v>
      </c>
      <c r="K59" s="66"/>
      <c r="L59" s="67"/>
      <c r="M59" s="67"/>
      <c r="N59" s="67"/>
      <c r="O59" s="67">
        <v>5</v>
      </c>
      <c r="P59" s="67"/>
      <c r="Q59" s="67"/>
      <c r="R59" s="67"/>
      <c r="S59" s="67"/>
      <c r="T59" s="67"/>
      <c r="U59" s="67"/>
      <c r="V59" s="68"/>
    </row>
    <row r="60" spans="2:22">
      <c r="B60" s="17" t="s">
        <v>2294</v>
      </c>
      <c r="C60" s="3">
        <v>33591</v>
      </c>
      <c r="D60" s="18" t="s">
        <v>1507</v>
      </c>
      <c r="E60" s="18" t="s">
        <v>1594</v>
      </c>
      <c r="F60" s="2" t="s">
        <v>2374</v>
      </c>
      <c r="G60" s="3" t="s">
        <v>2670</v>
      </c>
      <c r="H60" s="4" t="s">
        <v>2479</v>
      </c>
      <c r="I60" s="4" t="s">
        <v>2559</v>
      </c>
      <c r="J60" s="23" t="s">
        <v>2560</v>
      </c>
      <c r="K60" s="66"/>
      <c r="L60" s="67"/>
      <c r="M60" s="67"/>
      <c r="N60" s="67"/>
      <c r="O60" s="67">
        <v>10</v>
      </c>
      <c r="P60" s="67"/>
      <c r="Q60" s="67"/>
      <c r="R60" s="67">
        <v>10</v>
      </c>
      <c r="S60" s="67"/>
      <c r="T60" s="67"/>
      <c r="U60" s="67"/>
      <c r="V60" s="68"/>
    </row>
    <row r="61" spans="2:22">
      <c r="B61" s="17" t="s">
        <v>2294</v>
      </c>
      <c r="C61" s="3">
        <v>33681</v>
      </c>
      <c r="D61" s="18" t="s">
        <v>1596</v>
      </c>
      <c r="E61" s="18" t="s">
        <v>2254</v>
      </c>
      <c r="F61" s="2" t="s">
        <v>2375</v>
      </c>
      <c r="G61" s="3" t="s">
        <v>2673</v>
      </c>
      <c r="H61" s="4" t="s">
        <v>2499</v>
      </c>
      <c r="I61" s="4" t="s">
        <v>119</v>
      </c>
      <c r="J61" s="23" t="s">
        <v>2561</v>
      </c>
      <c r="K61" s="66"/>
      <c r="L61" s="67"/>
      <c r="M61" s="67"/>
      <c r="N61" s="67"/>
      <c r="O61" s="67">
        <v>20</v>
      </c>
      <c r="P61" s="67"/>
      <c r="Q61" s="67"/>
      <c r="R61" s="67"/>
      <c r="S61" s="67"/>
      <c r="T61" s="67"/>
      <c r="U61" s="67"/>
      <c r="V61" s="68"/>
    </row>
    <row r="62" spans="2:22">
      <c r="B62" s="17" t="s">
        <v>2294</v>
      </c>
      <c r="C62" s="3">
        <v>33609</v>
      </c>
      <c r="D62" s="18" t="s">
        <v>1507</v>
      </c>
      <c r="E62" s="18" t="s">
        <v>1568</v>
      </c>
      <c r="F62" s="2" t="s">
        <v>2376</v>
      </c>
      <c r="G62" s="3" t="s">
        <v>2673</v>
      </c>
      <c r="H62" s="4" t="s">
        <v>2499</v>
      </c>
      <c r="I62" s="4" t="s">
        <v>2500</v>
      </c>
      <c r="J62" s="23" t="s">
        <v>2562</v>
      </c>
      <c r="K62" s="66"/>
      <c r="L62" s="67"/>
      <c r="M62" s="67"/>
      <c r="N62" s="67"/>
      <c r="O62" s="67">
        <v>5</v>
      </c>
      <c r="P62" s="67"/>
      <c r="Q62" s="67"/>
      <c r="R62" s="67">
        <v>5</v>
      </c>
      <c r="S62" s="67"/>
      <c r="T62" s="67">
        <v>5</v>
      </c>
      <c r="U62" s="67"/>
      <c r="V62" s="68"/>
    </row>
    <row r="63" spans="2:22">
      <c r="B63" s="17" t="s">
        <v>2294</v>
      </c>
      <c r="C63" s="3">
        <v>33587</v>
      </c>
      <c r="D63" s="18" t="s">
        <v>1596</v>
      </c>
      <c r="E63" s="18" t="s">
        <v>1598</v>
      </c>
      <c r="F63" s="2" t="s">
        <v>2377</v>
      </c>
      <c r="G63" s="3" t="s">
        <v>2672</v>
      </c>
      <c r="H63" s="4" t="s">
        <v>2485</v>
      </c>
      <c r="I63" s="4" t="s">
        <v>2510</v>
      </c>
      <c r="J63" s="23" t="s">
        <v>2563</v>
      </c>
      <c r="K63" s="66"/>
      <c r="L63" s="67"/>
      <c r="M63" s="67"/>
      <c r="N63" s="67"/>
      <c r="O63" s="67">
        <v>1</v>
      </c>
      <c r="P63" s="67"/>
      <c r="Q63" s="67"/>
      <c r="R63" s="67"/>
      <c r="S63" s="67"/>
      <c r="T63" s="67"/>
      <c r="U63" s="67"/>
      <c r="V63" s="68"/>
    </row>
    <row r="64" spans="2:22">
      <c r="B64" s="17" t="s">
        <v>2294</v>
      </c>
      <c r="C64" s="3">
        <v>33587</v>
      </c>
      <c r="D64" s="18" t="s">
        <v>1596</v>
      </c>
      <c r="E64" s="18" t="s">
        <v>1598</v>
      </c>
      <c r="F64" s="2" t="s">
        <v>2378</v>
      </c>
      <c r="G64" s="3" t="s">
        <v>2670</v>
      </c>
      <c r="H64" s="4" t="s">
        <v>2488</v>
      </c>
      <c r="I64" s="4" t="s">
        <v>2545</v>
      </c>
      <c r="J64" s="23" t="s">
        <v>2564</v>
      </c>
      <c r="K64" s="66"/>
      <c r="L64" s="67"/>
      <c r="M64" s="67"/>
      <c r="N64" s="67"/>
      <c r="O64" s="67">
        <v>1</v>
      </c>
      <c r="P64" s="67"/>
      <c r="Q64" s="67"/>
      <c r="R64" s="67"/>
      <c r="S64" s="67"/>
      <c r="T64" s="67"/>
      <c r="U64" s="67"/>
      <c r="V64" s="68"/>
    </row>
    <row r="65" spans="2:22">
      <c r="B65" s="17" t="s">
        <v>2294</v>
      </c>
      <c r="C65" s="3">
        <v>33587</v>
      </c>
      <c r="D65" s="18" t="s">
        <v>1596</v>
      </c>
      <c r="E65" s="18" t="s">
        <v>1598</v>
      </c>
      <c r="F65" s="2" t="s">
        <v>2379</v>
      </c>
      <c r="G65" s="3" t="s">
        <v>2673</v>
      </c>
      <c r="H65" s="4" t="s">
        <v>2499</v>
      </c>
      <c r="I65" s="4" t="s">
        <v>878</v>
      </c>
      <c r="J65" s="23" t="s">
        <v>2565</v>
      </c>
      <c r="K65" s="66"/>
      <c r="L65" s="67"/>
      <c r="M65" s="67"/>
      <c r="N65" s="67"/>
      <c r="O65" s="67">
        <v>1</v>
      </c>
      <c r="P65" s="67"/>
      <c r="Q65" s="67">
        <v>2</v>
      </c>
      <c r="R65" s="67">
        <v>4</v>
      </c>
      <c r="S65" s="67">
        <v>2</v>
      </c>
      <c r="T65" s="67">
        <v>5</v>
      </c>
      <c r="U65" s="67"/>
      <c r="V65" s="68"/>
    </row>
    <row r="66" spans="2:22">
      <c r="B66" s="17" t="s">
        <v>2294</v>
      </c>
      <c r="C66" s="3">
        <v>33822</v>
      </c>
      <c r="D66" s="18" t="s">
        <v>1596</v>
      </c>
      <c r="E66" s="18" t="s">
        <v>1603</v>
      </c>
      <c r="F66" s="2" t="s">
        <v>2380</v>
      </c>
      <c r="G66" s="3" t="s">
        <v>2673</v>
      </c>
      <c r="H66" s="4" t="s">
        <v>2499</v>
      </c>
      <c r="I66" s="4" t="s">
        <v>2519</v>
      </c>
      <c r="J66" s="23" t="s">
        <v>2566</v>
      </c>
      <c r="K66" s="66"/>
      <c r="L66" s="67"/>
      <c r="M66" s="67"/>
      <c r="N66" s="67"/>
      <c r="O66" s="67">
        <v>2</v>
      </c>
      <c r="P66" s="67">
        <v>2</v>
      </c>
      <c r="Q66" s="67">
        <v>1</v>
      </c>
      <c r="R66" s="67">
        <v>4</v>
      </c>
      <c r="S66" s="67">
        <v>2</v>
      </c>
      <c r="T66" s="67">
        <v>2</v>
      </c>
      <c r="U66" s="67">
        <v>2</v>
      </c>
      <c r="V66" s="68"/>
    </row>
    <row r="67" spans="2:22">
      <c r="B67" s="17" t="s">
        <v>2294</v>
      </c>
      <c r="C67" s="3">
        <v>33822</v>
      </c>
      <c r="D67" s="18" t="s">
        <v>1596</v>
      </c>
      <c r="E67" s="18" t="s">
        <v>1603</v>
      </c>
      <c r="F67" s="2" t="s">
        <v>2381</v>
      </c>
      <c r="G67" s="3" t="s">
        <v>2670</v>
      </c>
      <c r="H67" s="4" t="s">
        <v>2479</v>
      </c>
      <c r="I67" s="4" t="s">
        <v>2559</v>
      </c>
      <c r="J67" s="23" t="s">
        <v>2567</v>
      </c>
      <c r="K67" s="66"/>
      <c r="L67" s="67"/>
      <c r="M67" s="67"/>
      <c r="N67" s="67"/>
      <c r="O67" s="67">
        <v>1</v>
      </c>
      <c r="P67" s="67">
        <v>3</v>
      </c>
      <c r="Q67" s="67">
        <v>1</v>
      </c>
      <c r="R67" s="67">
        <v>2</v>
      </c>
      <c r="S67" s="67"/>
      <c r="T67" s="67"/>
      <c r="U67" s="67"/>
      <c r="V67" s="68"/>
    </row>
    <row r="68" spans="2:22">
      <c r="B68" s="17" t="s">
        <v>2294</v>
      </c>
      <c r="C68" s="3">
        <v>33822</v>
      </c>
      <c r="D68" s="18" t="s">
        <v>1596</v>
      </c>
      <c r="E68" s="18" t="s">
        <v>1603</v>
      </c>
      <c r="F68" s="2" t="s">
        <v>2382</v>
      </c>
      <c r="G68" s="3" t="s">
        <v>2672</v>
      </c>
      <c r="H68" s="4" t="s">
        <v>2485</v>
      </c>
      <c r="I68" s="4" t="s">
        <v>2497</v>
      </c>
      <c r="J68" s="23" t="s">
        <v>2568</v>
      </c>
      <c r="K68" s="66"/>
      <c r="L68" s="67"/>
      <c r="M68" s="67"/>
      <c r="N68" s="67"/>
      <c r="O68" s="67">
        <v>3</v>
      </c>
      <c r="P68" s="67">
        <v>-2</v>
      </c>
      <c r="Q68" s="67"/>
      <c r="R68" s="67"/>
      <c r="S68" s="67"/>
      <c r="T68" s="67"/>
      <c r="U68" s="67"/>
      <c r="V68" s="68"/>
    </row>
    <row r="69" spans="2:22">
      <c r="B69" s="17" t="s">
        <v>2294</v>
      </c>
      <c r="C69" s="3">
        <v>33615</v>
      </c>
      <c r="D69" s="18" t="s">
        <v>1507</v>
      </c>
      <c r="E69" s="18" t="s">
        <v>1509</v>
      </c>
      <c r="F69" s="2" t="s">
        <v>2383</v>
      </c>
      <c r="G69" s="3" t="s">
        <v>2671</v>
      </c>
      <c r="H69" s="4" t="s">
        <v>2485</v>
      </c>
      <c r="I69" s="4" t="s">
        <v>65</v>
      </c>
      <c r="J69" s="23" t="s">
        <v>2569</v>
      </c>
      <c r="K69" s="66"/>
      <c r="L69" s="67"/>
      <c r="M69" s="67"/>
      <c r="N69" s="67"/>
      <c r="O69" s="67">
        <v>1</v>
      </c>
      <c r="P69" s="67"/>
      <c r="Q69" s="67"/>
      <c r="R69" s="67"/>
      <c r="S69" s="67"/>
      <c r="T69" s="67"/>
      <c r="U69" s="67"/>
      <c r="V69" s="68"/>
    </row>
    <row r="70" spans="2:22">
      <c r="B70" s="17" t="s">
        <v>2294</v>
      </c>
      <c r="C70" s="3">
        <v>33615</v>
      </c>
      <c r="D70" s="18" t="s">
        <v>1507</v>
      </c>
      <c r="E70" s="18" t="s">
        <v>1509</v>
      </c>
      <c r="F70" s="2" t="s">
        <v>2384</v>
      </c>
      <c r="G70" s="3" t="s">
        <v>2670</v>
      </c>
      <c r="H70" s="4" t="s">
        <v>2479</v>
      </c>
      <c r="I70" s="4" t="s">
        <v>2480</v>
      </c>
      <c r="J70" s="23" t="s">
        <v>2570</v>
      </c>
      <c r="K70" s="66"/>
      <c r="L70" s="67"/>
      <c r="M70" s="67"/>
      <c r="N70" s="67"/>
      <c r="O70" s="67">
        <v>1</v>
      </c>
      <c r="P70" s="67"/>
      <c r="Q70" s="67"/>
      <c r="R70" s="67"/>
      <c r="S70" s="67"/>
      <c r="T70" s="67"/>
      <c r="U70" s="67"/>
      <c r="V70" s="68"/>
    </row>
    <row r="71" spans="2:22">
      <c r="B71" s="17" t="s">
        <v>2294</v>
      </c>
      <c r="C71" s="3">
        <v>33615</v>
      </c>
      <c r="D71" s="18" t="s">
        <v>1507</v>
      </c>
      <c r="E71" s="18" t="s">
        <v>1509</v>
      </c>
      <c r="F71" s="2" t="s">
        <v>2385</v>
      </c>
      <c r="G71" s="3" t="s">
        <v>2670</v>
      </c>
      <c r="H71" s="4" t="s">
        <v>2479</v>
      </c>
      <c r="I71" s="4" t="s">
        <v>2571</v>
      </c>
      <c r="J71" s="23" t="s">
        <v>2572</v>
      </c>
      <c r="K71" s="66"/>
      <c r="L71" s="67"/>
      <c r="M71" s="67"/>
      <c r="N71" s="67"/>
      <c r="O71" s="67">
        <v>1</v>
      </c>
      <c r="P71" s="67">
        <v>1</v>
      </c>
      <c r="Q71" s="67"/>
      <c r="R71" s="67"/>
      <c r="S71" s="67"/>
      <c r="T71" s="67"/>
      <c r="U71" s="67"/>
      <c r="V71" s="68"/>
    </row>
    <row r="72" spans="2:22">
      <c r="B72" s="17" t="s">
        <v>2294</v>
      </c>
      <c r="C72" s="3">
        <v>33615</v>
      </c>
      <c r="D72" s="18" t="s">
        <v>1507</v>
      </c>
      <c r="E72" s="18" t="s">
        <v>1509</v>
      </c>
      <c r="F72" s="2" t="s">
        <v>2386</v>
      </c>
      <c r="G72" s="3" t="s">
        <v>2670</v>
      </c>
      <c r="H72" s="4" t="s">
        <v>2479</v>
      </c>
      <c r="I72" s="4" t="s">
        <v>2559</v>
      </c>
      <c r="J72" s="23" t="s">
        <v>2573</v>
      </c>
      <c r="K72" s="66"/>
      <c r="L72" s="67"/>
      <c r="M72" s="67"/>
      <c r="N72" s="67"/>
      <c r="O72" s="67">
        <v>1</v>
      </c>
      <c r="P72" s="67"/>
      <c r="Q72" s="67"/>
      <c r="R72" s="67"/>
      <c r="S72" s="67"/>
      <c r="T72" s="67"/>
      <c r="U72" s="67"/>
      <c r="V72" s="68"/>
    </row>
    <row r="73" spans="2:22">
      <c r="B73" s="17" t="s">
        <v>2294</v>
      </c>
      <c r="C73" s="3">
        <v>33615</v>
      </c>
      <c r="D73" s="18" t="s">
        <v>1507</v>
      </c>
      <c r="E73" s="18" t="s">
        <v>1509</v>
      </c>
      <c r="F73" s="2" t="s">
        <v>2387</v>
      </c>
      <c r="G73" s="3" t="s">
        <v>2670</v>
      </c>
      <c r="H73" s="4" t="s">
        <v>2479</v>
      </c>
      <c r="I73" s="4" t="s">
        <v>2571</v>
      </c>
      <c r="J73" s="23" t="s">
        <v>2574</v>
      </c>
      <c r="K73" s="66"/>
      <c r="L73" s="67"/>
      <c r="M73" s="67"/>
      <c r="N73" s="67"/>
      <c r="O73" s="67">
        <v>1</v>
      </c>
      <c r="P73" s="67"/>
      <c r="Q73" s="67"/>
      <c r="R73" s="67"/>
      <c r="S73" s="67"/>
      <c r="T73" s="67"/>
      <c r="U73" s="67"/>
      <c r="V73" s="68"/>
    </row>
    <row r="74" spans="2:22">
      <c r="B74" s="17" t="s">
        <v>2294</v>
      </c>
      <c r="C74" s="3">
        <v>33615</v>
      </c>
      <c r="D74" s="18" t="s">
        <v>1507</v>
      </c>
      <c r="E74" s="18" t="s">
        <v>1509</v>
      </c>
      <c r="F74" s="2" t="s">
        <v>2388</v>
      </c>
      <c r="G74" s="3" t="s">
        <v>2670</v>
      </c>
      <c r="H74" s="4" t="s">
        <v>2479</v>
      </c>
      <c r="I74" s="4" t="s">
        <v>2480</v>
      </c>
      <c r="J74" s="23" t="s">
        <v>2575</v>
      </c>
      <c r="K74" s="66"/>
      <c r="L74" s="67"/>
      <c r="M74" s="67"/>
      <c r="N74" s="67"/>
      <c r="O74" s="67">
        <v>2</v>
      </c>
      <c r="P74" s="67"/>
      <c r="Q74" s="67"/>
      <c r="R74" s="67"/>
      <c r="S74" s="67"/>
      <c r="T74" s="67"/>
      <c r="U74" s="67"/>
      <c r="V74" s="69"/>
    </row>
    <row r="75" spans="2:22">
      <c r="B75" s="17" t="s">
        <v>2294</v>
      </c>
      <c r="C75" s="3">
        <v>33615</v>
      </c>
      <c r="D75" s="18" t="s">
        <v>1507</v>
      </c>
      <c r="E75" s="18" t="s">
        <v>1509</v>
      </c>
      <c r="F75" s="2" t="s">
        <v>2389</v>
      </c>
      <c r="G75" s="3" t="s">
        <v>2670</v>
      </c>
      <c r="H75" s="4" t="s">
        <v>2479</v>
      </c>
      <c r="I75" s="4" t="s">
        <v>2576</v>
      </c>
      <c r="J75" s="23" t="s">
        <v>2577</v>
      </c>
      <c r="K75" s="66"/>
      <c r="L75" s="67"/>
      <c r="M75" s="67"/>
      <c r="N75" s="67"/>
      <c r="O75" s="67">
        <v>1</v>
      </c>
      <c r="P75" s="67"/>
      <c r="Q75" s="67"/>
      <c r="R75" s="67"/>
      <c r="S75" s="67"/>
      <c r="T75" s="67"/>
      <c r="U75" s="67"/>
      <c r="V75" s="69"/>
    </row>
    <row r="76" spans="2:22">
      <c r="B76" s="17" t="s">
        <v>2294</v>
      </c>
      <c r="C76" s="3">
        <v>33615</v>
      </c>
      <c r="D76" s="18" t="s">
        <v>1507</v>
      </c>
      <c r="E76" s="18" t="s">
        <v>1509</v>
      </c>
      <c r="F76" s="2" t="s">
        <v>2390</v>
      </c>
      <c r="G76" s="3" t="s">
        <v>2670</v>
      </c>
      <c r="H76" s="4" t="s">
        <v>2479</v>
      </c>
      <c r="I76" s="4" t="s">
        <v>2488</v>
      </c>
      <c r="J76" s="23" t="s">
        <v>2578</v>
      </c>
      <c r="K76" s="66"/>
      <c r="L76" s="67"/>
      <c r="M76" s="67"/>
      <c r="N76" s="67"/>
      <c r="O76" s="67">
        <v>1</v>
      </c>
      <c r="P76" s="67"/>
      <c r="Q76" s="67"/>
      <c r="R76" s="67"/>
      <c r="S76" s="67">
        <v>1</v>
      </c>
      <c r="T76" s="67"/>
      <c r="U76" s="67"/>
      <c r="V76" s="69"/>
    </row>
    <row r="77" spans="2:22">
      <c r="B77" s="17" t="s">
        <v>2294</v>
      </c>
      <c r="C77" s="3">
        <v>33628</v>
      </c>
      <c r="D77" s="18" t="s">
        <v>1507</v>
      </c>
      <c r="E77" s="18" t="s">
        <v>1511</v>
      </c>
      <c r="F77" s="2" t="s">
        <v>2391</v>
      </c>
      <c r="G77" s="3" t="s">
        <v>2672</v>
      </c>
      <c r="H77" s="4" t="s">
        <v>2485</v>
      </c>
      <c r="I77" s="4" t="s">
        <v>878</v>
      </c>
      <c r="J77" s="23" t="s">
        <v>2579</v>
      </c>
      <c r="K77" s="66"/>
      <c r="L77" s="67"/>
      <c r="M77" s="67"/>
      <c r="N77" s="67"/>
      <c r="O77" s="67">
        <v>6</v>
      </c>
      <c r="P77" s="67">
        <v>4</v>
      </c>
      <c r="Q77" s="67"/>
      <c r="R77" s="67">
        <v>5</v>
      </c>
      <c r="S77" s="67">
        <v>13</v>
      </c>
      <c r="T77" s="67">
        <v>12</v>
      </c>
      <c r="U77" s="67">
        <v>4</v>
      </c>
      <c r="V77" s="69"/>
    </row>
    <row r="78" spans="2:22">
      <c r="B78" s="17" t="s">
        <v>2294</v>
      </c>
      <c r="C78" s="3">
        <v>33654</v>
      </c>
      <c r="D78" s="18" t="s">
        <v>1596</v>
      </c>
      <c r="E78" s="18" t="s">
        <v>1605</v>
      </c>
      <c r="F78" s="2" t="s">
        <v>2392</v>
      </c>
      <c r="G78" s="3" t="s">
        <v>2672</v>
      </c>
      <c r="H78" s="4" t="s">
        <v>2485</v>
      </c>
      <c r="I78" s="4" t="s">
        <v>2497</v>
      </c>
      <c r="J78" s="23" t="s">
        <v>2580</v>
      </c>
      <c r="K78" s="66"/>
      <c r="L78" s="67"/>
      <c r="M78" s="67"/>
      <c r="N78" s="67"/>
      <c r="O78" s="67">
        <v>2</v>
      </c>
      <c r="P78" s="67"/>
      <c r="Q78" s="67"/>
      <c r="R78" s="67"/>
      <c r="S78" s="67"/>
      <c r="T78" s="67"/>
      <c r="U78" s="67"/>
      <c r="V78" s="69"/>
    </row>
    <row r="79" spans="2:22">
      <c r="B79" s="17" t="s">
        <v>2294</v>
      </c>
      <c r="C79" s="3">
        <v>33644</v>
      </c>
      <c r="D79" s="18" t="s">
        <v>1596</v>
      </c>
      <c r="E79" s="18" t="s">
        <v>1646</v>
      </c>
      <c r="F79" s="2" t="s">
        <v>2393</v>
      </c>
      <c r="G79" s="3" t="s">
        <v>2671</v>
      </c>
      <c r="H79" s="4" t="s">
        <v>2485</v>
      </c>
      <c r="I79" s="4" t="s">
        <v>2486</v>
      </c>
      <c r="J79" s="23" t="s">
        <v>2581</v>
      </c>
      <c r="K79" s="66"/>
      <c r="L79" s="67"/>
      <c r="M79" s="67"/>
      <c r="N79" s="67"/>
      <c r="O79" s="67">
        <v>2</v>
      </c>
      <c r="P79" s="67"/>
      <c r="Q79" s="67"/>
      <c r="R79" s="67"/>
      <c r="S79" s="67"/>
      <c r="T79" s="67"/>
      <c r="U79" s="67"/>
      <c r="V79" s="69"/>
    </row>
    <row r="80" spans="2:22">
      <c r="B80" s="17" t="s">
        <v>2294</v>
      </c>
      <c r="C80" s="3">
        <v>33840</v>
      </c>
      <c r="D80" s="18" t="s">
        <v>1507</v>
      </c>
      <c r="E80" s="18" t="s">
        <v>1553</v>
      </c>
      <c r="F80" s="2" t="s">
        <v>2394</v>
      </c>
      <c r="G80" s="3" t="s">
        <v>2671</v>
      </c>
      <c r="H80" s="4" t="s">
        <v>2485</v>
      </c>
      <c r="I80" s="4" t="s">
        <v>2543</v>
      </c>
      <c r="J80" s="23" t="s">
        <v>2582</v>
      </c>
      <c r="K80" s="66"/>
      <c r="L80" s="67"/>
      <c r="M80" s="67"/>
      <c r="N80" s="67"/>
      <c r="O80" s="67">
        <v>5</v>
      </c>
      <c r="P80" s="67"/>
      <c r="Q80" s="67">
        <v>5</v>
      </c>
      <c r="R80" s="67"/>
      <c r="S80" s="67"/>
      <c r="T80" s="67">
        <v>5</v>
      </c>
      <c r="U80" s="67"/>
      <c r="V80" s="69"/>
    </row>
    <row r="81" spans="2:22">
      <c r="B81" s="17" t="s">
        <v>2294</v>
      </c>
      <c r="C81" s="3">
        <v>33832</v>
      </c>
      <c r="D81" s="18" t="s">
        <v>1507</v>
      </c>
      <c r="E81" s="18" t="s">
        <v>1529</v>
      </c>
      <c r="F81" s="2" t="s">
        <v>2395</v>
      </c>
      <c r="G81" s="3" t="s">
        <v>2670</v>
      </c>
      <c r="H81" s="4" t="s">
        <v>2479</v>
      </c>
      <c r="I81" s="4" t="s">
        <v>2482</v>
      </c>
      <c r="J81" s="23" t="s">
        <v>2583</v>
      </c>
      <c r="K81" s="66"/>
      <c r="L81" s="67"/>
      <c r="M81" s="67"/>
      <c r="N81" s="67"/>
      <c r="O81" s="67">
        <v>10</v>
      </c>
      <c r="P81" s="67">
        <v>15</v>
      </c>
      <c r="Q81" s="67">
        <v>10</v>
      </c>
      <c r="R81" s="67"/>
      <c r="S81" s="67"/>
      <c r="T81" s="67">
        <v>6</v>
      </c>
      <c r="U81" s="67"/>
      <c r="V81" s="69"/>
    </row>
    <row r="82" spans="2:22">
      <c r="B82" s="17" t="s">
        <v>2294</v>
      </c>
      <c r="C82" s="3">
        <v>33609</v>
      </c>
      <c r="D82" s="18" t="s">
        <v>1507</v>
      </c>
      <c r="E82" s="18" t="s">
        <v>1568</v>
      </c>
      <c r="F82" s="2" t="s">
        <v>2396</v>
      </c>
      <c r="G82" s="3" t="s">
        <v>2671</v>
      </c>
      <c r="H82" s="4" t="s">
        <v>2485</v>
      </c>
      <c r="I82" s="4" t="s">
        <v>2584</v>
      </c>
      <c r="J82" s="23" t="s">
        <v>2585</v>
      </c>
      <c r="K82" s="66"/>
      <c r="L82" s="67"/>
      <c r="M82" s="67"/>
      <c r="N82" s="67"/>
      <c r="O82" s="67"/>
      <c r="P82" s="67">
        <v>5</v>
      </c>
      <c r="Q82" s="67"/>
      <c r="R82" s="67"/>
      <c r="S82" s="67">
        <v>5</v>
      </c>
      <c r="T82" s="67"/>
      <c r="U82" s="67"/>
      <c r="V82" s="69"/>
    </row>
    <row r="83" spans="2:22">
      <c r="B83" s="17" t="s">
        <v>2294</v>
      </c>
      <c r="C83" s="3">
        <v>33609</v>
      </c>
      <c r="D83" s="18" t="s">
        <v>1507</v>
      </c>
      <c r="E83" s="18" t="s">
        <v>1568</v>
      </c>
      <c r="F83" s="2" t="s">
        <v>2397</v>
      </c>
      <c r="G83" s="3" t="s">
        <v>2671</v>
      </c>
      <c r="H83" s="4" t="s">
        <v>2485</v>
      </c>
      <c r="I83" s="4" t="s">
        <v>2517</v>
      </c>
      <c r="J83" s="23" t="s">
        <v>2586</v>
      </c>
      <c r="K83" s="66"/>
      <c r="L83" s="67"/>
      <c r="M83" s="67"/>
      <c r="N83" s="67"/>
      <c r="O83" s="67"/>
      <c r="P83" s="67">
        <v>5</v>
      </c>
      <c r="Q83" s="67">
        <v>10</v>
      </c>
      <c r="R83" s="67">
        <v>5</v>
      </c>
      <c r="S83" s="67">
        <v>5</v>
      </c>
      <c r="T83" s="67">
        <v>5</v>
      </c>
      <c r="U83" s="67">
        <v>5</v>
      </c>
      <c r="V83" s="69"/>
    </row>
    <row r="84" spans="2:22">
      <c r="B84" s="17" t="s">
        <v>2294</v>
      </c>
      <c r="C84" s="3">
        <v>33654</v>
      </c>
      <c r="D84" s="18" t="s">
        <v>1596</v>
      </c>
      <c r="E84" s="18" t="s">
        <v>1605</v>
      </c>
      <c r="F84" s="2" t="s">
        <v>2398</v>
      </c>
      <c r="G84" s="3" t="s">
        <v>2671</v>
      </c>
      <c r="H84" s="4" t="s">
        <v>2485</v>
      </c>
      <c r="I84" s="4" t="s">
        <v>2486</v>
      </c>
      <c r="J84" s="23" t="s">
        <v>2587</v>
      </c>
      <c r="K84" s="66"/>
      <c r="L84" s="67"/>
      <c r="M84" s="67"/>
      <c r="N84" s="67"/>
      <c r="O84" s="67"/>
      <c r="P84" s="67">
        <v>5</v>
      </c>
      <c r="Q84" s="67">
        <v>5</v>
      </c>
      <c r="R84" s="67"/>
      <c r="S84" s="67"/>
      <c r="T84" s="67"/>
      <c r="U84" s="67"/>
      <c r="V84" s="69"/>
    </row>
    <row r="85" spans="2:22">
      <c r="B85" s="17" t="s">
        <v>2294</v>
      </c>
      <c r="C85" s="3">
        <v>33628</v>
      </c>
      <c r="D85" s="18" t="s">
        <v>1507</v>
      </c>
      <c r="E85" s="18" t="s">
        <v>1511</v>
      </c>
      <c r="F85" s="2" t="s">
        <v>2399</v>
      </c>
      <c r="G85" s="3" t="s">
        <v>2673</v>
      </c>
      <c r="H85" s="4" t="s">
        <v>2485</v>
      </c>
      <c r="I85" s="4" t="s">
        <v>2529</v>
      </c>
      <c r="J85" s="23" t="s">
        <v>2588</v>
      </c>
      <c r="K85" s="66"/>
      <c r="L85" s="67"/>
      <c r="M85" s="67"/>
      <c r="N85" s="67"/>
      <c r="O85" s="67"/>
      <c r="P85" s="67">
        <v>10</v>
      </c>
      <c r="Q85" s="67"/>
      <c r="R85" s="67"/>
      <c r="S85" s="67"/>
      <c r="T85" s="67"/>
      <c r="U85" s="67">
        <v>10</v>
      </c>
      <c r="V85" s="69"/>
    </row>
    <row r="86" spans="2:22">
      <c r="B86" s="17" t="s">
        <v>2294</v>
      </c>
      <c r="C86" s="3">
        <v>33615</v>
      </c>
      <c r="D86" s="18" t="s">
        <v>1507</v>
      </c>
      <c r="E86" s="18" t="s">
        <v>1509</v>
      </c>
      <c r="F86" s="2" t="s">
        <v>2400</v>
      </c>
      <c r="G86" s="3" t="s">
        <v>2672</v>
      </c>
      <c r="H86" s="4" t="s">
        <v>2485</v>
      </c>
      <c r="I86" s="4" t="s">
        <v>878</v>
      </c>
      <c r="J86" s="23" t="s">
        <v>2589</v>
      </c>
      <c r="K86" s="66"/>
      <c r="L86" s="67"/>
      <c r="M86" s="67"/>
      <c r="N86" s="67"/>
      <c r="O86" s="67"/>
      <c r="P86" s="67">
        <v>1</v>
      </c>
      <c r="Q86" s="67"/>
      <c r="R86" s="67">
        <v>1</v>
      </c>
      <c r="S86" s="67">
        <v>2</v>
      </c>
      <c r="T86" s="67"/>
      <c r="U86" s="67"/>
      <c r="V86" s="69"/>
    </row>
    <row r="87" spans="2:22">
      <c r="B87" s="17" t="s">
        <v>2294</v>
      </c>
      <c r="C87" s="3">
        <v>33602</v>
      </c>
      <c r="D87" s="18" t="s">
        <v>1507</v>
      </c>
      <c r="E87" s="18" t="s">
        <v>1572</v>
      </c>
      <c r="F87" s="2" t="s">
        <v>2401</v>
      </c>
      <c r="G87" s="3" t="s">
        <v>2671</v>
      </c>
      <c r="H87" s="4" t="s">
        <v>2485</v>
      </c>
      <c r="I87" s="4" t="s">
        <v>2543</v>
      </c>
      <c r="J87" s="23" t="s">
        <v>2590</v>
      </c>
      <c r="K87" s="66"/>
      <c r="L87" s="67"/>
      <c r="M87" s="67"/>
      <c r="N87" s="67"/>
      <c r="O87" s="67"/>
      <c r="P87" s="67">
        <v>2</v>
      </c>
      <c r="Q87" s="67"/>
      <c r="R87" s="67"/>
      <c r="S87" s="67"/>
      <c r="T87" s="67"/>
      <c r="U87" s="67"/>
      <c r="V87" s="69"/>
    </row>
    <row r="88" spans="2:22">
      <c r="B88" s="17" t="s">
        <v>2294</v>
      </c>
      <c r="C88" s="3">
        <v>33609</v>
      </c>
      <c r="D88" s="18" t="s">
        <v>1507</v>
      </c>
      <c r="E88" s="18" t="s">
        <v>1568</v>
      </c>
      <c r="F88" s="2" t="s">
        <v>2402</v>
      </c>
      <c r="G88" s="3" t="s">
        <v>2671</v>
      </c>
      <c r="H88" s="4" t="s">
        <v>2485</v>
      </c>
      <c r="I88" s="4" t="s">
        <v>2543</v>
      </c>
      <c r="J88" s="23" t="s">
        <v>2591</v>
      </c>
      <c r="K88" s="66"/>
      <c r="L88" s="67"/>
      <c r="M88" s="67"/>
      <c r="N88" s="67"/>
      <c r="O88" s="67"/>
      <c r="P88" s="67">
        <v>1</v>
      </c>
      <c r="Q88" s="67"/>
      <c r="R88" s="67"/>
      <c r="S88" s="67"/>
      <c r="T88" s="67"/>
      <c r="U88" s="67"/>
      <c r="V88" s="69"/>
    </row>
    <row r="89" spans="2:22">
      <c r="B89" s="17" t="s">
        <v>2294</v>
      </c>
      <c r="C89" s="3">
        <v>33625</v>
      </c>
      <c r="D89" s="18" t="s">
        <v>1507</v>
      </c>
      <c r="E89" s="18" t="s">
        <v>1524</v>
      </c>
      <c r="F89" s="2" t="s">
        <v>2403</v>
      </c>
      <c r="G89" s="3" t="s">
        <v>2671</v>
      </c>
      <c r="H89" s="4" t="s">
        <v>2485</v>
      </c>
      <c r="I89" s="4" t="s">
        <v>2584</v>
      </c>
      <c r="J89" s="23" t="s">
        <v>2592</v>
      </c>
      <c r="K89" s="66"/>
      <c r="L89" s="67"/>
      <c r="M89" s="67"/>
      <c r="N89" s="67"/>
      <c r="O89" s="67"/>
      <c r="P89" s="67">
        <v>9</v>
      </c>
      <c r="Q89" s="67">
        <v>6</v>
      </c>
      <c r="R89" s="67">
        <v>6</v>
      </c>
      <c r="S89" s="67">
        <v>5</v>
      </c>
      <c r="T89" s="67"/>
      <c r="U89" s="67"/>
      <c r="V89" s="69"/>
    </row>
    <row r="90" spans="2:22">
      <c r="B90" s="17" t="s">
        <v>2294</v>
      </c>
      <c r="C90" s="3">
        <v>33588</v>
      </c>
      <c r="D90" s="18" t="s">
        <v>1596</v>
      </c>
      <c r="E90" s="18" t="s">
        <v>1630</v>
      </c>
      <c r="F90" s="2" t="s">
        <v>2404</v>
      </c>
      <c r="G90" s="3" t="s">
        <v>2670</v>
      </c>
      <c r="H90" s="4" t="s">
        <v>2479</v>
      </c>
      <c r="I90" s="4" t="s">
        <v>2503</v>
      </c>
      <c r="J90" s="23" t="s">
        <v>2593</v>
      </c>
      <c r="K90" s="66"/>
      <c r="L90" s="67"/>
      <c r="M90" s="67"/>
      <c r="N90" s="67"/>
      <c r="O90" s="67"/>
      <c r="P90" s="67">
        <v>3</v>
      </c>
      <c r="Q90" s="67">
        <v>1</v>
      </c>
      <c r="R90" s="67">
        <v>2</v>
      </c>
      <c r="S90" s="67"/>
      <c r="T90" s="67">
        <v>3</v>
      </c>
      <c r="U90" s="67"/>
      <c r="V90" s="69"/>
    </row>
    <row r="91" spans="2:22">
      <c r="B91" s="17" t="s">
        <v>2294</v>
      </c>
      <c r="C91" s="3">
        <v>33813</v>
      </c>
      <c r="D91" s="18" t="s">
        <v>1596</v>
      </c>
      <c r="E91" s="18" t="s">
        <v>1619</v>
      </c>
      <c r="F91" s="2" t="s">
        <v>2405</v>
      </c>
      <c r="G91" s="3" t="s">
        <v>2670</v>
      </c>
      <c r="H91" s="4" t="s">
        <v>2479</v>
      </c>
      <c r="I91" s="4" t="s">
        <v>2488</v>
      </c>
      <c r="J91" s="23" t="s">
        <v>2594</v>
      </c>
      <c r="K91" s="66"/>
      <c r="L91" s="67"/>
      <c r="M91" s="67"/>
      <c r="N91" s="67"/>
      <c r="O91" s="67"/>
      <c r="P91" s="67">
        <v>1</v>
      </c>
      <c r="Q91" s="67">
        <v>1</v>
      </c>
      <c r="R91" s="67">
        <v>1</v>
      </c>
      <c r="S91" s="67"/>
      <c r="T91" s="67"/>
      <c r="U91" s="67"/>
      <c r="V91" s="69"/>
    </row>
    <row r="92" spans="2:22">
      <c r="B92" s="17" t="s">
        <v>2294</v>
      </c>
      <c r="C92" s="3">
        <v>34754</v>
      </c>
      <c r="D92" s="18" t="s">
        <v>1596</v>
      </c>
      <c r="E92" s="18" t="s">
        <v>2248</v>
      </c>
      <c r="F92" s="2" t="s">
        <v>2406</v>
      </c>
      <c r="G92" s="3" t="s">
        <v>2673</v>
      </c>
      <c r="H92" s="4" t="s">
        <v>2499</v>
      </c>
      <c r="I92" s="4" t="s">
        <v>119</v>
      </c>
      <c r="J92" s="23" t="s">
        <v>2595</v>
      </c>
      <c r="K92" s="66"/>
      <c r="L92" s="67"/>
      <c r="M92" s="67"/>
      <c r="N92" s="67"/>
      <c r="O92" s="67"/>
      <c r="P92" s="67">
        <v>5</v>
      </c>
      <c r="Q92" s="67"/>
      <c r="R92" s="67"/>
      <c r="S92" s="67"/>
      <c r="T92" s="67"/>
      <c r="U92" s="67"/>
      <c r="V92" s="69"/>
    </row>
    <row r="93" spans="2:22">
      <c r="B93" s="17" t="s">
        <v>2294</v>
      </c>
      <c r="C93" s="3">
        <v>33681</v>
      </c>
      <c r="D93" s="18" t="s">
        <v>1596</v>
      </c>
      <c r="E93" s="18" t="s">
        <v>2254</v>
      </c>
      <c r="F93" s="2" t="s">
        <v>2407</v>
      </c>
      <c r="G93" s="3" t="s">
        <v>2673</v>
      </c>
      <c r="H93" s="4" t="s">
        <v>2499</v>
      </c>
      <c r="I93" s="4" t="s">
        <v>2519</v>
      </c>
      <c r="J93" s="23" t="s">
        <v>2596</v>
      </c>
      <c r="K93" s="66"/>
      <c r="L93" s="67"/>
      <c r="M93" s="67"/>
      <c r="N93" s="67"/>
      <c r="O93" s="67"/>
      <c r="P93" s="67">
        <v>2</v>
      </c>
      <c r="Q93" s="67"/>
      <c r="R93" s="67"/>
      <c r="S93" s="67"/>
      <c r="T93" s="67"/>
      <c r="U93" s="67"/>
      <c r="V93" s="69"/>
    </row>
    <row r="94" spans="2:22">
      <c r="B94" s="17" t="s">
        <v>2294</v>
      </c>
      <c r="C94" s="3">
        <v>33640</v>
      </c>
      <c r="D94" s="18" t="s">
        <v>1596</v>
      </c>
      <c r="E94" s="18" t="s">
        <v>1643</v>
      </c>
      <c r="F94" s="2" t="s">
        <v>2408</v>
      </c>
      <c r="G94" s="3" t="s">
        <v>2672</v>
      </c>
      <c r="H94" s="4" t="s">
        <v>2485</v>
      </c>
      <c r="I94" s="4" t="s">
        <v>2519</v>
      </c>
      <c r="J94" s="23" t="s">
        <v>2597</v>
      </c>
      <c r="K94" s="66"/>
      <c r="L94" s="67"/>
      <c r="M94" s="67"/>
      <c r="N94" s="67"/>
      <c r="O94" s="67"/>
      <c r="P94" s="67">
        <v>5</v>
      </c>
      <c r="Q94" s="67"/>
      <c r="R94" s="67"/>
      <c r="S94" s="67"/>
      <c r="T94" s="67"/>
      <c r="U94" s="67"/>
      <c r="V94" s="69"/>
    </row>
    <row r="95" spans="2:22">
      <c r="B95" s="17" t="s">
        <v>2294</v>
      </c>
      <c r="C95" s="3">
        <v>33597</v>
      </c>
      <c r="D95" s="18" t="s">
        <v>1507</v>
      </c>
      <c r="E95" s="18" t="s">
        <v>1526</v>
      </c>
      <c r="F95" s="2" t="s">
        <v>2409</v>
      </c>
      <c r="G95" s="3" t="s">
        <v>2672</v>
      </c>
      <c r="H95" s="4" t="s">
        <v>2485</v>
      </c>
      <c r="I95" s="4" t="s">
        <v>2519</v>
      </c>
      <c r="J95" s="23" t="s">
        <v>2598</v>
      </c>
      <c r="K95" s="66"/>
      <c r="L95" s="67"/>
      <c r="M95" s="67"/>
      <c r="N95" s="67"/>
      <c r="O95" s="67"/>
      <c r="P95" s="67"/>
      <c r="Q95" s="67">
        <v>10</v>
      </c>
      <c r="R95" s="67"/>
      <c r="S95" s="67"/>
      <c r="T95" s="67"/>
      <c r="U95" s="67"/>
      <c r="V95" s="69"/>
    </row>
    <row r="96" spans="2:22">
      <c r="B96" s="17" t="s">
        <v>2294</v>
      </c>
      <c r="C96" s="3">
        <v>33866</v>
      </c>
      <c r="D96" s="18" t="s">
        <v>1507</v>
      </c>
      <c r="E96" s="18" t="s">
        <v>1564</v>
      </c>
      <c r="F96" s="2" t="s">
        <v>2410</v>
      </c>
      <c r="G96" s="3" t="s">
        <v>2671</v>
      </c>
      <c r="H96" s="4" t="s">
        <v>2485</v>
      </c>
      <c r="I96" s="4" t="s">
        <v>2543</v>
      </c>
      <c r="J96" s="23" t="s">
        <v>2599</v>
      </c>
      <c r="K96" s="66"/>
      <c r="L96" s="67"/>
      <c r="M96" s="67"/>
      <c r="N96" s="67"/>
      <c r="O96" s="67"/>
      <c r="P96" s="67"/>
      <c r="Q96" s="67">
        <v>5</v>
      </c>
      <c r="R96" s="67"/>
      <c r="S96" s="67"/>
      <c r="T96" s="67"/>
      <c r="U96" s="67"/>
      <c r="V96" s="69"/>
    </row>
    <row r="97" spans="2:22">
      <c r="B97" s="17" t="s">
        <v>2294</v>
      </c>
      <c r="C97" s="3">
        <v>33609</v>
      </c>
      <c r="D97" s="18" t="s">
        <v>1507</v>
      </c>
      <c r="E97" s="18" t="s">
        <v>1568</v>
      </c>
      <c r="F97" s="2" t="s">
        <v>2411</v>
      </c>
      <c r="G97" s="3" t="s">
        <v>2671</v>
      </c>
      <c r="H97" s="4" t="s">
        <v>2485</v>
      </c>
      <c r="I97" s="4" t="s">
        <v>2600</v>
      </c>
      <c r="J97" s="23" t="s">
        <v>2601</v>
      </c>
      <c r="K97" s="66"/>
      <c r="L97" s="67"/>
      <c r="M97" s="67"/>
      <c r="N97" s="67"/>
      <c r="O97" s="67"/>
      <c r="P97" s="67"/>
      <c r="Q97" s="67">
        <v>5</v>
      </c>
      <c r="R97" s="67">
        <v>5</v>
      </c>
      <c r="S97" s="67"/>
      <c r="T97" s="67"/>
      <c r="U97" s="67"/>
      <c r="V97" s="69"/>
    </row>
    <row r="98" spans="2:22">
      <c r="B98" s="17" t="s">
        <v>2294</v>
      </c>
      <c r="C98" s="3">
        <v>34992</v>
      </c>
      <c r="D98" s="18" t="s">
        <v>1507</v>
      </c>
      <c r="E98" s="18" t="s">
        <v>2237</v>
      </c>
      <c r="F98" s="2" t="s">
        <v>2412</v>
      </c>
      <c r="G98" s="3" t="s">
        <v>2670</v>
      </c>
      <c r="H98" s="4" t="s">
        <v>2479</v>
      </c>
      <c r="I98" s="4" t="s">
        <v>2559</v>
      </c>
      <c r="J98" s="23" t="s">
        <v>2602</v>
      </c>
      <c r="K98" s="66"/>
      <c r="L98" s="67"/>
      <c r="M98" s="67"/>
      <c r="N98" s="67"/>
      <c r="O98" s="67"/>
      <c r="P98" s="67"/>
      <c r="Q98" s="67">
        <v>10</v>
      </c>
      <c r="R98" s="67"/>
      <c r="S98" s="67"/>
      <c r="T98" s="67"/>
      <c r="U98" s="67"/>
      <c r="V98" s="69"/>
    </row>
    <row r="99" spans="2:22">
      <c r="B99" s="17" t="s">
        <v>2294</v>
      </c>
      <c r="C99" s="3">
        <v>38187</v>
      </c>
      <c r="D99" s="18" t="s">
        <v>1507</v>
      </c>
      <c r="E99" s="18" t="s">
        <v>1576</v>
      </c>
      <c r="F99" s="2" t="s">
        <v>2413</v>
      </c>
      <c r="G99" s="3" t="s">
        <v>2671</v>
      </c>
      <c r="H99" s="4" t="s">
        <v>2485</v>
      </c>
      <c r="I99" s="4" t="s">
        <v>2507</v>
      </c>
      <c r="J99" s="23" t="s">
        <v>2603</v>
      </c>
      <c r="K99" s="66"/>
      <c r="L99" s="67"/>
      <c r="M99" s="67"/>
      <c r="N99" s="67"/>
      <c r="O99" s="67"/>
      <c r="P99" s="67"/>
      <c r="Q99" s="67">
        <v>1</v>
      </c>
      <c r="R99" s="67"/>
      <c r="S99" s="67">
        <v>2</v>
      </c>
      <c r="T99" s="67">
        <v>2</v>
      </c>
      <c r="U99" s="67"/>
      <c r="V99" s="69"/>
    </row>
    <row r="100" spans="2:22">
      <c r="B100" s="17" t="s">
        <v>2294</v>
      </c>
      <c r="C100" s="3">
        <v>33820</v>
      </c>
      <c r="D100" s="18" t="s">
        <v>1507</v>
      </c>
      <c r="E100" s="18" t="s">
        <v>2220</v>
      </c>
      <c r="F100" s="2" t="s">
        <v>2414</v>
      </c>
      <c r="G100" s="3" t="s">
        <v>2670</v>
      </c>
      <c r="H100" s="4" t="s">
        <v>2479</v>
      </c>
      <c r="I100" s="4" t="s">
        <v>2559</v>
      </c>
      <c r="J100" s="23" t="s">
        <v>2604</v>
      </c>
      <c r="K100" s="66"/>
      <c r="L100" s="67"/>
      <c r="M100" s="67"/>
      <c r="N100" s="67"/>
      <c r="O100" s="67"/>
      <c r="P100" s="67"/>
      <c r="Q100" s="67">
        <v>10</v>
      </c>
      <c r="R100" s="67">
        <v>20</v>
      </c>
      <c r="S100" s="67"/>
      <c r="T100" s="67"/>
      <c r="U100" s="67"/>
      <c r="V100" s="69"/>
    </row>
    <row r="101" spans="2:22">
      <c r="B101" s="17" t="s">
        <v>2294</v>
      </c>
      <c r="C101" s="3">
        <v>33609</v>
      </c>
      <c r="D101" s="18" t="s">
        <v>1507</v>
      </c>
      <c r="E101" s="18" t="s">
        <v>1568</v>
      </c>
      <c r="F101" s="2" t="s">
        <v>2415</v>
      </c>
      <c r="G101" s="3" t="s">
        <v>2671</v>
      </c>
      <c r="H101" s="4" t="s">
        <v>2485</v>
      </c>
      <c r="I101" s="4" t="s">
        <v>2517</v>
      </c>
      <c r="J101" s="23" t="s">
        <v>2605</v>
      </c>
      <c r="K101" s="66"/>
      <c r="L101" s="67"/>
      <c r="M101" s="67"/>
      <c r="N101" s="67"/>
      <c r="O101" s="67"/>
      <c r="P101" s="67"/>
      <c r="Q101" s="67">
        <v>2</v>
      </c>
      <c r="R101" s="67"/>
      <c r="S101" s="67"/>
      <c r="T101" s="67"/>
      <c r="U101" s="67"/>
      <c r="V101" s="69"/>
    </row>
    <row r="102" spans="2:22">
      <c r="B102" s="17" t="s">
        <v>2294</v>
      </c>
      <c r="C102" s="3">
        <v>33609</v>
      </c>
      <c r="D102" s="18" t="s">
        <v>1507</v>
      </c>
      <c r="E102" s="18" t="s">
        <v>1568</v>
      </c>
      <c r="F102" s="2" t="s">
        <v>2416</v>
      </c>
      <c r="G102" s="3" t="s">
        <v>2671</v>
      </c>
      <c r="H102" s="4" t="s">
        <v>2485</v>
      </c>
      <c r="I102" s="4" t="s">
        <v>2517</v>
      </c>
      <c r="J102" s="23" t="s">
        <v>2606</v>
      </c>
      <c r="K102" s="66"/>
      <c r="L102" s="67"/>
      <c r="M102" s="67"/>
      <c r="N102" s="67"/>
      <c r="O102" s="67"/>
      <c r="P102" s="67"/>
      <c r="Q102" s="67">
        <v>5</v>
      </c>
      <c r="R102" s="67"/>
      <c r="S102" s="67"/>
      <c r="T102" s="67"/>
      <c r="U102" s="67">
        <v>5</v>
      </c>
      <c r="V102" s="69"/>
    </row>
    <row r="103" spans="2:22">
      <c r="B103" s="17" t="s">
        <v>2294</v>
      </c>
      <c r="C103" s="3">
        <v>33609</v>
      </c>
      <c r="D103" s="18" t="s">
        <v>1507</v>
      </c>
      <c r="E103" s="18" t="s">
        <v>1568</v>
      </c>
      <c r="F103" s="2" t="s">
        <v>2417</v>
      </c>
      <c r="G103" s="3" t="s">
        <v>2671</v>
      </c>
      <c r="H103" s="4" t="s">
        <v>2485</v>
      </c>
      <c r="I103" s="4" t="s">
        <v>2512</v>
      </c>
      <c r="J103" s="23" t="s">
        <v>2607</v>
      </c>
      <c r="K103" s="66"/>
      <c r="L103" s="67"/>
      <c r="M103" s="67"/>
      <c r="N103" s="67"/>
      <c r="O103" s="67"/>
      <c r="P103" s="67"/>
      <c r="Q103" s="67">
        <v>5</v>
      </c>
      <c r="R103" s="67">
        <v>5</v>
      </c>
      <c r="S103" s="67">
        <v>15</v>
      </c>
      <c r="T103" s="67"/>
      <c r="U103" s="67"/>
      <c r="V103" s="69"/>
    </row>
    <row r="104" spans="2:22">
      <c r="B104" s="17" t="s">
        <v>2294</v>
      </c>
      <c r="C104" s="3">
        <v>33587</v>
      </c>
      <c r="D104" s="18" t="s">
        <v>1596</v>
      </c>
      <c r="E104" s="18" t="s">
        <v>1598</v>
      </c>
      <c r="F104" s="2" t="s">
        <v>2418</v>
      </c>
      <c r="G104" s="3" t="s">
        <v>2670</v>
      </c>
      <c r="H104" s="4" t="s">
        <v>2479</v>
      </c>
      <c r="I104" s="4" t="s">
        <v>2482</v>
      </c>
      <c r="J104" s="23" t="s">
        <v>2608</v>
      </c>
      <c r="K104" s="66"/>
      <c r="L104" s="67"/>
      <c r="M104" s="67"/>
      <c r="N104" s="67"/>
      <c r="O104" s="67"/>
      <c r="P104" s="67"/>
      <c r="Q104" s="67">
        <v>3</v>
      </c>
      <c r="R104" s="67"/>
      <c r="S104" s="67"/>
      <c r="T104" s="67"/>
      <c r="U104" s="67"/>
      <c r="V104" s="69"/>
    </row>
    <row r="105" spans="2:22">
      <c r="B105" s="17" t="s">
        <v>2294</v>
      </c>
      <c r="C105" s="3">
        <v>33587</v>
      </c>
      <c r="D105" s="18" t="s">
        <v>1596</v>
      </c>
      <c r="E105" s="18" t="s">
        <v>1598</v>
      </c>
      <c r="F105" s="2" t="s">
        <v>2419</v>
      </c>
      <c r="G105" s="3" t="s">
        <v>2670</v>
      </c>
      <c r="H105" s="4" t="s">
        <v>2479</v>
      </c>
      <c r="I105" s="4" t="s">
        <v>2490</v>
      </c>
      <c r="J105" s="23" t="s">
        <v>2609</v>
      </c>
      <c r="K105" s="66"/>
      <c r="L105" s="67"/>
      <c r="M105" s="67"/>
      <c r="N105" s="67"/>
      <c r="O105" s="67"/>
      <c r="P105" s="67"/>
      <c r="Q105" s="67">
        <v>5</v>
      </c>
      <c r="R105" s="67"/>
      <c r="S105" s="67"/>
      <c r="T105" s="67"/>
      <c r="U105" s="67"/>
      <c r="V105" s="69"/>
    </row>
    <row r="106" spans="2:22">
      <c r="B106" s="17" t="s">
        <v>2294</v>
      </c>
      <c r="C106" s="3">
        <v>33662</v>
      </c>
      <c r="D106" s="18" t="s">
        <v>1596</v>
      </c>
      <c r="E106" s="18" t="s">
        <v>1611</v>
      </c>
      <c r="F106" s="2" t="s">
        <v>2420</v>
      </c>
      <c r="G106" s="3" t="s">
        <v>2672</v>
      </c>
      <c r="H106" s="4" t="s">
        <v>2610</v>
      </c>
      <c r="I106" s="4" t="s">
        <v>119</v>
      </c>
      <c r="J106" s="23" t="s">
        <v>2611</v>
      </c>
      <c r="K106" s="66"/>
      <c r="L106" s="67"/>
      <c r="M106" s="67"/>
      <c r="N106" s="67"/>
      <c r="O106" s="67"/>
      <c r="P106" s="67"/>
      <c r="Q106" s="67">
        <v>5</v>
      </c>
      <c r="R106" s="67">
        <v>5</v>
      </c>
      <c r="S106" s="67"/>
      <c r="T106" s="67"/>
      <c r="U106" s="67">
        <v>5</v>
      </c>
      <c r="V106" s="69"/>
    </row>
    <row r="107" spans="2:22">
      <c r="B107" s="17" t="s">
        <v>2294</v>
      </c>
      <c r="C107" s="3">
        <v>33586</v>
      </c>
      <c r="D107" s="18" t="s">
        <v>1596</v>
      </c>
      <c r="E107" s="18" t="s">
        <v>1641</v>
      </c>
      <c r="F107" s="2" t="s">
        <v>2421</v>
      </c>
      <c r="G107" s="3" t="s">
        <v>2672</v>
      </c>
      <c r="H107" s="4" t="s">
        <v>2485</v>
      </c>
      <c r="I107" s="4" t="s">
        <v>2497</v>
      </c>
      <c r="J107" s="23" t="s">
        <v>2612</v>
      </c>
      <c r="K107" s="66"/>
      <c r="L107" s="67"/>
      <c r="M107" s="67"/>
      <c r="N107" s="67"/>
      <c r="O107" s="67"/>
      <c r="P107" s="67"/>
      <c r="Q107" s="67">
        <v>1</v>
      </c>
      <c r="R107" s="67"/>
      <c r="S107" s="67"/>
      <c r="T107" s="67"/>
      <c r="U107" s="67"/>
      <c r="V107" s="69"/>
    </row>
    <row r="108" spans="2:22">
      <c r="B108" s="17" t="s">
        <v>2294</v>
      </c>
      <c r="C108" s="3">
        <v>33654</v>
      </c>
      <c r="D108" s="18" t="s">
        <v>1596</v>
      </c>
      <c r="E108" s="18" t="s">
        <v>1605</v>
      </c>
      <c r="F108" s="2" t="s">
        <v>2422</v>
      </c>
      <c r="G108" s="3" t="s">
        <v>2671</v>
      </c>
      <c r="H108" s="4" t="s">
        <v>2485</v>
      </c>
      <c r="I108" s="4" t="s">
        <v>65</v>
      </c>
      <c r="J108" s="23" t="s">
        <v>2613</v>
      </c>
      <c r="K108" s="66"/>
      <c r="L108" s="67"/>
      <c r="M108" s="67"/>
      <c r="N108" s="67"/>
      <c r="O108" s="67"/>
      <c r="P108" s="67"/>
      <c r="Q108" s="67">
        <v>1</v>
      </c>
      <c r="R108" s="67">
        <v>1</v>
      </c>
      <c r="S108" s="67"/>
      <c r="T108" s="67"/>
      <c r="U108" s="67"/>
      <c r="V108" s="69"/>
    </row>
    <row r="109" spans="2:22">
      <c r="B109" s="17" t="s">
        <v>2294</v>
      </c>
      <c r="C109" s="3">
        <v>33870</v>
      </c>
      <c r="D109" s="18" t="s">
        <v>1507</v>
      </c>
      <c r="E109" s="18" t="s">
        <v>1549</v>
      </c>
      <c r="F109" s="2" t="s">
        <v>2423</v>
      </c>
      <c r="G109" s="3" t="s">
        <v>2673</v>
      </c>
      <c r="H109" s="4" t="s">
        <v>2503</v>
      </c>
      <c r="I109" s="4" t="s">
        <v>2614</v>
      </c>
      <c r="J109" s="23" t="s">
        <v>2615</v>
      </c>
      <c r="K109" s="66"/>
      <c r="L109" s="67"/>
      <c r="M109" s="67"/>
      <c r="N109" s="67"/>
      <c r="O109" s="67"/>
      <c r="P109" s="67"/>
      <c r="Q109" s="67">
        <v>5</v>
      </c>
      <c r="R109" s="67"/>
      <c r="S109" s="67"/>
      <c r="T109" s="67"/>
      <c r="U109" s="67"/>
      <c r="V109" s="69"/>
    </row>
    <row r="110" spans="2:22">
      <c r="B110" s="17" t="s">
        <v>2294</v>
      </c>
      <c r="C110" s="3">
        <v>33645</v>
      </c>
      <c r="D110" s="18" t="s">
        <v>1507</v>
      </c>
      <c r="E110" s="18" t="s">
        <v>1541</v>
      </c>
      <c r="F110" s="2" t="s">
        <v>2424</v>
      </c>
      <c r="G110" s="3" t="s">
        <v>2671</v>
      </c>
      <c r="H110" s="4" t="s">
        <v>2485</v>
      </c>
      <c r="I110" s="4" t="s">
        <v>2507</v>
      </c>
      <c r="J110" s="23" t="s">
        <v>2616</v>
      </c>
      <c r="K110" s="66"/>
      <c r="L110" s="67"/>
      <c r="M110" s="67"/>
      <c r="N110" s="67"/>
      <c r="O110" s="67"/>
      <c r="P110" s="67"/>
      <c r="Q110" s="67"/>
      <c r="R110" s="67">
        <v>5</v>
      </c>
      <c r="S110" s="67"/>
      <c r="T110" s="67">
        <v>2</v>
      </c>
      <c r="U110" s="67"/>
      <c r="V110" s="69"/>
    </row>
    <row r="111" spans="2:22">
      <c r="B111" s="17" t="s">
        <v>2294</v>
      </c>
      <c r="C111" s="3">
        <v>33626</v>
      </c>
      <c r="D111" s="18" t="s">
        <v>1507</v>
      </c>
      <c r="E111" s="18" t="s">
        <v>1535</v>
      </c>
      <c r="F111" s="2" t="s">
        <v>2425</v>
      </c>
      <c r="G111" s="3" t="s">
        <v>2671</v>
      </c>
      <c r="H111" s="4" t="s">
        <v>2485</v>
      </c>
      <c r="I111" s="4" t="s">
        <v>2512</v>
      </c>
      <c r="J111" s="23" t="s">
        <v>2617</v>
      </c>
      <c r="K111" s="66"/>
      <c r="L111" s="67"/>
      <c r="M111" s="67"/>
      <c r="N111" s="67"/>
      <c r="O111" s="67"/>
      <c r="P111" s="67"/>
      <c r="Q111" s="67"/>
      <c r="R111" s="67">
        <v>1</v>
      </c>
      <c r="S111" s="67"/>
      <c r="T111" s="67"/>
      <c r="U111" s="67"/>
      <c r="V111" s="69"/>
    </row>
    <row r="112" spans="2:22">
      <c r="B112" s="17" t="s">
        <v>2294</v>
      </c>
      <c r="C112" s="3">
        <v>33822</v>
      </c>
      <c r="D112" s="18" t="s">
        <v>1596</v>
      </c>
      <c r="E112" s="18" t="s">
        <v>1603</v>
      </c>
      <c r="F112" s="2" t="s">
        <v>2426</v>
      </c>
      <c r="G112" s="3" t="s">
        <v>2671</v>
      </c>
      <c r="H112" s="4" t="s">
        <v>2618</v>
      </c>
      <c r="I112" s="4" t="s">
        <v>2584</v>
      </c>
      <c r="J112" s="23" t="s">
        <v>2619</v>
      </c>
      <c r="K112" s="66"/>
      <c r="L112" s="67"/>
      <c r="M112" s="67"/>
      <c r="N112" s="67"/>
      <c r="O112" s="67"/>
      <c r="P112" s="67"/>
      <c r="Q112" s="67"/>
      <c r="R112" s="67">
        <v>2</v>
      </c>
      <c r="S112" s="67"/>
      <c r="T112" s="67">
        <v>1</v>
      </c>
      <c r="U112" s="67">
        <v>2</v>
      </c>
      <c r="V112" s="69"/>
    </row>
    <row r="113" spans="2:22">
      <c r="B113" s="17" t="s">
        <v>2294</v>
      </c>
      <c r="C113" s="3">
        <v>33621</v>
      </c>
      <c r="D113" s="18" t="s">
        <v>1507</v>
      </c>
      <c r="E113" s="18" t="s">
        <v>1510</v>
      </c>
      <c r="F113" s="2" t="s">
        <v>2427</v>
      </c>
      <c r="G113" s="3" t="s">
        <v>2674</v>
      </c>
      <c r="H113" s="4" t="s">
        <v>2618</v>
      </c>
      <c r="I113" s="4" t="s">
        <v>2497</v>
      </c>
      <c r="J113" s="23" t="s">
        <v>2620</v>
      </c>
      <c r="K113" s="66"/>
      <c r="L113" s="67"/>
      <c r="M113" s="67"/>
      <c r="N113" s="67"/>
      <c r="O113" s="67"/>
      <c r="P113" s="67"/>
      <c r="Q113" s="67"/>
      <c r="R113" s="67">
        <v>5</v>
      </c>
      <c r="S113" s="67">
        <v>5</v>
      </c>
      <c r="T113" s="67"/>
      <c r="U113" s="67"/>
      <c r="V113" s="69"/>
    </row>
    <row r="114" spans="2:22">
      <c r="B114" s="17" t="s">
        <v>2294</v>
      </c>
      <c r="C114" s="3">
        <v>33621</v>
      </c>
      <c r="D114" s="18" t="s">
        <v>1507</v>
      </c>
      <c r="E114" s="18" t="s">
        <v>1510</v>
      </c>
      <c r="F114" s="2" t="s">
        <v>2428</v>
      </c>
      <c r="G114" s="3" t="s">
        <v>2674</v>
      </c>
      <c r="H114" s="4" t="s">
        <v>2618</v>
      </c>
      <c r="I114" s="4" t="s">
        <v>2584</v>
      </c>
      <c r="J114" s="23" t="s">
        <v>2621</v>
      </c>
      <c r="K114" s="66"/>
      <c r="L114" s="67"/>
      <c r="M114" s="67"/>
      <c r="N114" s="67"/>
      <c r="O114" s="67"/>
      <c r="P114" s="67"/>
      <c r="Q114" s="67"/>
      <c r="R114" s="67">
        <v>5</v>
      </c>
      <c r="S114" s="67"/>
      <c r="T114" s="67"/>
      <c r="U114" s="67"/>
      <c r="V114" s="69"/>
    </row>
    <row r="115" spans="2:22">
      <c r="B115" s="17" t="s">
        <v>2294</v>
      </c>
      <c r="C115" s="3">
        <v>33820</v>
      </c>
      <c r="D115" s="18" t="s">
        <v>1507</v>
      </c>
      <c r="E115" s="18" t="s">
        <v>2220</v>
      </c>
      <c r="F115" s="2" t="s">
        <v>2429</v>
      </c>
      <c r="G115" s="3" t="s">
        <v>2674</v>
      </c>
      <c r="H115" s="4" t="s">
        <v>2479</v>
      </c>
      <c r="I115" s="4" t="s">
        <v>2559</v>
      </c>
      <c r="J115" s="23" t="s">
        <v>2622</v>
      </c>
      <c r="K115" s="66"/>
      <c r="L115" s="67"/>
      <c r="M115" s="67"/>
      <c r="N115" s="67"/>
      <c r="O115" s="67"/>
      <c r="P115" s="67"/>
      <c r="Q115" s="67"/>
      <c r="R115" s="67">
        <v>10</v>
      </c>
      <c r="S115" s="67"/>
      <c r="T115" s="67"/>
      <c r="U115" s="67"/>
      <c r="V115" s="69"/>
    </row>
    <row r="116" spans="2:22">
      <c r="B116" s="17" t="s">
        <v>2294</v>
      </c>
      <c r="C116" s="3">
        <v>33609</v>
      </c>
      <c r="D116" s="18" t="s">
        <v>1507</v>
      </c>
      <c r="E116" s="18" t="s">
        <v>1568</v>
      </c>
      <c r="F116" s="2" t="s">
        <v>2430</v>
      </c>
      <c r="G116" s="3" t="s">
        <v>2671</v>
      </c>
      <c r="H116" s="4" t="s">
        <v>2485</v>
      </c>
      <c r="I116" s="4" t="s">
        <v>2600</v>
      </c>
      <c r="J116" s="23" t="s">
        <v>2623</v>
      </c>
      <c r="K116" s="66"/>
      <c r="L116" s="67"/>
      <c r="M116" s="67"/>
      <c r="N116" s="67"/>
      <c r="O116" s="67"/>
      <c r="P116" s="67"/>
      <c r="Q116" s="67"/>
      <c r="R116" s="67">
        <v>1</v>
      </c>
      <c r="S116" s="67">
        <v>2</v>
      </c>
      <c r="T116" s="67"/>
      <c r="U116" s="67">
        <v>1</v>
      </c>
      <c r="V116" s="69"/>
    </row>
    <row r="117" spans="2:22">
      <c r="B117" s="17" t="s">
        <v>2294</v>
      </c>
      <c r="C117" s="3">
        <v>33634</v>
      </c>
      <c r="D117" s="18" t="s">
        <v>1507</v>
      </c>
      <c r="E117" s="18" t="s">
        <v>1513</v>
      </c>
      <c r="F117" s="2" t="s">
        <v>2431</v>
      </c>
      <c r="G117" s="3" t="s">
        <v>2671</v>
      </c>
      <c r="H117" s="4" t="s">
        <v>2610</v>
      </c>
      <c r="I117" s="4" t="s">
        <v>2584</v>
      </c>
      <c r="J117" s="23" t="s">
        <v>2624</v>
      </c>
      <c r="K117" s="66"/>
      <c r="L117" s="67"/>
      <c r="M117" s="67"/>
      <c r="N117" s="67"/>
      <c r="O117" s="67"/>
      <c r="P117" s="67"/>
      <c r="Q117" s="67"/>
      <c r="R117" s="67">
        <v>10</v>
      </c>
      <c r="S117" s="67">
        <v>13</v>
      </c>
      <c r="T117" s="67">
        <v>4</v>
      </c>
      <c r="U117" s="67"/>
      <c r="V117" s="69"/>
    </row>
    <row r="118" spans="2:22">
      <c r="B118" s="17" t="s">
        <v>2294</v>
      </c>
      <c r="C118" s="3">
        <v>33586</v>
      </c>
      <c r="D118" s="18" t="s">
        <v>1596</v>
      </c>
      <c r="E118" s="18" t="s">
        <v>1641</v>
      </c>
      <c r="F118" s="2" t="s">
        <v>2432</v>
      </c>
      <c r="G118" s="3" t="s">
        <v>2675</v>
      </c>
      <c r="H118" s="4" t="s">
        <v>2485</v>
      </c>
      <c r="I118" s="4" t="s">
        <v>2497</v>
      </c>
      <c r="J118" s="23" t="s">
        <v>2612</v>
      </c>
      <c r="K118" s="66"/>
      <c r="L118" s="67"/>
      <c r="M118" s="67"/>
      <c r="N118" s="67"/>
      <c r="O118" s="67"/>
      <c r="P118" s="67"/>
      <c r="Q118" s="67"/>
      <c r="R118" s="67"/>
      <c r="S118" s="67">
        <v>10</v>
      </c>
      <c r="T118" s="67"/>
      <c r="U118" s="67">
        <v>10</v>
      </c>
      <c r="V118" s="69"/>
    </row>
    <row r="119" spans="2:22">
      <c r="B119" s="17" t="s">
        <v>2294</v>
      </c>
      <c r="C119" s="3">
        <v>33587</v>
      </c>
      <c r="D119" s="18" t="s">
        <v>1596</v>
      </c>
      <c r="E119" s="18" t="s">
        <v>1598</v>
      </c>
      <c r="F119" s="2" t="s">
        <v>2433</v>
      </c>
      <c r="G119" s="3" t="s">
        <v>2671</v>
      </c>
      <c r="H119" s="4" t="s">
        <v>2485</v>
      </c>
      <c r="I119" s="4" t="s">
        <v>2512</v>
      </c>
      <c r="J119" s="23" t="s">
        <v>2625</v>
      </c>
      <c r="K119" s="66"/>
      <c r="L119" s="67"/>
      <c r="M119" s="67"/>
      <c r="N119" s="67"/>
      <c r="O119" s="67"/>
      <c r="P119" s="67"/>
      <c r="Q119" s="67"/>
      <c r="R119" s="67"/>
      <c r="S119" s="67">
        <v>5</v>
      </c>
      <c r="T119" s="67"/>
      <c r="U119" s="67"/>
      <c r="V119" s="69"/>
    </row>
    <row r="120" spans="2:22">
      <c r="B120" s="17" t="s">
        <v>2294</v>
      </c>
      <c r="C120" s="3">
        <v>33661</v>
      </c>
      <c r="D120" s="18" t="s">
        <v>1507</v>
      </c>
      <c r="E120" s="18" t="s">
        <v>1583</v>
      </c>
      <c r="F120" s="2" t="s">
        <v>2434</v>
      </c>
      <c r="G120" s="3" t="s">
        <v>2671</v>
      </c>
      <c r="H120" s="4" t="s">
        <v>2485</v>
      </c>
      <c r="I120" s="4" t="s">
        <v>2486</v>
      </c>
      <c r="J120" s="23" t="s">
        <v>2626</v>
      </c>
      <c r="K120" s="66"/>
      <c r="L120" s="67"/>
      <c r="M120" s="67"/>
      <c r="N120" s="67"/>
      <c r="O120" s="67"/>
      <c r="P120" s="67"/>
      <c r="Q120" s="67"/>
      <c r="R120" s="67"/>
      <c r="S120" s="67">
        <v>10</v>
      </c>
      <c r="T120" s="67"/>
      <c r="U120" s="67"/>
      <c r="V120" s="69"/>
    </row>
    <row r="121" spans="2:22">
      <c r="B121" s="17" t="s">
        <v>2294</v>
      </c>
      <c r="C121" s="3">
        <v>33793</v>
      </c>
      <c r="D121" s="18" t="s">
        <v>1596</v>
      </c>
      <c r="E121" s="18" t="s">
        <v>1610</v>
      </c>
      <c r="F121" s="2" t="s">
        <v>2435</v>
      </c>
      <c r="G121" s="3" t="s">
        <v>2675</v>
      </c>
      <c r="H121" s="4" t="s">
        <v>2485</v>
      </c>
      <c r="I121" s="4" t="s">
        <v>119</v>
      </c>
      <c r="J121" s="23" t="s">
        <v>2627</v>
      </c>
      <c r="K121" s="66"/>
      <c r="L121" s="67"/>
      <c r="M121" s="67"/>
      <c r="N121" s="67"/>
      <c r="O121" s="67"/>
      <c r="P121" s="67"/>
      <c r="Q121" s="67"/>
      <c r="R121" s="67"/>
      <c r="S121" s="67"/>
      <c r="T121" s="67">
        <v>1</v>
      </c>
      <c r="U121" s="67"/>
      <c r="V121" s="69"/>
    </row>
    <row r="122" spans="2:22">
      <c r="B122" s="17" t="s">
        <v>2294</v>
      </c>
      <c r="C122" s="3">
        <v>33598</v>
      </c>
      <c r="D122" s="18" t="s">
        <v>1507</v>
      </c>
      <c r="E122" s="18" t="s">
        <v>1548</v>
      </c>
      <c r="F122" s="2" t="s">
        <v>2436</v>
      </c>
      <c r="G122" s="3" t="s">
        <v>2671</v>
      </c>
      <c r="H122" s="4" t="s">
        <v>2485</v>
      </c>
      <c r="I122" s="4" t="s">
        <v>2543</v>
      </c>
      <c r="J122" s="23" t="s">
        <v>2628</v>
      </c>
      <c r="K122" s="66"/>
      <c r="L122" s="67"/>
      <c r="M122" s="67"/>
      <c r="N122" s="67"/>
      <c r="O122" s="67"/>
      <c r="P122" s="67"/>
      <c r="Q122" s="67"/>
      <c r="R122" s="67"/>
      <c r="S122" s="67">
        <v>2</v>
      </c>
      <c r="T122" s="67">
        <v>2</v>
      </c>
      <c r="U122" s="67"/>
      <c r="V122" s="69"/>
    </row>
    <row r="123" spans="2:22">
      <c r="B123" s="17" t="s">
        <v>2294</v>
      </c>
      <c r="C123" s="3">
        <v>33586</v>
      </c>
      <c r="D123" s="18" t="s">
        <v>1596</v>
      </c>
      <c r="E123" s="18" t="s">
        <v>1641</v>
      </c>
      <c r="F123" s="2" t="s">
        <v>2437</v>
      </c>
      <c r="G123" s="3" t="s">
        <v>2671</v>
      </c>
      <c r="H123" s="4" t="s">
        <v>2485</v>
      </c>
      <c r="I123" s="4" t="s">
        <v>2543</v>
      </c>
      <c r="J123" s="23" t="s">
        <v>2629</v>
      </c>
      <c r="K123" s="66"/>
      <c r="L123" s="67"/>
      <c r="M123" s="67"/>
      <c r="N123" s="67"/>
      <c r="O123" s="67"/>
      <c r="P123" s="67"/>
      <c r="Q123" s="67"/>
      <c r="R123" s="67"/>
      <c r="S123" s="67"/>
      <c r="T123" s="67">
        <v>2</v>
      </c>
      <c r="U123" s="67"/>
      <c r="V123" s="69"/>
    </row>
    <row r="124" spans="2:22">
      <c r="B124" s="17" t="s">
        <v>2294</v>
      </c>
      <c r="C124" s="3">
        <v>33797</v>
      </c>
      <c r="D124" s="18" t="s">
        <v>1596</v>
      </c>
      <c r="E124" s="18" t="s">
        <v>1599</v>
      </c>
      <c r="F124" s="2" t="s">
        <v>2438</v>
      </c>
      <c r="G124" s="3" t="s">
        <v>2674</v>
      </c>
      <c r="H124" s="4" t="s">
        <v>2479</v>
      </c>
      <c r="I124" s="4" t="s">
        <v>2482</v>
      </c>
      <c r="J124" s="23" t="s">
        <v>2630</v>
      </c>
      <c r="K124" s="66"/>
      <c r="L124" s="67"/>
      <c r="M124" s="67"/>
      <c r="N124" s="67"/>
      <c r="O124" s="67"/>
      <c r="P124" s="67"/>
      <c r="Q124" s="67"/>
      <c r="R124" s="67"/>
      <c r="S124" s="67">
        <v>3</v>
      </c>
      <c r="T124" s="67"/>
      <c r="U124" s="67"/>
      <c r="V124" s="69"/>
    </row>
    <row r="125" spans="2:22">
      <c r="B125" s="17" t="s">
        <v>2294</v>
      </c>
      <c r="C125" s="3">
        <v>33793</v>
      </c>
      <c r="D125" s="18" t="s">
        <v>1596</v>
      </c>
      <c r="E125" s="18" t="s">
        <v>1610</v>
      </c>
      <c r="F125" s="2" t="s">
        <v>2439</v>
      </c>
      <c r="G125" s="3" t="s">
        <v>2671</v>
      </c>
      <c r="H125" s="4" t="s">
        <v>2485</v>
      </c>
      <c r="I125" s="4" t="s">
        <v>2486</v>
      </c>
      <c r="J125" s="23" t="s">
        <v>2631</v>
      </c>
      <c r="K125" s="66"/>
      <c r="L125" s="67"/>
      <c r="M125" s="67"/>
      <c r="N125" s="67"/>
      <c r="O125" s="67"/>
      <c r="P125" s="67"/>
      <c r="Q125" s="67"/>
      <c r="R125" s="67"/>
      <c r="S125" s="67">
        <v>1</v>
      </c>
      <c r="T125" s="67"/>
      <c r="U125" s="67"/>
      <c r="V125" s="69"/>
    </row>
    <row r="126" spans="2:22">
      <c r="B126" s="17" t="s">
        <v>2294</v>
      </c>
      <c r="C126" s="3">
        <v>33845</v>
      </c>
      <c r="D126" s="18" t="s">
        <v>1596</v>
      </c>
      <c r="E126" s="18" t="s">
        <v>1607</v>
      </c>
      <c r="F126" s="2" t="s">
        <v>2440</v>
      </c>
      <c r="G126" s="3" t="s">
        <v>2675</v>
      </c>
      <c r="H126" s="4" t="s">
        <v>2485</v>
      </c>
      <c r="I126" s="4" t="s">
        <v>119</v>
      </c>
      <c r="J126" s="23" t="s">
        <v>2632</v>
      </c>
      <c r="K126" s="66"/>
      <c r="L126" s="67"/>
      <c r="M126" s="67"/>
      <c r="N126" s="67"/>
      <c r="O126" s="67"/>
      <c r="P126" s="67"/>
      <c r="Q126" s="67"/>
      <c r="R126" s="67"/>
      <c r="S126" s="67">
        <v>1</v>
      </c>
      <c r="T126" s="67"/>
      <c r="U126" s="67">
        <v>1</v>
      </c>
      <c r="V126" s="69"/>
    </row>
    <row r="127" spans="2:22">
      <c r="B127" s="17" t="s">
        <v>2294</v>
      </c>
      <c r="C127" s="3">
        <v>33585</v>
      </c>
      <c r="D127" s="18" t="s">
        <v>1596</v>
      </c>
      <c r="E127" s="18" t="s">
        <v>1644</v>
      </c>
      <c r="F127" s="2" t="s">
        <v>2441</v>
      </c>
      <c r="G127" s="3" t="s">
        <v>2671</v>
      </c>
      <c r="H127" s="4" t="s">
        <v>2485</v>
      </c>
      <c r="I127" s="4" t="s">
        <v>2517</v>
      </c>
      <c r="J127" s="23" t="s">
        <v>2633</v>
      </c>
      <c r="K127" s="66"/>
      <c r="L127" s="67"/>
      <c r="M127" s="67"/>
      <c r="N127" s="67"/>
      <c r="O127" s="67"/>
      <c r="P127" s="67"/>
      <c r="Q127" s="67"/>
      <c r="R127" s="67"/>
      <c r="S127" s="67">
        <v>1</v>
      </c>
      <c r="T127" s="67"/>
      <c r="U127" s="67"/>
      <c r="V127" s="69"/>
    </row>
    <row r="128" spans="2:22">
      <c r="B128" s="17" t="s">
        <v>2294</v>
      </c>
      <c r="C128" s="3">
        <v>33585</v>
      </c>
      <c r="D128" s="18" t="s">
        <v>1596</v>
      </c>
      <c r="E128" s="18" t="s">
        <v>1644</v>
      </c>
      <c r="F128" s="2" t="s">
        <v>2442</v>
      </c>
      <c r="G128" s="3" t="s">
        <v>2671</v>
      </c>
      <c r="H128" s="4" t="s">
        <v>2485</v>
      </c>
      <c r="I128" s="4" t="s">
        <v>2517</v>
      </c>
      <c r="J128" s="23" t="s">
        <v>2634</v>
      </c>
      <c r="K128" s="66"/>
      <c r="L128" s="67"/>
      <c r="M128" s="67"/>
      <c r="N128" s="67"/>
      <c r="O128" s="67"/>
      <c r="P128" s="67"/>
      <c r="Q128" s="67"/>
      <c r="R128" s="67"/>
      <c r="S128" s="67">
        <v>1</v>
      </c>
      <c r="T128" s="67"/>
      <c r="U128" s="67"/>
      <c r="V128" s="69"/>
    </row>
    <row r="129" spans="2:22">
      <c r="B129" s="17" t="s">
        <v>2294</v>
      </c>
      <c r="C129" s="3">
        <v>33585</v>
      </c>
      <c r="D129" s="18" t="s">
        <v>1596</v>
      </c>
      <c r="E129" s="18" t="s">
        <v>1644</v>
      </c>
      <c r="F129" s="2" t="s">
        <v>2443</v>
      </c>
      <c r="G129" s="3" t="s">
        <v>2671</v>
      </c>
      <c r="H129" s="4" t="s">
        <v>2485</v>
      </c>
      <c r="I129" s="4" t="s">
        <v>2600</v>
      </c>
      <c r="J129" s="23" t="s">
        <v>2635</v>
      </c>
      <c r="K129" s="66"/>
      <c r="L129" s="67"/>
      <c r="M129" s="67"/>
      <c r="N129" s="67"/>
      <c r="O129" s="67"/>
      <c r="P129" s="67"/>
      <c r="Q129" s="67"/>
      <c r="R129" s="67"/>
      <c r="S129" s="67">
        <v>1</v>
      </c>
      <c r="T129" s="67"/>
      <c r="U129" s="67"/>
      <c r="V129" s="69"/>
    </row>
    <row r="130" spans="2:22">
      <c r="B130" s="17" t="s">
        <v>2294</v>
      </c>
      <c r="C130" s="3">
        <v>33585</v>
      </c>
      <c r="D130" s="18" t="s">
        <v>1596</v>
      </c>
      <c r="E130" s="18" t="s">
        <v>1644</v>
      </c>
      <c r="F130" s="2" t="s">
        <v>2444</v>
      </c>
      <c r="G130" s="3" t="s">
        <v>2671</v>
      </c>
      <c r="H130" s="4" t="s">
        <v>2485</v>
      </c>
      <c r="I130" s="4" t="s">
        <v>132</v>
      </c>
      <c r="J130" s="23" t="s">
        <v>2636</v>
      </c>
      <c r="K130" s="66"/>
      <c r="L130" s="67"/>
      <c r="M130" s="67"/>
      <c r="N130" s="67"/>
      <c r="O130" s="67"/>
      <c r="P130" s="67"/>
      <c r="Q130" s="67"/>
      <c r="R130" s="67"/>
      <c r="S130" s="67">
        <v>2</v>
      </c>
      <c r="T130" s="67"/>
      <c r="U130" s="67"/>
      <c r="V130" s="69"/>
    </row>
    <row r="131" spans="2:22">
      <c r="B131" s="17" t="s">
        <v>2294</v>
      </c>
      <c r="C131" s="3">
        <v>33585</v>
      </c>
      <c r="D131" s="18" t="s">
        <v>1596</v>
      </c>
      <c r="E131" s="18" t="s">
        <v>1644</v>
      </c>
      <c r="F131" s="2" t="s">
        <v>2445</v>
      </c>
      <c r="G131" s="3" t="s">
        <v>2671</v>
      </c>
      <c r="H131" s="4" t="s">
        <v>2485</v>
      </c>
      <c r="I131" s="4" t="s">
        <v>2600</v>
      </c>
      <c r="J131" s="23" t="s">
        <v>2637</v>
      </c>
      <c r="K131" s="66"/>
      <c r="L131" s="67"/>
      <c r="M131" s="67"/>
      <c r="N131" s="67"/>
      <c r="O131" s="67"/>
      <c r="P131" s="67"/>
      <c r="Q131" s="67"/>
      <c r="R131" s="67"/>
      <c r="S131" s="67">
        <v>1</v>
      </c>
      <c r="T131" s="67"/>
      <c r="U131" s="67"/>
      <c r="V131" s="69"/>
    </row>
    <row r="132" spans="2:22">
      <c r="B132" s="17" t="s">
        <v>2294</v>
      </c>
      <c r="C132" s="3">
        <v>33609</v>
      </c>
      <c r="D132" s="18" t="s">
        <v>1507</v>
      </c>
      <c r="E132" s="18" t="s">
        <v>1568</v>
      </c>
      <c r="F132" s="2" t="s">
        <v>2446</v>
      </c>
      <c r="G132" s="3" t="s">
        <v>2671</v>
      </c>
      <c r="H132" s="4" t="s">
        <v>2485</v>
      </c>
      <c r="I132" s="4" t="s">
        <v>2512</v>
      </c>
      <c r="J132" s="23" t="s">
        <v>2638</v>
      </c>
      <c r="K132" s="66"/>
      <c r="L132" s="67"/>
      <c r="M132" s="67"/>
      <c r="N132" s="67"/>
      <c r="O132" s="67"/>
      <c r="P132" s="67"/>
      <c r="Q132" s="67"/>
      <c r="R132" s="67"/>
      <c r="S132" s="67">
        <v>1</v>
      </c>
      <c r="T132" s="67">
        <v>5</v>
      </c>
      <c r="U132" s="67"/>
      <c r="V132" s="69"/>
    </row>
    <row r="133" spans="2:22">
      <c r="B133" s="17" t="s">
        <v>2294</v>
      </c>
      <c r="C133" s="3">
        <v>33615</v>
      </c>
      <c r="D133" s="18" t="s">
        <v>1507</v>
      </c>
      <c r="E133" s="18" t="s">
        <v>1509</v>
      </c>
      <c r="F133" s="2" t="s">
        <v>2447</v>
      </c>
      <c r="G133" s="3" t="s">
        <v>2671</v>
      </c>
      <c r="H133" s="4" t="s">
        <v>2485</v>
      </c>
      <c r="I133" s="4" t="s">
        <v>2584</v>
      </c>
      <c r="J133" s="23" t="s">
        <v>2639</v>
      </c>
      <c r="K133" s="66"/>
      <c r="L133" s="67"/>
      <c r="M133" s="67"/>
      <c r="N133" s="67"/>
      <c r="O133" s="67"/>
      <c r="P133" s="67"/>
      <c r="Q133" s="67"/>
      <c r="R133" s="67"/>
      <c r="S133" s="67">
        <v>1</v>
      </c>
      <c r="T133" s="67"/>
      <c r="U133" s="67"/>
      <c r="V133" s="69"/>
    </row>
    <row r="134" spans="2:22">
      <c r="B134" s="17" t="s">
        <v>2294</v>
      </c>
      <c r="C134" s="3">
        <v>81896</v>
      </c>
      <c r="D134" s="18" t="s">
        <v>1507</v>
      </c>
      <c r="E134" s="18" t="s">
        <v>1521</v>
      </c>
      <c r="F134" s="2" t="s">
        <v>2448</v>
      </c>
      <c r="G134" s="3" t="s">
        <v>2671</v>
      </c>
      <c r="H134" s="4" t="s">
        <v>2485</v>
      </c>
      <c r="I134" s="4" t="s">
        <v>2512</v>
      </c>
      <c r="J134" s="23" t="s">
        <v>2640</v>
      </c>
      <c r="K134" s="66"/>
      <c r="L134" s="67"/>
      <c r="M134" s="67"/>
      <c r="N134" s="67"/>
      <c r="O134" s="67"/>
      <c r="P134" s="67"/>
      <c r="Q134" s="67"/>
      <c r="R134" s="67"/>
      <c r="S134" s="67">
        <v>1</v>
      </c>
      <c r="T134" s="67">
        <v>4</v>
      </c>
      <c r="U134" s="67">
        <v>5</v>
      </c>
      <c r="V134" s="69"/>
    </row>
    <row r="135" spans="2:22">
      <c r="B135" s="17" t="s">
        <v>2294</v>
      </c>
      <c r="C135" s="3">
        <v>33840</v>
      </c>
      <c r="D135" s="18" t="s">
        <v>1507</v>
      </c>
      <c r="E135" s="18" t="s">
        <v>1553</v>
      </c>
      <c r="F135" s="2" t="s">
        <v>2449</v>
      </c>
      <c r="G135" s="3" t="s">
        <v>2675</v>
      </c>
      <c r="H135" s="4" t="s">
        <v>2485</v>
      </c>
      <c r="I135" s="4" t="s">
        <v>2497</v>
      </c>
      <c r="J135" s="23" t="s">
        <v>2641</v>
      </c>
      <c r="K135" s="66"/>
      <c r="L135" s="67"/>
      <c r="M135" s="67"/>
      <c r="N135" s="67"/>
      <c r="O135" s="67"/>
      <c r="P135" s="67"/>
      <c r="Q135" s="67"/>
      <c r="R135" s="67"/>
      <c r="S135" s="67"/>
      <c r="T135" s="67">
        <v>5</v>
      </c>
      <c r="U135" s="67"/>
      <c r="V135" s="69"/>
    </row>
    <row r="136" spans="2:22">
      <c r="B136" s="17" t="s">
        <v>2294</v>
      </c>
      <c r="C136" s="3">
        <v>33845</v>
      </c>
      <c r="D136" s="18" t="s">
        <v>1596</v>
      </c>
      <c r="E136" s="18" t="s">
        <v>1607</v>
      </c>
      <c r="F136" s="2" t="s">
        <v>2450</v>
      </c>
      <c r="G136" s="3" t="s">
        <v>2675</v>
      </c>
      <c r="H136" s="4" t="s">
        <v>2642</v>
      </c>
      <c r="I136" s="4" t="s">
        <v>2510</v>
      </c>
      <c r="J136" s="23" t="s">
        <v>2643</v>
      </c>
      <c r="K136" s="66"/>
      <c r="L136" s="67"/>
      <c r="M136" s="67"/>
      <c r="N136" s="67"/>
      <c r="O136" s="67"/>
      <c r="P136" s="67"/>
      <c r="Q136" s="67"/>
      <c r="R136" s="67"/>
      <c r="S136" s="67"/>
      <c r="T136" s="67">
        <v>5</v>
      </c>
      <c r="U136" s="67"/>
      <c r="V136" s="69"/>
    </row>
    <row r="137" spans="2:22">
      <c r="B137" s="17" t="s">
        <v>2294</v>
      </c>
      <c r="C137" s="3">
        <v>33598</v>
      </c>
      <c r="D137" s="18" t="s">
        <v>1507</v>
      </c>
      <c r="E137" s="18" t="s">
        <v>1548</v>
      </c>
      <c r="F137" s="2" t="s">
        <v>2451</v>
      </c>
      <c r="G137" s="3" t="s">
        <v>2673</v>
      </c>
      <c r="H137" s="4" t="s">
        <v>2644</v>
      </c>
      <c r="I137" s="4" t="s">
        <v>119</v>
      </c>
      <c r="J137" s="23" t="s">
        <v>2645</v>
      </c>
      <c r="K137" s="66"/>
      <c r="L137" s="67"/>
      <c r="M137" s="67"/>
      <c r="N137" s="67"/>
      <c r="O137" s="67"/>
      <c r="P137" s="67"/>
      <c r="Q137" s="67"/>
      <c r="R137" s="67"/>
      <c r="S137" s="67"/>
      <c r="T137" s="67">
        <v>2</v>
      </c>
      <c r="U137" s="67"/>
      <c r="V137" s="69"/>
    </row>
    <row r="138" spans="2:22">
      <c r="B138" s="17" t="s">
        <v>2294</v>
      </c>
      <c r="C138" s="3">
        <v>33587</v>
      </c>
      <c r="D138" s="18" t="s">
        <v>1596</v>
      </c>
      <c r="E138" s="18" t="s">
        <v>1598</v>
      </c>
      <c r="F138" s="2" t="s">
        <v>2452</v>
      </c>
      <c r="G138" s="3" t="s">
        <v>2673</v>
      </c>
      <c r="H138" s="4" t="s">
        <v>2644</v>
      </c>
      <c r="I138" s="4" t="s">
        <v>878</v>
      </c>
      <c r="J138" s="23" t="s">
        <v>2646</v>
      </c>
      <c r="K138" s="66"/>
      <c r="L138" s="67"/>
      <c r="M138" s="67"/>
      <c r="N138" s="67"/>
      <c r="O138" s="67"/>
      <c r="P138" s="67"/>
      <c r="Q138" s="67"/>
      <c r="R138" s="67"/>
      <c r="S138" s="67"/>
      <c r="T138" s="67">
        <v>5</v>
      </c>
      <c r="U138" s="67">
        <v>3</v>
      </c>
      <c r="V138" s="69"/>
    </row>
    <row r="139" spans="2:22">
      <c r="B139" s="17" t="s">
        <v>2294</v>
      </c>
      <c r="C139" s="3">
        <v>33638</v>
      </c>
      <c r="D139" s="18" t="s">
        <v>1596</v>
      </c>
      <c r="E139" s="18" t="s">
        <v>1606</v>
      </c>
      <c r="F139" s="2" t="s">
        <v>2453</v>
      </c>
      <c r="G139" s="3" t="s">
        <v>2673</v>
      </c>
      <c r="H139" s="4" t="s">
        <v>2644</v>
      </c>
      <c r="I139" s="4" t="s">
        <v>119</v>
      </c>
      <c r="J139" s="23" t="s">
        <v>2647</v>
      </c>
      <c r="K139" s="66"/>
      <c r="L139" s="67"/>
      <c r="M139" s="67"/>
      <c r="N139" s="67"/>
      <c r="O139" s="67"/>
      <c r="P139" s="67"/>
      <c r="Q139" s="67"/>
      <c r="R139" s="67"/>
      <c r="S139" s="67"/>
      <c r="T139" s="67">
        <v>2</v>
      </c>
      <c r="U139" s="67"/>
      <c r="V139" s="69"/>
    </row>
    <row r="140" spans="2:22">
      <c r="B140" s="17" t="s">
        <v>2294</v>
      </c>
      <c r="C140" s="3">
        <v>33602</v>
      </c>
      <c r="D140" s="18" t="s">
        <v>1507</v>
      </c>
      <c r="E140" s="18" t="s">
        <v>1572</v>
      </c>
      <c r="F140" s="2" t="s">
        <v>2454</v>
      </c>
      <c r="G140" s="3" t="s">
        <v>2671</v>
      </c>
      <c r="H140" s="4" t="s">
        <v>2485</v>
      </c>
      <c r="I140" s="4" t="s">
        <v>2543</v>
      </c>
      <c r="J140" s="23" t="s">
        <v>2648</v>
      </c>
      <c r="K140" s="66"/>
      <c r="L140" s="67"/>
      <c r="M140" s="67"/>
      <c r="N140" s="67"/>
      <c r="O140" s="67"/>
      <c r="P140" s="67"/>
      <c r="Q140" s="67"/>
      <c r="R140" s="67"/>
      <c r="S140" s="67"/>
      <c r="T140" s="67">
        <v>5</v>
      </c>
      <c r="U140" s="67">
        <v>7</v>
      </c>
      <c r="V140" s="69"/>
    </row>
    <row r="141" spans="2:22">
      <c r="B141" s="17" t="s">
        <v>2294</v>
      </c>
      <c r="C141" s="3">
        <v>33602</v>
      </c>
      <c r="D141" s="18" t="s">
        <v>1507</v>
      </c>
      <c r="E141" s="18" t="s">
        <v>1572</v>
      </c>
      <c r="F141" s="2" t="s">
        <v>2455</v>
      </c>
      <c r="G141" s="3" t="s">
        <v>2671</v>
      </c>
      <c r="H141" s="4" t="s">
        <v>2642</v>
      </c>
      <c r="I141" s="4" t="s">
        <v>2512</v>
      </c>
      <c r="J141" s="23" t="s">
        <v>2649</v>
      </c>
      <c r="K141" s="66"/>
      <c r="L141" s="67"/>
      <c r="M141" s="67"/>
      <c r="N141" s="67"/>
      <c r="O141" s="67"/>
      <c r="P141" s="67"/>
      <c r="Q141" s="67"/>
      <c r="R141" s="67"/>
      <c r="S141" s="67"/>
      <c r="T141" s="67">
        <v>2</v>
      </c>
      <c r="U141" s="67">
        <v>3</v>
      </c>
      <c r="V141" s="69"/>
    </row>
    <row r="142" spans="2:22">
      <c r="B142" s="17" t="s">
        <v>2294</v>
      </c>
      <c r="C142" s="3">
        <v>33587</v>
      </c>
      <c r="D142" s="18" t="s">
        <v>1596</v>
      </c>
      <c r="E142" s="18" t="s">
        <v>1598</v>
      </c>
      <c r="F142" s="2" t="s">
        <v>2456</v>
      </c>
      <c r="G142" s="3" t="s">
        <v>2675</v>
      </c>
      <c r="H142" s="4" t="s">
        <v>2485</v>
      </c>
      <c r="I142" s="4" t="s">
        <v>2497</v>
      </c>
      <c r="J142" s="23" t="s">
        <v>2650</v>
      </c>
      <c r="K142" s="66"/>
      <c r="L142" s="67"/>
      <c r="M142" s="67"/>
      <c r="N142" s="67"/>
      <c r="O142" s="67"/>
      <c r="P142" s="67"/>
      <c r="Q142" s="67"/>
      <c r="R142" s="67"/>
      <c r="S142" s="67"/>
      <c r="T142" s="67">
        <v>2</v>
      </c>
      <c r="U142" s="67">
        <v>2</v>
      </c>
      <c r="V142" s="69"/>
    </row>
    <row r="143" spans="2:22">
      <c r="B143" s="17" t="s">
        <v>2294</v>
      </c>
      <c r="C143" s="3">
        <v>33800</v>
      </c>
      <c r="D143" s="18" t="s">
        <v>1596</v>
      </c>
      <c r="E143" s="18" t="s">
        <v>1635</v>
      </c>
      <c r="F143" s="2" t="s">
        <v>2457</v>
      </c>
      <c r="G143" s="3" t="s">
        <v>2674</v>
      </c>
      <c r="H143" s="4" t="s">
        <v>2488</v>
      </c>
      <c r="I143" s="4" t="s">
        <v>2651</v>
      </c>
      <c r="J143" s="23" t="s">
        <v>2652</v>
      </c>
      <c r="K143" s="66"/>
      <c r="L143" s="67"/>
      <c r="M143" s="67"/>
      <c r="N143" s="67"/>
      <c r="O143" s="67"/>
      <c r="P143" s="67"/>
      <c r="Q143" s="67"/>
      <c r="R143" s="67"/>
      <c r="S143" s="67"/>
      <c r="T143" s="67">
        <v>5</v>
      </c>
      <c r="U143" s="67"/>
      <c r="V143" s="69"/>
    </row>
    <row r="144" spans="2:22">
      <c r="B144" s="17" t="s">
        <v>2294</v>
      </c>
      <c r="C144" s="3">
        <v>33822</v>
      </c>
      <c r="D144" s="18" t="s">
        <v>1596</v>
      </c>
      <c r="E144" s="18" t="s">
        <v>1603</v>
      </c>
      <c r="F144" s="2" t="s">
        <v>2458</v>
      </c>
      <c r="G144" s="3" t="s">
        <v>2671</v>
      </c>
      <c r="H144" s="4" t="s">
        <v>2485</v>
      </c>
      <c r="I144" s="4" t="s">
        <v>2512</v>
      </c>
      <c r="J144" s="23" t="s">
        <v>2653</v>
      </c>
      <c r="K144" s="66"/>
      <c r="L144" s="67"/>
      <c r="M144" s="67"/>
      <c r="N144" s="67"/>
      <c r="O144" s="67"/>
      <c r="P144" s="67"/>
      <c r="Q144" s="67"/>
      <c r="R144" s="67"/>
      <c r="S144" s="67"/>
      <c r="T144" s="67">
        <v>1</v>
      </c>
      <c r="U144" s="67"/>
      <c r="V144" s="69"/>
    </row>
    <row r="145" spans="2:22">
      <c r="B145" s="17" t="s">
        <v>2294</v>
      </c>
      <c r="C145" s="3">
        <v>33587</v>
      </c>
      <c r="D145" s="18" t="s">
        <v>1596</v>
      </c>
      <c r="E145" s="18" t="s">
        <v>1598</v>
      </c>
      <c r="F145" s="2" t="s">
        <v>2459</v>
      </c>
      <c r="G145" s="3" t="s">
        <v>2674</v>
      </c>
      <c r="H145" s="4" t="s">
        <v>2488</v>
      </c>
      <c r="I145" s="4" t="s">
        <v>2651</v>
      </c>
      <c r="J145" s="23" t="s">
        <v>2654</v>
      </c>
      <c r="K145" s="66"/>
      <c r="L145" s="67"/>
      <c r="M145" s="67"/>
      <c r="N145" s="67"/>
      <c r="O145" s="67"/>
      <c r="P145" s="67"/>
      <c r="Q145" s="67"/>
      <c r="R145" s="67"/>
      <c r="S145" s="67"/>
      <c r="T145" s="67">
        <v>2</v>
      </c>
      <c r="U145" s="67">
        <v>2</v>
      </c>
      <c r="V145" s="69"/>
    </row>
    <row r="146" spans="2:22">
      <c r="B146" s="17" t="s">
        <v>2294</v>
      </c>
      <c r="C146" s="3">
        <v>33825</v>
      </c>
      <c r="D146" s="18" t="s">
        <v>1596</v>
      </c>
      <c r="E146" s="18" t="s">
        <v>1602</v>
      </c>
      <c r="F146" s="2" t="s">
        <v>2460</v>
      </c>
      <c r="G146" s="3" t="s">
        <v>2674</v>
      </c>
      <c r="H146" s="4" t="s">
        <v>2488</v>
      </c>
      <c r="I146" s="4" t="s">
        <v>2655</v>
      </c>
      <c r="J146" s="23" t="s">
        <v>2656</v>
      </c>
      <c r="K146" s="66"/>
      <c r="L146" s="67"/>
      <c r="M146" s="67"/>
      <c r="N146" s="67"/>
      <c r="O146" s="67"/>
      <c r="P146" s="67"/>
      <c r="Q146" s="67"/>
      <c r="R146" s="67"/>
      <c r="S146" s="67"/>
      <c r="T146" s="67">
        <v>5</v>
      </c>
      <c r="U146" s="67"/>
      <c r="V146" s="69"/>
    </row>
    <row r="147" spans="2:22">
      <c r="B147" s="17" t="s">
        <v>2294</v>
      </c>
      <c r="C147" s="3">
        <v>33634</v>
      </c>
      <c r="D147" s="18" t="s">
        <v>1507</v>
      </c>
      <c r="E147" s="18" t="s">
        <v>1513</v>
      </c>
      <c r="F147" s="2" t="s">
        <v>2461</v>
      </c>
      <c r="G147" s="3" t="s">
        <v>2671</v>
      </c>
      <c r="H147" s="4" t="s">
        <v>2610</v>
      </c>
      <c r="I147" s="4" t="s">
        <v>2543</v>
      </c>
      <c r="J147" s="23" t="s">
        <v>2657</v>
      </c>
      <c r="K147" s="66"/>
      <c r="L147" s="67"/>
      <c r="M147" s="67"/>
      <c r="N147" s="67"/>
      <c r="O147" s="67"/>
      <c r="P147" s="67"/>
      <c r="Q147" s="67"/>
      <c r="R147" s="67"/>
      <c r="S147" s="67"/>
      <c r="T147" s="67">
        <v>1</v>
      </c>
      <c r="U147" s="67"/>
      <c r="V147" s="69"/>
    </row>
    <row r="148" spans="2:22">
      <c r="B148" s="17" t="s">
        <v>2294</v>
      </c>
      <c r="C148" s="3">
        <v>33634</v>
      </c>
      <c r="D148" s="18" t="s">
        <v>1507</v>
      </c>
      <c r="E148" s="18" t="s">
        <v>1513</v>
      </c>
      <c r="F148" s="2" t="s">
        <v>2462</v>
      </c>
      <c r="G148" s="3" t="s">
        <v>2671</v>
      </c>
      <c r="H148" s="4" t="s">
        <v>2610</v>
      </c>
      <c r="I148" s="4" t="s">
        <v>2512</v>
      </c>
      <c r="J148" s="23" t="s">
        <v>2658</v>
      </c>
      <c r="K148" s="66"/>
      <c r="L148" s="67"/>
      <c r="M148" s="67"/>
      <c r="N148" s="67"/>
      <c r="O148" s="67"/>
      <c r="P148" s="67"/>
      <c r="Q148" s="67"/>
      <c r="R148" s="67"/>
      <c r="S148" s="67"/>
      <c r="T148" s="67">
        <v>1</v>
      </c>
      <c r="U148" s="67"/>
      <c r="V148" s="69"/>
    </row>
    <row r="149" spans="2:22">
      <c r="B149" s="17" t="s">
        <v>2294</v>
      </c>
      <c r="C149" s="3">
        <v>33634</v>
      </c>
      <c r="D149" s="18" t="s">
        <v>1507</v>
      </c>
      <c r="E149" s="18" t="s">
        <v>1513</v>
      </c>
      <c r="F149" s="2" t="s">
        <v>2463</v>
      </c>
      <c r="G149" s="3" t="s">
        <v>2671</v>
      </c>
      <c r="H149" s="4" t="s">
        <v>2610</v>
      </c>
      <c r="I149" s="4" t="s">
        <v>2543</v>
      </c>
      <c r="J149" s="23" t="s">
        <v>2659</v>
      </c>
      <c r="K149" s="66"/>
      <c r="L149" s="67"/>
      <c r="M149" s="67"/>
      <c r="N149" s="67"/>
      <c r="O149" s="67"/>
      <c r="P149" s="67"/>
      <c r="Q149" s="67"/>
      <c r="R149" s="67"/>
      <c r="S149" s="67"/>
      <c r="T149" s="67">
        <v>1</v>
      </c>
      <c r="U149" s="67"/>
      <c r="V149" s="69"/>
    </row>
    <row r="150" spans="2:22">
      <c r="B150" s="17" t="s">
        <v>2294</v>
      </c>
      <c r="C150" s="3">
        <v>33598</v>
      </c>
      <c r="D150" s="18" t="s">
        <v>1507</v>
      </c>
      <c r="E150" s="18" t="s">
        <v>1548</v>
      </c>
      <c r="F150" s="2" t="s">
        <v>2464</v>
      </c>
      <c r="G150" s="3" t="s">
        <v>2671</v>
      </c>
      <c r="H150" s="4" t="s">
        <v>2610</v>
      </c>
      <c r="I150" s="4" t="s">
        <v>2543</v>
      </c>
      <c r="J150" s="23" t="s">
        <v>2660</v>
      </c>
      <c r="K150" s="66"/>
      <c r="L150" s="67"/>
      <c r="M150" s="67"/>
      <c r="N150" s="67"/>
      <c r="O150" s="67"/>
      <c r="P150" s="67"/>
      <c r="Q150" s="67"/>
      <c r="R150" s="67"/>
      <c r="S150" s="67"/>
      <c r="T150" s="67">
        <v>2</v>
      </c>
      <c r="U150" s="67"/>
      <c r="V150" s="69"/>
    </row>
    <row r="151" spans="2:22">
      <c r="B151" s="17" t="s">
        <v>2294</v>
      </c>
      <c r="C151" s="3">
        <v>33598</v>
      </c>
      <c r="D151" s="18" t="s">
        <v>1507</v>
      </c>
      <c r="E151" s="18" t="s">
        <v>1548</v>
      </c>
      <c r="F151" s="2" t="s">
        <v>2465</v>
      </c>
      <c r="G151" s="3" t="s">
        <v>2671</v>
      </c>
      <c r="H151" s="4" t="s">
        <v>2610</v>
      </c>
      <c r="I151" s="4" t="s">
        <v>2543</v>
      </c>
      <c r="J151" s="23" t="s">
        <v>2661</v>
      </c>
      <c r="K151" s="66"/>
      <c r="L151" s="67"/>
      <c r="M151" s="67"/>
      <c r="N151" s="67"/>
      <c r="O151" s="67"/>
      <c r="P151" s="67"/>
      <c r="Q151" s="67"/>
      <c r="R151" s="67"/>
      <c r="S151" s="67"/>
      <c r="T151" s="67">
        <v>6</v>
      </c>
      <c r="U151" s="67">
        <v>4</v>
      </c>
      <c r="V151" s="69"/>
    </row>
    <row r="152" spans="2:22">
      <c r="B152" s="17" t="s">
        <v>2294</v>
      </c>
      <c r="C152" s="3">
        <v>33648</v>
      </c>
      <c r="D152" s="18" t="s">
        <v>1507</v>
      </c>
      <c r="E152" s="18" t="s">
        <v>1575</v>
      </c>
      <c r="F152" s="2" t="s">
        <v>2466</v>
      </c>
      <c r="G152" s="3" t="s">
        <v>2675</v>
      </c>
      <c r="H152" s="4" t="s">
        <v>2610</v>
      </c>
      <c r="I152" s="4" t="s">
        <v>2519</v>
      </c>
      <c r="J152" s="23" t="s">
        <v>2662</v>
      </c>
      <c r="K152" s="66"/>
      <c r="L152" s="67"/>
      <c r="M152" s="67"/>
      <c r="N152" s="67"/>
      <c r="O152" s="67"/>
      <c r="P152" s="67"/>
      <c r="Q152" s="67"/>
      <c r="R152" s="67"/>
      <c r="S152" s="67"/>
      <c r="T152" s="67">
        <v>2</v>
      </c>
      <c r="U152" s="67"/>
      <c r="V152" s="69"/>
    </row>
    <row r="153" spans="2:22">
      <c r="B153" s="17" t="s">
        <v>2294</v>
      </c>
      <c r="C153" s="3">
        <v>33840</v>
      </c>
      <c r="D153" s="18" t="s">
        <v>1507</v>
      </c>
      <c r="E153" s="18" t="s">
        <v>1553</v>
      </c>
      <c r="F153" s="2" t="s">
        <v>2467</v>
      </c>
      <c r="G153" s="3" t="s">
        <v>2671</v>
      </c>
      <c r="H153" s="4" t="s">
        <v>2485</v>
      </c>
      <c r="I153" s="4" t="s">
        <v>2600</v>
      </c>
      <c r="J153" s="23" t="s">
        <v>2663</v>
      </c>
      <c r="K153" s="66"/>
      <c r="L153" s="67"/>
      <c r="M153" s="67"/>
      <c r="N153" s="67"/>
      <c r="O153" s="67"/>
      <c r="P153" s="67"/>
      <c r="Q153" s="67"/>
      <c r="R153" s="67"/>
      <c r="S153" s="67"/>
      <c r="T153" s="67">
        <v>2</v>
      </c>
      <c r="U153" s="67"/>
      <c r="V153" s="69"/>
    </row>
    <row r="154" spans="2:22">
      <c r="B154" s="17" t="s">
        <v>2294</v>
      </c>
      <c r="C154" s="3">
        <v>33870</v>
      </c>
      <c r="D154" s="18" t="s">
        <v>1507</v>
      </c>
      <c r="E154" s="18" t="s">
        <v>1549</v>
      </c>
      <c r="F154" s="2" t="s">
        <v>2468</v>
      </c>
      <c r="G154" s="3" t="s">
        <v>2671</v>
      </c>
      <c r="H154" s="4" t="s">
        <v>2485</v>
      </c>
      <c r="I154" s="4" t="s">
        <v>2543</v>
      </c>
      <c r="J154" s="23" t="s">
        <v>2664</v>
      </c>
      <c r="K154" s="66"/>
      <c r="L154" s="67"/>
      <c r="M154" s="67"/>
      <c r="N154" s="67"/>
      <c r="O154" s="67"/>
      <c r="P154" s="67"/>
      <c r="Q154" s="67"/>
      <c r="R154" s="67"/>
      <c r="S154" s="67"/>
      <c r="T154" s="67">
        <v>5</v>
      </c>
      <c r="U154" s="67"/>
      <c r="V154" s="69"/>
    </row>
    <row r="155" spans="2:22">
      <c r="B155" s="17" t="s">
        <v>2294</v>
      </c>
      <c r="C155" s="3">
        <v>33602</v>
      </c>
      <c r="D155" s="18" t="s">
        <v>1507</v>
      </c>
      <c r="E155" s="18" t="s">
        <v>1572</v>
      </c>
      <c r="F155" s="2" t="s">
        <v>2469</v>
      </c>
      <c r="G155" s="3" t="s">
        <v>2675</v>
      </c>
      <c r="H155" s="4" t="s">
        <v>2485</v>
      </c>
      <c r="I155" s="4" t="s">
        <v>2665</v>
      </c>
      <c r="J155" s="23" t="s">
        <v>2666</v>
      </c>
      <c r="K155" s="66"/>
      <c r="L155" s="67"/>
      <c r="M155" s="67"/>
      <c r="N155" s="67"/>
      <c r="O155" s="67"/>
      <c r="P155" s="67"/>
      <c r="Q155" s="67"/>
      <c r="R155" s="67"/>
      <c r="S155" s="67"/>
      <c r="T155" s="67"/>
      <c r="U155" s="67">
        <v>10</v>
      </c>
      <c r="V155" s="69"/>
    </row>
    <row r="156" spans="2:22">
      <c r="B156" s="17" t="s">
        <v>2294</v>
      </c>
      <c r="C156" s="3">
        <v>33640</v>
      </c>
      <c r="D156" s="18" t="s">
        <v>1596</v>
      </c>
      <c r="E156" s="18" t="s">
        <v>1643</v>
      </c>
      <c r="F156" s="2" t="s">
        <v>2470</v>
      </c>
      <c r="G156" s="3" t="s">
        <v>2675</v>
      </c>
      <c r="H156" s="4" t="s">
        <v>2485</v>
      </c>
      <c r="I156" s="4" t="s">
        <v>2510</v>
      </c>
      <c r="J156" s="23" t="s">
        <v>2667</v>
      </c>
      <c r="K156" s="66"/>
      <c r="L156" s="67"/>
      <c r="M156" s="67"/>
      <c r="N156" s="67"/>
      <c r="O156" s="67"/>
      <c r="P156" s="67"/>
      <c r="Q156" s="67"/>
      <c r="R156" s="67"/>
      <c r="S156" s="67"/>
      <c r="T156" s="67"/>
      <c r="U156" s="67">
        <v>2</v>
      </c>
      <c r="V156" s="69"/>
    </row>
    <row r="157" spans="2:22">
      <c r="B157" s="17" t="s">
        <v>2294</v>
      </c>
      <c r="C157" s="3">
        <v>33822</v>
      </c>
      <c r="D157" s="18" t="s">
        <v>1596</v>
      </c>
      <c r="E157" s="18" t="s">
        <v>1603</v>
      </c>
      <c r="F157" s="2" t="s">
        <v>2458</v>
      </c>
      <c r="G157" s="3" t="s">
        <v>2671</v>
      </c>
      <c r="H157" s="4" t="s">
        <v>2485</v>
      </c>
      <c r="I157" s="4" t="s">
        <v>2512</v>
      </c>
      <c r="J157" s="23" t="s">
        <v>2653</v>
      </c>
      <c r="K157" s="66"/>
      <c r="L157" s="67"/>
      <c r="M157" s="67"/>
      <c r="N157" s="67"/>
      <c r="O157" s="67"/>
      <c r="P157" s="67"/>
      <c r="Q157" s="67"/>
      <c r="R157" s="67"/>
      <c r="S157" s="67"/>
      <c r="T157" s="67"/>
      <c r="U157" s="67">
        <v>1</v>
      </c>
      <c r="V157" s="69"/>
    </row>
    <row r="158" spans="2:22">
      <c r="B158" s="17" t="s">
        <v>2294</v>
      </c>
      <c r="C158" s="3">
        <v>33654</v>
      </c>
      <c r="D158" s="18" t="s">
        <v>1596</v>
      </c>
      <c r="E158" s="18" t="s">
        <v>1605</v>
      </c>
      <c r="F158" s="2" t="s">
        <v>2471</v>
      </c>
      <c r="G158" s="3" t="s">
        <v>2675</v>
      </c>
      <c r="H158" s="4" t="s">
        <v>2485</v>
      </c>
      <c r="I158" s="4" t="s">
        <v>119</v>
      </c>
      <c r="J158" s="23" t="s">
        <v>2668</v>
      </c>
      <c r="K158" s="66"/>
      <c r="L158" s="67"/>
      <c r="M158" s="67"/>
      <c r="N158" s="67"/>
      <c r="O158" s="67"/>
      <c r="P158" s="67"/>
      <c r="Q158" s="67"/>
      <c r="R158" s="67"/>
      <c r="S158" s="67"/>
      <c r="T158" s="67"/>
      <c r="U158" s="67">
        <v>10</v>
      </c>
      <c r="V158" s="69"/>
    </row>
    <row r="159" spans="2:22">
      <c r="B159" s="17" t="s">
        <v>2294</v>
      </c>
      <c r="C159" s="3">
        <v>33619</v>
      </c>
      <c r="D159" s="18" t="s">
        <v>1596</v>
      </c>
      <c r="E159" s="18" t="s">
        <v>1600</v>
      </c>
      <c r="F159" s="2" t="s">
        <v>2472</v>
      </c>
      <c r="G159" s="3" t="s">
        <v>2671</v>
      </c>
      <c r="H159" s="4" t="s">
        <v>2610</v>
      </c>
      <c r="I159" s="4" t="s">
        <v>2486</v>
      </c>
      <c r="J159" s="23" t="s">
        <v>2669</v>
      </c>
      <c r="K159" s="66"/>
      <c r="L159" s="67"/>
      <c r="M159" s="67"/>
      <c r="N159" s="67"/>
      <c r="O159" s="67"/>
      <c r="P159" s="67"/>
      <c r="Q159" s="67"/>
      <c r="R159" s="67"/>
      <c r="S159" s="67"/>
      <c r="T159" s="67"/>
      <c r="U159" s="67">
        <v>2</v>
      </c>
      <c r="V159" s="69"/>
    </row>
    <row r="160" spans="2:22">
      <c r="B160" s="17" t="s">
        <v>2294</v>
      </c>
      <c r="C160" s="3">
        <v>33619</v>
      </c>
      <c r="D160" s="18" t="s">
        <v>1596</v>
      </c>
      <c r="E160" s="18" t="s">
        <v>1600</v>
      </c>
      <c r="F160" s="2" t="s">
        <v>2472</v>
      </c>
      <c r="G160" s="3" t="s">
        <v>2671</v>
      </c>
      <c r="H160" s="4"/>
      <c r="I160" s="4"/>
      <c r="J160" s="23"/>
      <c r="K160" s="66"/>
      <c r="L160" s="67"/>
      <c r="M160" s="67"/>
      <c r="N160" s="67"/>
      <c r="O160" s="67"/>
      <c r="P160" s="67"/>
      <c r="Q160" s="67"/>
      <c r="R160" s="67"/>
      <c r="S160" s="67"/>
      <c r="T160" s="67"/>
      <c r="U160" s="67">
        <v>1</v>
      </c>
      <c r="V160" s="69"/>
    </row>
    <row r="161" spans="1:35">
      <c r="B161" s="17" t="s">
        <v>2294</v>
      </c>
      <c r="C161" s="3">
        <v>33645</v>
      </c>
      <c r="D161" s="18" t="s">
        <v>1507</v>
      </c>
      <c r="E161" s="18" t="s">
        <v>1541</v>
      </c>
      <c r="F161" s="2" t="s">
        <v>2473</v>
      </c>
      <c r="G161" s="3" t="s">
        <v>2675</v>
      </c>
      <c r="H161" s="4"/>
      <c r="I161" s="4"/>
      <c r="J161" s="23"/>
      <c r="K161" s="66"/>
      <c r="L161" s="67"/>
      <c r="M161" s="67"/>
      <c r="N161" s="67"/>
      <c r="O161" s="67"/>
      <c r="P161" s="67"/>
      <c r="Q161" s="67"/>
      <c r="R161" s="67"/>
      <c r="S161" s="67"/>
      <c r="T161" s="67"/>
      <c r="U161" s="67">
        <v>7</v>
      </c>
      <c r="V161" s="69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>
      <c r="B162" s="17" t="s">
        <v>2294</v>
      </c>
      <c r="C162" s="3">
        <v>33793</v>
      </c>
      <c r="D162" s="18" t="s">
        <v>1596</v>
      </c>
      <c r="E162" s="18" t="s">
        <v>1610</v>
      </c>
      <c r="F162" s="2" t="s">
        <v>2474</v>
      </c>
      <c r="G162" s="3" t="s">
        <v>2671</v>
      </c>
      <c r="H162" s="4"/>
      <c r="I162" s="4"/>
      <c r="J162" s="23"/>
      <c r="K162" s="66"/>
      <c r="L162" s="67"/>
      <c r="M162" s="67"/>
      <c r="N162" s="67"/>
      <c r="O162" s="67"/>
      <c r="P162" s="67"/>
      <c r="Q162" s="67"/>
      <c r="R162" s="67"/>
      <c r="S162" s="67"/>
      <c r="T162" s="67"/>
      <c r="U162" s="67">
        <v>2</v>
      </c>
      <c r="V162" s="69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>
      <c r="B163" s="17" t="s">
        <v>2294</v>
      </c>
      <c r="C163" s="3">
        <v>33636</v>
      </c>
      <c r="D163" s="18" t="s">
        <v>1507</v>
      </c>
      <c r="E163" s="18" t="s">
        <v>1578</v>
      </c>
      <c r="F163" s="2" t="s">
        <v>2475</v>
      </c>
      <c r="G163" s="3" t="s">
        <v>2671</v>
      </c>
      <c r="H163" s="4"/>
      <c r="I163" s="4"/>
      <c r="J163" s="23"/>
      <c r="K163" s="66"/>
      <c r="L163" s="67"/>
      <c r="M163" s="67"/>
      <c r="N163" s="67"/>
      <c r="O163" s="67"/>
      <c r="P163" s="67"/>
      <c r="Q163" s="67"/>
      <c r="R163" s="67"/>
      <c r="S163" s="67"/>
      <c r="T163" s="67"/>
      <c r="U163" s="67">
        <v>2</v>
      </c>
      <c r="V163" s="69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>
      <c r="B164" s="17" t="s">
        <v>2294</v>
      </c>
      <c r="C164" s="3">
        <v>33832</v>
      </c>
      <c r="D164" s="18" t="s">
        <v>1507</v>
      </c>
      <c r="E164" s="18" t="s">
        <v>1529</v>
      </c>
      <c r="F164" s="2" t="s">
        <v>2476</v>
      </c>
      <c r="G164" s="3" t="s">
        <v>2674</v>
      </c>
      <c r="H164" s="4"/>
      <c r="I164" s="4"/>
      <c r="J164" s="23"/>
      <c r="K164" s="66"/>
      <c r="L164" s="67"/>
      <c r="M164" s="67"/>
      <c r="N164" s="67"/>
      <c r="O164" s="67"/>
      <c r="P164" s="67"/>
      <c r="Q164" s="67"/>
      <c r="R164" s="67"/>
      <c r="S164" s="67"/>
      <c r="T164" s="67"/>
      <c r="U164" s="67">
        <v>4</v>
      </c>
      <c r="V164" s="69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>
      <c r="B165" s="17" t="s">
        <v>2294</v>
      </c>
      <c r="C165" s="3">
        <v>33832</v>
      </c>
      <c r="D165" s="18" t="s">
        <v>1507</v>
      </c>
      <c r="E165" s="18" t="s">
        <v>1529</v>
      </c>
      <c r="F165" s="2" t="s">
        <v>2477</v>
      </c>
      <c r="G165" s="3" t="s">
        <v>2674</v>
      </c>
      <c r="H165" s="4"/>
      <c r="I165" s="4"/>
      <c r="J165" s="23"/>
      <c r="K165" s="66"/>
      <c r="L165" s="67"/>
      <c r="M165" s="67"/>
      <c r="N165" s="67"/>
      <c r="O165" s="67"/>
      <c r="P165" s="67"/>
      <c r="Q165" s="67"/>
      <c r="R165" s="67"/>
      <c r="S165" s="67"/>
      <c r="T165" s="67"/>
      <c r="U165" s="67">
        <v>2</v>
      </c>
      <c r="V165" s="69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>
      <c r="B166" s="17" t="s">
        <v>2294</v>
      </c>
      <c r="C166" s="3">
        <v>33822</v>
      </c>
      <c r="D166" s="18" t="s">
        <v>1596</v>
      </c>
      <c r="E166" s="18" t="s">
        <v>1603</v>
      </c>
      <c r="F166" s="3" t="s">
        <v>2478</v>
      </c>
      <c r="G166" s="3" t="s">
        <v>2675</v>
      </c>
      <c r="H166" s="4"/>
      <c r="I166" s="4"/>
      <c r="J166" s="23"/>
      <c r="K166" s="66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68">
        <v>1</v>
      </c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s="55" customFormat="1">
      <c r="A167"/>
      <c r="B167" s="17" t="s">
        <v>2294</v>
      </c>
      <c r="C167" s="89">
        <v>33609</v>
      </c>
      <c r="D167" s="18" t="s">
        <v>1507</v>
      </c>
      <c r="E167" s="18" t="s">
        <v>1568</v>
      </c>
      <c r="F167" s="89" t="s">
        <v>3780</v>
      </c>
      <c r="G167" s="89" t="s">
        <v>2671</v>
      </c>
      <c r="H167" s="90" t="s">
        <v>2610</v>
      </c>
      <c r="I167" s="90" t="s">
        <v>2543</v>
      </c>
      <c r="J167" s="91" t="s">
        <v>3781</v>
      </c>
      <c r="K167" s="66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3"/>
      <c r="W167" s="94"/>
      <c r="X167" s="95"/>
      <c r="Y167" s="96">
        <v>5</v>
      </c>
      <c r="Z167" s="96">
        <v>5</v>
      </c>
      <c r="AA167" s="96"/>
      <c r="AB167" s="96"/>
      <c r="AC167" s="96"/>
      <c r="AD167" s="96"/>
      <c r="AE167" s="96"/>
      <c r="AF167" s="96"/>
      <c r="AG167" s="96"/>
      <c r="AH167" s="96"/>
      <c r="AI167" s="97"/>
    </row>
    <row r="168" spans="1:35" s="55" customFormat="1">
      <c r="A168"/>
      <c r="B168" s="17" t="s">
        <v>2294</v>
      </c>
      <c r="C168" s="89">
        <v>33654</v>
      </c>
      <c r="D168" s="18" t="s">
        <v>1596</v>
      </c>
      <c r="E168" s="18" t="s">
        <v>1605</v>
      </c>
      <c r="F168" s="89" t="s">
        <v>3782</v>
      </c>
      <c r="G168" s="89" t="s">
        <v>2671</v>
      </c>
      <c r="H168" s="90" t="s">
        <v>2610</v>
      </c>
      <c r="I168" s="90" t="s">
        <v>65</v>
      </c>
      <c r="J168" s="91" t="s">
        <v>3783</v>
      </c>
      <c r="K168" s="66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3"/>
      <c r="W168" s="94"/>
      <c r="X168" s="95"/>
      <c r="Y168" s="96">
        <v>3</v>
      </c>
      <c r="Z168" s="96"/>
      <c r="AA168" s="96"/>
      <c r="AB168" s="96"/>
      <c r="AC168" s="96"/>
      <c r="AD168" s="96"/>
      <c r="AE168" s="96"/>
      <c r="AF168" s="96"/>
      <c r="AG168" s="96"/>
      <c r="AH168" s="96"/>
      <c r="AI168" s="97"/>
    </row>
    <row r="169" spans="1:35" s="55" customFormat="1">
      <c r="A169"/>
      <c r="B169" s="17" t="s">
        <v>2294</v>
      </c>
      <c r="C169" s="89">
        <v>33625</v>
      </c>
      <c r="D169" s="18" t="s">
        <v>1507</v>
      </c>
      <c r="E169" s="18" t="s">
        <v>1524</v>
      </c>
      <c r="F169" s="89" t="s">
        <v>3784</v>
      </c>
      <c r="G169" s="89" t="s">
        <v>2671</v>
      </c>
      <c r="H169" s="90" t="s">
        <v>2610</v>
      </c>
      <c r="I169" s="90" t="s">
        <v>2486</v>
      </c>
      <c r="J169" s="91" t="s">
        <v>3785</v>
      </c>
      <c r="K169" s="66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3"/>
      <c r="W169" s="94"/>
      <c r="X169" s="95"/>
      <c r="Y169" s="96"/>
      <c r="Z169" s="96">
        <v>2</v>
      </c>
      <c r="AA169" s="96"/>
      <c r="AB169" s="96"/>
      <c r="AC169" s="96"/>
      <c r="AD169" s="96"/>
      <c r="AE169" s="96"/>
      <c r="AF169" s="96"/>
      <c r="AG169" s="96"/>
      <c r="AH169" s="96"/>
      <c r="AI169" s="97"/>
    </row>
    <row r="170" spans="1:35" s="55" customFormat="1">
      <c r="A170"/>
      <c r="B170" s="17" t="s">
        <v>2294</v>
      </c>
      <c r="C170" s="89">
        <v>33654</v>
      </c>
      <c r="D170" s="18" t="s">
        <v>1596</v>
      </c>
      <c r="E170" s="18" t="s">
        <v>1605</v>
      </c>
      <c r="F170" s="89" t="s">
        <v>3786</v>
      </c>
      <c r="G170" s="89" t="s">
        <v>2674</v>
      </c>
      <c r="H170" s="90" t="s">
        <v>2479</v>
      </c>
      <c r="I170" s="90" t="s">
        <v>2480</v>
      </c>
      <c r="J170" s="91" t="s">
        <v>3787</v>
      </c>
      <c r="K170" s="66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3"/>
      <c r="W170" s="94"/>
      <c r="X170" s="95"/>
      <c r="Y170" s="96">
        <v>3</v>
      </c>
      <c r="Z170" s="96"/>
      <c r="AA170" s="96"/>
      <c r="AB170" s="96"/>
      <c r="AC170" s="96"/>
      <c r="AD170" s="96"/>
      <c r="AE170" s="96"/>
      <c r="AF170" s="96"/>
      <c r="AG170" s="96"/>
      <c r="AH170" s="96"/>
      <c r="AI170" s="97"/>
    </row>
    <row r="171" spans="1:35" s="55" customFormat="1">
      <c r="A171"/>
      <c r="B171" s="17" t="s">
        <v>2294</v>
      </c>
      <c r="C171" s="89">
        <v>34727</v>
      </c>
      <c r="D171" s="18" t="s">
        <v>1596</v>
      </c>
      <c r="E171" s="18" t="s">
        <v>1614</v>
      </c>
      <c r="F171" s="89" t="s">
        <v>3788</v>
      </c>
      <c r="G171" s="89" t="s">
        <v>2674</v>
      </c>
      <c r="H171" s="90" t="s">
        <v>2479</v>
      </c>
      <c r="I171" s="90" t="s">
        <v>2482</v>
      </c>
      <c r="J171" s="91" t="s">
        <v>3789</v>
      </c>
      <c r="K171" s="66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3"/>
      <c r="W171" s="94"/>
      <c r="X171" s="95"/>
      <c r="Y171" s="96"/>
      <c r="Z171" s="96">
        <v>2</v>
      </c>
      <c r="AA171" s="96"/>
      <c r="AB171" s="96"/>
      <c r="AC171" s="96"/>
      <c r="AD171" s="96"/>
      <c r="AE171" s="96"/>
      <c r="AF171" s="96"/>
      <c r="AG171" s="96"/>
      <c r="AH171" s="96"/>
      <c r="AI171" s="97"/>
    </row>
    <row r="172" spans="1:35" s="55" customFormat="1">
      <c r="A172"/>
      <c r="B172" s="17" t="s">
        <v>2294</v>
      </c>
      <c r="C172" s="89">
        <v>33832</v>
      </c>
      <c r="D172" s="18" t="s">
        <v>1507</v>
      </c>
      <c r="E172" s="18" t="s">
        <v>1529</v>
      </c>
      <c r="F172" s="89" t="s">
        <v>3790</v>
      </c>
      <c r="G172" s="89" t="s">
        <v>2674</v>
      </c>
      <c r="H172" s="90" t="s">
        <v>2479</v>
      </c>
      <c r="I172" s="90" t="s">
        <v>2559</v>
      </c>
      <c r="J172" s="91" t="s">
        <v>3791</v>
      </c>
      <c r="K172" s="66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3"/>
      <c r="W172" s="94"/>
      <c r="X172" s="95"/>
      <c r="Y172" s="96"/>
      <c r="Z172" s="96">
        <v>5</v>
      </c>
      <c r="AA172" s="96"/>
      <c r="AB172" s="96"/>
      <c r="AC172" s="96"/>
      <c r="AD172" s="96"/>
      <c r="AE172" s="96"/>
      <c r="AF172" s="96"/>
      <c r="AG172" s="96"/>
      <c r="AH172" s="96"/>
      <c r="AI172" s="97"/>
    </row>
    <row r="173" spans="1:35" s="55" customFormat="1">
      <c r="A173"/>
      <c r="B173" s="17" t="s">
        <v>2294</v>
      </c>
      <c r="C173" s="89">
        <v>33832</v>
      </c>
      <c r="D173" s="18" t="s">
        <v>1507</v>
      </c>
      <c r="E173" s="18" t="s">
        <v>1529</v>
      </c>
      <c r="F173" s="89" t="s">
        <v>3792</v>
      </c>
      <c r="G173" s="89" t="s">
        <v>2674</v>
      </c>
      <c r="H173" s="90" t="s">
        <v>2479</v>
      </c>
      <c r="I173" s="90" t="s">
        <v>2559</v>
      </c>
      <c r="J173" s="91" t="s">
        <v>3793</v>
      </c>
      <c r="K173" s="66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3"/>
      <c r="W173" s="94"/>
      <c r="X173" s="95"/>
      <c r="Y173" s="96"/>
      <c r="Z173" s="96">
        <v>10</v>
      </c>
      <c r="AA173" s="96"/>
      <c r="AB173" s="96"/>
      <c r="AC173" s="96"/>
      <c r="AD173" s="96"/>
      <c r="AE173" s="96"/>
      <c r="AF173" s="96"/>
      <c r="AG173" s="96"/>
      <c r="AH173" s="96"/>
      <c r="AI173" s="97"/>
    </row>
    <row r="174" spans="1:35" s="55" customFormat="1">
      <c r="A174"/>
      <c r="B174" s="17" t="s">
        <v>2294</v>
      </c>
      <c r="C174" s="89">
        <v>33648</v>
      </c>
      <c r="D174" s="18" t="s">
        <v>1507</v>
      </c>
      <c r="E174" s="18" t="s">
        <v>1575</v>
      </c>
      <c r="F174" s="89" t="s">
        <v>3794</v>
      </c>
      <c r="G174" s="89" t="s">
        <v>2675</v>
      </c>
      <c r="H174" s="90" t="s">
        <v>2610</v>
      </c>
      <c r="I174" s="90" t="s">
        <v>119</v>
      </c>
      <c r="J174" s="91" t="s">
        <v>3795</v>
      </c>
      <c r="K174" s="66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3"/>
      <c r="W174" s="94"/>
      <c r="X174" s="95">
        <v>10</v>
      </c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7"/>
    </row>
    <row r="175" spans="1:35" s="55" customFormat="1">
      <c r="A175"/>
      <c r="B175" s="17" t="s">
        <v>2294</v>
      </c>
      <c r="C175" s="89">
        <v>33800</v>
      </c>
      <c r="D175" s="18" t="s">
        <v>1596</v>
      </c>
      <c r="E175" s="18" t="s">
        <v>1635</v>
      </c>
      <c r="F175" s="89" t="s">
        <v>3796</v>
      </c>
      <c r="G175" s="89" t="s">
        <v>2675</v>
      </c>
      <c r="H175" s="90" t="s">
        <v>2610</v>
      </c>
      <c r="I175" s="90" t="s">
        <v>119</v>
      </c>
      <c r="J175" s="91" t="s">
        <v>3797</v>
      </c>
      <c r="K175" s="66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3"/>
      <c r="W175" s="94"/>
      <c r="X175" s="95">
        <v>1</v>
      </c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7"/>
    </row>
    <row r="176" spans="1:35" s="55" customFormat="1">
      <c r="A176"/>
      <c r="B176" s="17" t="s">
        <v>2294</v>
      </c>
      <c r="C176" s="89">
        <v>33585</v>
      </c>
      <c r="D176" s="18" t="s">
        <v>1596</v>
      </c>
      <c r="E176" s="18" t="s">
        <v>1644</v>
      </c>
      <c r="F176" s="89" t="s">
        <v>3798</v>
      </c>
      <c r="G176" s="89" t="s">
        <v>2675</v>
      </c>
      <c r="H176" s="90" t="s">
        <v>2610</v>
      </c>
      <c r="I176" s="90" t="s">
        <v>878</v>
      </c>
      <c r="J176" s="91" t="s">
        <v>3799</v>
      </c>
      <c r="K176" s="66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3"/>
      <c r="W176" s="94"/>
      <c r="X176" s="95"/>
      <c r="Y176" s="96">
        <v>1</v>
      </c>
      <c r="Z176" s="96"/>
      <c r="AA176" s="96"/>
      <c r="AB176" s="96"/>
      <c r="AC176" s="96"/>
      <c r="AD176" s="96"/>
      <c r="AE176" s="96"/>
      <c r="AF176" s="96"/>
      <c r="AG176" s="96"/>
      <c r="AH176" s="96"/>
      <c r="AI176" s="97"/>
    </row>
    <row r="177" spans="1:35" s="55" customFormat="1">
      <c r="A177"/>
      <c r="B177" s="17" t="s">
        <v>2294</v>
      </c>
      <c r="C177" s="89">
        <v>33840</v>
      </c>
      <c r="D177" s="18" t="s">
        <v>1507</v>
      </c>
      <c r="E177" s="18" t="s">
        <v>1553</v>
      </c>
      <c r="F177" s="89" t="s">
        <v>3800</v>
      </c>
      <c r="G177" s="89" t="s">
        <v>2675</v>
      </c>
      <c r="H177" s="90" t="s">
        <v>2610</v>
      </c>
      <c r="I177" s="90" t="s">
        <v>878</v>
      </c>
      <c r="J177" s="91" t="s">
        <v>3801</v>
      </c>
      <c r="K177" s="66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3"/>
      <c r="W177" s="94"/>
      <c r="X177" s="95"/>
      <c r="Y177" s="96">
        <v>5</v>
      </c>
      <c r="Z177" s="96"/>
      <c r="AA177" s="96"/>
      <c r="AB177" s="96"/>
      <c r="AC177" s="96"/>
      <c r="AD177" s="96"/>
      <c r="AE177" s="96"/>
      <c r="AF177" s="96"/>
      <c r="AG177" s="96"/>
      <c r="AH177" s="96"/>
      <c r="AI177" s="97"/>
    </row>
    <row r="178" spans="1:35" s="55" customFormat="1">
      <c r="A178"/>
      <c r="B178" s="17" t="s">
        <v>2294</v>
      </c>
      <c r="C178" s="89">
        <v>33825</v>
      </c>
      <c r="D178" s="18" t="s">
        <v>1596</v>
      </c>
      <c r="E178" s="18" t="s">
        <v>1602</v>
      </c>
      <c r="F178" s="89" t="s">
        <v>3802</v>
      </c>
      <c r="G178" s="89" t="s">
        <v>2675</v>
      </c>
      <c r="H178" s="90" t="s">
        <v>2610</v>
      </c>
      <c r="I178" s="90" t="s">
        <v>2510</v>
      </c>
      <c r="J178" s="91" t="s">
        <v>3803</v>
      </c>
      <c r="K178" s="66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3"/>
      <c r="W178" s="94"/>
      <c r="X178" s="95"/>
      <c r="Y178" s="96">
        <v>1</v>
      </c>
      <c r="Z178" s="96"/>
      <c r="AA178" s="96"/>
      <c r="AB178" s="96"/>
      <c r="AC178" s="96"/>
      <c r="AD178" s="96"/>
      <c r="AE178" s="96"/>
      <c r="AF178" s="96"/>
      <c r="AG178" s="96"/>
      <c r="AH178" s="96"/>
      <c r="AI178" s="97"/>
    </row>
    <row r="179" spans="1:35" s="55" customFormat="1">
      <c r="A179"/>
      <c r="B179" s="17" t="s">
        <v>2294</v>
      </c>
      <c r="C179" s="89">
        <v>33605</v>
      </c>
      <c r="D179" s="18" t="s">
        <v>1596</v>
      </c>
      <c r="E179" s="18" t="s">
        <v>1622</v>
      </c>
      <c r="F179" s="89" t="s">
        <v>3804</v>
      </c>
      <c r="G179" s="89" t="s">
        <v>2675</v>
      </c>
      <c r="H179" s="90" t="s">
        <v>2610</v>
      </c>
      <c r="I179" s="90" t="s">
        <v>2497</v>
      </c>
      <c r="J179" s="91" t="s">
        <v>3805</v>
      </c>
      <c r="K179" s="66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3"/>
      <c r="W179" s="94"/>
      <c r="X179" s="95"/>
      <c r="Y179" s="96">
        <v>5</v>
      </c>
      <c r="Z179" s="96"/>
      <c r="AA179" s="96"/>
      <c r="AB179" s="96"/>
      <c r="AC179" s="96"/>
      <c r="AD179" s="96"/>
      <c r="AE179" s="96"/>
      <c r="AF179" s="96"/>
      <c r="AG179" s="96"/>
      <c r="AH179" s="96"/>
      <c r="AI179" s="97"/>
    </row>
    <row r="180" spans="1:35" s="55" customFormat="1">
      <c r="A180"/>
      <c r="B180" s="17" t="s">
        <v>2294</v>
      </c>
      <c r="C180" s="89">
        <v>33612</v>
      </c>
      <c r="D180" s="18" t="s">
        <v>1507</v>
      </c>
      <c r="E180" s="18" t="s">
        <v>1552</v>
      </c>
      <c r="F180" s="89" t="s">
        <v>3806</v>
      </c>
      <c r="G180" s="89" t="s">
        <v>2675</v>
      </c>
      <c r="H180" s="90" t="s">
        <v>2610</v>
      </c>
      <c r="I180" s="90" t="s">
        <v>2510</v>
      </c>
      <c r="J180" s="91" t="s">
        <v>3807</v>
      </c>
      <c r="K180" s="66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3"/>
      <c r="W180" s="94"/>
      <c r="X180" s="95"/>
      <c r="Y180" s="96">
        <v>1</v>
      </c>
      <c r="Z180" s="96">
        <v>1</v>
      </c>
      <c r="AA180" s="96"/>
      <c r="AB180" s="96"/>
      <c r="AC180" s="96"/>
      <c r="AD180" s="96"/>
      <c r="AE180" s="96"/>
      <c r="AF180" s="96"/>
      <c r="AG180" s="96"/>
      <c r="AH180" s="96"/>
      <c r="AI180" s="97"/>
    </row>
    <row r="181" spans="1:35" s="55" customFormat="1">
      <c r="A181"/>
      <c r="B181" s="17" t="s">
        <v>2294</v>
      </c>
      <c r="C181" s="89">
        <v>33638</v>
      </c>
      <c r="D181" s="18" t="s">
        <v>1596</v>
      </c>
      <c r="E181" s="18" t="s">
        <v>1606</v>
      </c>
      <c r="F181" s="89" t="s">
        <v>3808</v>
      </c>
      <c r="G181" s="89" t="s">
        <v>2675</v>
      </c>
      <c r="H181" s="90" t="s">
        <v>2610</v>
      </c>
      <c r="I181" s="90" t="s">
        <v>2519</v>
      </c>
      <c r="J181" s="91" t="s">
        <v>3809</v>
      </c>
      <c r="K181" s="66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3"/>
      <c r="W181" s="94"/>
      <c r="X181" s="95"/>
      <c r="Y181" s="96"/>
      <c r="Z181" s="96">
        <v>1</v>
      </c>
      <c r="AA181" s="96"/>
      <c r="AB181" s="96"/>
      <c r="AC181" s="96"/>
      <c r="AD181" s="96"/>
      <c r="AE181" s="96"/>
      <c r="AF181" s="96"/>
      <c r="AG181" s="96"/>
      <c r="AH181" s="96"/>
      <c r="AI181" s="97"/>
    </row>
    <row r="182" spans="1:35" s="55" customFormat="1">
      <c r="A182"/>
      <c r="B182" s="17" t="s">
        <v>2294</v>
      </c>
      <c r="C182" s="89">
        <v>33662</v>
      </c>
      <c r="D182" s="18" t="s">
        <v>1596</v>
      </c>
      <c r="E182" s="18" t="s">
        <v>1611</v>
      </c>
      <c r="F182" s="89" t="s">
        <v>3810</v>
      </c>
      <c r="G182" s="89" t="s">
        <v>2675</v>
      </c>
      <c r="H182" s="90" t="s">
        <v>2610</v>
      </c>
      <c r="I182" s="90" t="s">
        <v>2497</v>
      </c>
      <c r="J182" s="91" t="s">
        <v>3811</v>
      </c>
      <c r="K182" s="66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3"/>
      <c r="W182" s="94"/>
      <c r="X182" s="95"/>
      <c r="Y182" s="96"/>
      <c r="Z182" s="96">
        <v>5</v>
      </c>
      <c r="AA182" s="96"/>
      <c r="AB182" s="96"/>
      <c r="AC182" s="96"/>
      <c r="AD182" s="96"/>
      <c r="AE182" s="96"/>
      <c r="AF182" s="96"/>
      <c r="AG182" s="96"/>
      <c r="AH182" s="96"/>
      <c r="AI182" s="97"/>
    </row>
    <row r="183" spans="1:35" s="55" customFormat="1">
      <c r="A183"/>
      <c r="B183" s="17" t="s">
        <v>2294</v>
      </c>
      <c r="C183" s="89">
        <v>33802</v>
      </c>
      <c r="D183" s="18" t="s">
        <v>1507</v>
      </c>
      <c r="E183" s="18" t="s">
        <v>1517</v>
      </c>
      <c r="F183" s="89" t="s">
        <v>3812</v>
      </c>
      <c r="G183" s="89" t="s">
        <v>2675</v>
      </c>
      <c r="H183" s="90" t="s">
        <v>2610</v>
      </c>
      <c r="I183" s="90" t="s">
        <v>2510</v>
      </c>
      <c r="J183" s="91" t="s">
        <v>3813</v>
      </c>
      <c r="K183" s="66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3"/>
      <c r="W183" s="94"/>
      <c r="X183" s="95"/>
      <c r="Y183" s="96"/>
      <c r="Z183" s="96">
        <v>1</v>
      </c>
      <c r="AA183" s="96"/>
      <c r="AB183" s="96"/>
      <c r="AC183" s="96"/>
      <c r="AD183" s="96"/>
      <c r="AE183" s="96"/>
      <c r="AF183" s="96"/>
      <c r="AG183" s="96"/>
      <c r="AH183" s="96"/>
      <c r="AI183" s="97"/>
    </row>
    <row r="184" spans="1:35">
      <c r="B184" s="82" t="s">
        <v>2294</v>
      </c>
      <c r="C184" s="81">
        <v>33595</v>
      </c>
      <c r="D184" s="83" t="s">
        <v>1507</v>
      </c>
      <c r="E184" s="83" t="s">
        <v>1514</v>
      </c>
      <c r="F184" s="83" t="s">
        <v>3910</v>
      </c>
      <c r="G184" s="83" t="s">
        <v>2671</v>
      </c>
      <c r="H184" s="84" t="s">
        <v>2610</v>
      </c>
      <c r="I184" s="98" t="s">
        <v>2507</v>
      </c>
      <c r="J184" s="98" t="s">
        <v>3911</v>
      </c>
      <c r="K184" s="99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8"/>
      <c r="W184" s="85"/>
      <c r="X184" s="86"/>
      <c r="Y184" s="87"/>
      <c r="Z184" s="87">
        <v>2</v>
      </c>
      <c r="AA184" s="87"/>
      <c r="AB184" s="87"/>
      <c r="AC184" s="87"/>
      <c r="AD184" s="87"/>
      <c r="AE184" s="87"/>
      <c r="AF184" s="87"/>
      <c r="AG184" s="87"/>
      <c r="AH184" s="87"/>
      <c r="AI184" s="88"/>
    </row>
    <row r="185" spans="1:35">
      <c r="B185" s="82" t="s">
        <v>2294</v>
      </c>
      <c r="C185" s="81">
        <v>33602</v>
      </c>
      <c r="D185" s="83" t="s">
        <v>1507</v>
      </c>
      <c r="E185" s="83" t="s">
        <v>1572</v>
      </c>
      <c r="F185" s="83" t="s">
        <v>3912</v>
      </c>
      <c r="G185" s="83" t="s">
        <v>2671</v>
      </c>
      <c r="H185" s="84" t="s">
        <v>2610</v>
      </c>
      <c r="I185" s="98" t="s">
        <v>2543</v>
      </c>
      <c r="J185" s="98" t="s">
        <v>3913</v>
      </c>
      <c r="K185" s="99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8"/>
      <c r="W185" s="85"/>
      <c r="X185" s="86"/>
      <c r="Y185" s="87"/>
      <c r="Z185" s="87">
        <v>2</v>
      </c>
      <c r="AA185" s="87"/>
      <c r="AB185" s="87"/>
      <c r="AC185" s="87"/>
      <c r="AD185" s="87"/>
      <c r="AE185" s="87"/>
      <c r="AF185" s="87"/>
      <c r="AG185" s="87"/>
      <c r="AH185" s="87"/>
      <c r="AI185" s="88"/>
    </row>
    <row r="186" spans="1:35">
      <c r="B186" s="82" t="s">
        <v>2294</v>
      </c>
      <c r="C186" s="81">
        <v>33587</v>
      </c>
      <c r="D186" s="83" t="s">
        <v>1596</v>
      </c>
      <c r="E186" s="83" t="s">
        <v>1598</v>
      </c>
      <c r="F186" s="83" t="s">
        <v>3914</v>
      </c>
      <c r="G186" s="83" t="s">
        <v>2671</v>
      </c>
      <c r="H186" s="98" t="s">
        <v>2610</v>
      </c>
      <c r="I186" s="98" t="s">
        <v>2512</v>
      </c>
      <c r="J186" s="98" t="s">
        <v>3915</v>
      </c>
      <c r="K186" s="99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8"/>
      <c r="W186" s="85"/>
      <c r="X186" s="86"/>
      <c r="Y186" s="87"/>
      <c r="Z186" s="87">
        <v>10</v>
      </c>
      <c r="AA186" s="87"/>
      <c r="AB186" s="87"/>
      <c r="AC186" s="87"/>
      <c r="AD186" s="87"/>
      <c r="AE186" s="87"/>
      <c r="AF186" s="87"/>
      <c r="AG186" s="87"/>
      <c r="AH186" s="87"/>
      <c r="AI186" s="88"/>
    </row>
    <row r="187" spans="1:35">
      <c r="B187" s="82" t="s">
        <v>2294</v>
      </c>
      <c r="C187" s="81">
        <v>33832</v>
      </c>
      <c r="D187" s="83" t="s">
        <v>1507</v>
      </c>
      <c r="E187" s="83" t="s">
        <v>1529</v>
      </c>
      <c r="F187" s="83" t="s">
        <v>3916</v>
      </c>
      <c r="G187" s="83" t="s">
        <v>2671</v>
      </c>
      <c r="H187" s="98" t="s">
        <v>2610</v>
      </c>
      <c r="I187" s="98" t="s">
        <v>2600</v>
      </c>
      <c r="J187" s="98" t="s">
        <v>3917</v>
      </c>
      <c r="K187" s="99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8"/>
      <c r="W187" s="85"/>
      <c r="X187" s="86"/>
      <c r="Y187" s="87"/>
      <c r="Z187" s="87">
        <v>5</v>
      </c>
      <c r="AA187" s="87"/>
      <c r="AB187" s="87"/>
      <c r="AC187" s="87"/>
      <c r="AD187" s="87"/>
      <c r="AE187" s="87"/>
      <c r="AF187" s="87"/>
      <c r="AG187" s="87"/>
      <c r="AH187" s="87"/>
      <c r="AI187" s="88"/>
    </row>
    <row r="188" spans="1:35">
      <c r="B188" s="82" t="s">
        <v>2294</v>
      </c>
      <c r="C188" s="81">
        <v>33641</v>
      </c>
      <c r="D188" s="83" t="s">
        <v>1507</v>
      </c>
      <c r="E188" s="83" t="s">
        <v>1547</v>
      </c>
      <c r="F188" s="83" t="s">
        <v>3918</v>
      </c>
      <c r="G188" s="81" t="s">
        <v>2675</v>
      </c>
      <c r="H188" s="84" t="s">
        <v>2610</v>
      </c>
      <c r="I188" s="84" t="s">
        <v>2497</v>
      </c>
      <c r="J188" s="98" t="s">
        <v>3919</v>
      </c>
      <c r="K188" s="99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8"/>
      <c r="W188" s="85"/>
      <c r="X188" s="86"/>
      <c r="Y188" s="87"/>
      <c r="Z188" s="87">
        <v>1</v>
      </c>
      <c r="AA188" s="87"/>
      <c r="AB188" s="87"/>
      <c r="AC188" s="87"/>
      <c r="AD188" s="87"/>
      <c r="AE188" s="87"/>
      <c r="AF188" s="87"/>
      <c r="AG188" s="87"/>
      <c r="AH188" s="87"/>
      <c r="AI188" s="88"/>
    </row>
    <row r="189" spans="1:35">
      <c r="B189" s="82" t="s">
        <v>2294</v>
      </c>
      <c r="C189" s="81">
        <v>33800</v>
      </c>
      <c r="D189" s="83" t="s">
        <v>1596</v>
      </c>
      <c r="E189" s="83" t="s">
        <v>1635</v>
      </c>
      <c r="F189" s="83" t="s">
        <v>3920</v>
      </c>
      <c r="G189" s="81" t="s">
        <v>2675</v>
      </c>
      <c r="H189" s="84" t="s">
        <v>2610</v>
      </c>
      <c r="I189" s="84" t="s">
        <v>2510</v>
      </c>
      <c r="J189" s="98" t="s">
        <v>3921</v>
      </c>
      <c r="K189" s="99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8"/>
      <c r="W189" s="85"/>
      <c r="X189" s="86"/>
      <c r="Y189" s="87"/>
      <c r="Z189" s="87">
        <v>1</v>
      </c>
      <c r="AA189" s="87"/>
      <c r="AB189" s="87"/>
      <c r="AC189" s="87"/>
      <c r="AD189" s="87"/>
      <c r="AE189" s="87"/>
      <c r="AF189" s="87"/>
      <c r="AG189" s="87"/>
      <c r="AH189" s="87"/>
      <c r="AI189" s="88"/>
    </row>
    <row r="190" spans="1:35">
      <c r="B190" s="82" t="s">
        <v>2294</v>
      </c>
      <c r="C190" s="81">
        <v>33862</v>
      </c>
      <c r="D190" s="83" t="s">
        <v>1596</v>
      </c>
      <c r="E190" s="83" t="s">
        <v>1628</v>
      </c>
      <c r="F190" s="83" t="s">
        <v>3922</v>
      </c>
      <c r="G190" s="83" t="s">
        <v>2674</v>
      </c>
      <c r="H190" s="98" t="s">
        <v>2479</v>
      </c>
      <c r="I190" s="98" t="s">
        <v>2488</v>
      </c>
      <c r="J190" s="98" t="s">
        <v>3923</v>
      </c>
      <c r="K190" s="99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8"/>
      <c r="W190" s="85"/>
      <c r="X190" s="86"/>
      <c r="Y190" s="87"/>
      <c r="Z190" s="87">
        <v>5</v>
      </c>
      <c r="AA190" s="87"/>
      <c r="AB190" s="87"/>
      <c r="AC190" s="87"/>
      <c r="AD190" s="87"/>
      <c r="AE190" s="87"/>
      <c r="AF190" s="87"/>
      <c r="AG190" s="87"/>
      <c r="AH190" s="87"/>
      <c r="AI190" s="88"/>
    </row>
    <row r="191" spans="1:35">
      <c r="B191" s="82" t="s">
        <v>2294</v>
      </c>
      <c r="C191" s="81">
        <v>33849</v>
      </c>
      <c r="D191" s="83" t="s">
        <v>1507</v>
      </c>
      <c r="E191" s="83" t="s">
        <v>1540</v>
      </c>
      <c r="F191" s="83" t="s">
        <v>2418</v>
      </c>
      <c r="G191" s="83" t="s">
        <v>2674</v>
      </c>
      <c r="H191" s="98" t="s">
        <v>2479</v>
      </c>
      <c r="I191" s="98" t="s">
        <v>2480</v>
      </c>
      <c r="J191" s="98" t="s">
        <v>3924</v>
      </c>
      <c r="K191" s="99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8"/>
      <c r="W191" s="85"/>
      <c r="X191" s="86"/>
      <c r="Y191" s="87"/>
      <c r="Z191" s="87">
        <v>1</v>
      </c>
      <c r="AA191" s="87"/>
      <c r="AB191" s="87"/>
      <c r="AC191" s="87"/>
      <c r="AD191" s="87"/>
      <c r="AE191" s="87"/>
      <c r="AF191" s="87"/>
      <c r="AG191" s="87"/>
      <c r="AH191" s="87"/>
      <c r="AI191" s="88"/>
    </row>
    <row r="192" spans="1:35">
      <c r="B192" s="82" t="s">
        <v>2294</v>
      </c>
      <c r="C192" s="81">
        <v>33832</v>
      </c>
      <c r="D192" s="83" t="s">
        <v>1507</v>
      </c>
      <c r="E192" s="83" t="s">
        <v>1529</v>
      </c>
      <c r="F192" s="83" t="s">
        <v>938</v>
      </c>
      <c r="G192" s="83" t="s">
        <v>2674</v>
      </c>
      <c r="H192" s="98" t="s">
        <v>2479</v>
      </c>
      <c r="I192" s="98" t="s">
        <v>2488</v>
      </c>
      <c r="J192" s="98" t="s">
        <v>3925</v>
      </c>
      <c r="K192" s="99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8"/>
      <c r="W192" s="85"/>
      <c r="X192" s="86"/>
      <c r="Y192" s="87"/>
      <c r="Z192" s="87">
        <v>1</v>
      </c>
      <c r="AA192" s="87"/>
      <c r="AB192" s="87"/>
      <c r="AC192" s="87"/>
      <c r="AD192" s="87"/>
      <c r="AE192" s="87"/>
      <c r="AF192" s="87"/>
      <c r="AG192" s="87"/>
      <c r="AH192" s="87"/>
      <c r="AI192" s="88"/>
    </row>
    <row r="193" spans="2:35">
      <c r="B193" s="82" t="s">
        <v>2294</v>
      </c>
      <c r="C193" s="81">
        <v>33822</v>
      </c>
      <c r="D193" s="83" t="s">
        <v>1596</v>
      </c>
      <c r="E193" s="83" t="s">
        <v>1603</v>
      </c>
      <c r="F193" s="83" t="s">
        <v>3926</v>
      </c>
      <c r="G193" s="83" t="s">
        <v>2674</v>
      </c>
      <c r="H193" s="98" t="s">
        <v>2479</v>
      </c>
      <c r="I193" s="98" t="s">
        <v>2482</v>
      </c>
      <c r="J193" s="98" t="s">
        <v>3927</v>
      </c>
      <c r="K193" s="99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8"/>
      <c r="W193" s="85"/>
      <c r="X193" s="86"/>
      <c r="Y193" s="87"/>
      <c r="Z193" s="87">
        <v>1</v>
      </c>
      <c r="AA193" s="87"/>
      <c r="AB193" s="87"/>
      <c r="AC193" s="87"/>
      <c r="AD193" s="87"/>
      <c r="AE193" s="87"/>
      <c r="AF193" s="87"/>
      <c r="AG193" s="87"/>
      <c r="AH193" s="87"/>
      <c r="AI193" s="88"/>
    </row>
    <row r="194" spans="2:35">
      <c r="B194" s="82" t="s">
        <v>2294</v>
      </c>
      <c r="C194" s="81">
        <v>33587</v>
      </c>
      <c r="D194" s="83" t="s">
        <v>1596</v>
      </c>
      <c r="E194" s="83" t="s">
        <v>1598</v>
      </c>
      <c r="F194" s="83" t="s">
        <v>3928</v>
      </c>
      <c r="G194" s="83" t="s">
        <v>2674</v>
      </c>
      <c r="H194" s="98" t="s">
        <v>2479</v>
      </c>
      <c r="I194" s="98" t="s">
        <v>2480</v>
      </c>
      <c r="J194" s="98" t="s">
        <v>3929</v>
      </c>
      <c r="K194" s="99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8"/>
      <c r="W194" s="85"/>
      <c r="X194" s="86"/>
      <c r="Y194" s="87"/>
      <c r="Z194" s="87">
        <v>10</v>
      </c>
      <c r="AA194" s="87"/>
      <c r="AB194" s="87"/>
      <c r="AC194" s="87"/>
      <c r="AD194" s="87"/>
      <c r="AE194" s="87"/>
      <c r="AF194" s="87"/>
      <c r="AG194" s="87"/>
      <c r="AH194" s="87"/>
      <c r="AI194" s="88"/>
    </row>
    <row r="195" spans="2:35">
      <c r="B195" s="17" t="s">
        <v>3930</v>
      </c>
      <c r="C195"/>
      <c r="D195" s="18" t="s">
        <v>3930</v>
      </c>
      <c r="E195" s="18" t="s">
        <v>3930</v>
      </c>
      <c r="F195"/>
      <c r="G195"/>
      <c r="H195"/>
      <c r="I195"/>
      <c r="J195"/>
      <c r="K195" s="66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2:35">
      <c r="B196" s="17" t="s">
        <v>3930</v>
      </c>
      <c r="C196"/>
      <c r="D196" s="18" t="s">
        <v>3930</v>
      </c>
      <c r="E196" s="18" t="s">
        <v>3930</v>
      </c>
      <c r="F196"/>
      <c r="G196"/>
      <c r="H196"/>
      <c r="I196"/>
      <c r="J196"/>
      <c r="K196" s="6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2:35">
      <c r="B197" s="17" t="s">
        <v>3930</v>
      </c>
      <c r="C197"/>
      <c r="D197" s="18" t="s">
        <v>3930</v>
      </c>
      <c r="E197" s="18" t="s">
        <v>3930</v>
      </c>
      <c r="F197"/>
      <c r="G197"/>
      <c r="H197"/>
      <c r="I197"/>
      <c r="J197"/>
      <c r="K197" s="66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2:35">
      <c r="B198" s="17" t="s">
        <v>3930</v>
      </c>
      <c r="C198"/>
      <c r="D198" s="18" t="s">
        <v>3930</v>
      </c>
      <c r="E198" s="18" t="s">
        <v>3930</v>
      </c>
      <c r="F198"/>
      <c r="G198"/>
      <c r="H198"/>
      <c r="I198"/>
      <c r="J198"/>
      <c r="K198" s="66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2:35">
      <c r="B199" s="17" t="s">
        <v>3930</v>
      </c>
      <c r="C199"/>
      <c r="D199" s="18" t="s">
        <v>3930</v>
      </c>
      <c r="E199" s="18" t="s">
        <v>3930</v>
      </c>
      <c r="F199"/>
      <c r="G199"/>
      <c r="H199"/>
      <c r="I199"/>
      <c r="J199"/>
      <c r="K199" s="66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2:35">
      <c r="B200" s="17" t="s">
        <v>3930</v>
      </c>
      <c r="C200"/>
      <c r="D200" s="18" t="s">
        <v>3930</v>
      </c>
      <c r="E200" s="18" t="s">
        <v>3930</v>
      </c>
      <c r="F200"/>
      <c r="G200"/>
      <c r="H200"/>
      <c r="I200"/>
      <c r="J200"/>
      <c r="K200" s="66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2:35">
      <c r="B201" s="17" t="s">
        <v>3930</v>
      </c>
      <c r="C201"/>
      <c r="D201" s="18" t="s">
        <v>3930</v>
      </c>
      <c r="E201" s="18" t="s">
        <v>3930</v>
      </c>
      <c r="F201"/>
      <c r="G201"/>
      <c r="H201"/>
      <c r="I201"/>
      <c r="J201"/>
      <c r="K201" s="66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2:35">
      <c r="B202" s="17" t="s">
        <v>3930</v>
      </c>
      <c r="C202"/>
      <c r="D202" s="18" t="s">
        <v>3930</v>
      </c>
      <c r="E202" s="18" t="s">
        <v>3930</v>
      </c>
      <c r="F202"/>
      <c r="G202"/>
      <c r="H202"/>
      <c r="I202"/>
      <c r="J202"/>
      <c r="K202" s="66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2:35">
      <c r="B203" s="17" t="s">
        <v>3930</v>
      </c>
      <c r="C203"/>
      <c r="D203" s="18" t="s">
        <v>3930</v>
      </c>
      <c r="E203" s="18" t="s">
        <v>3930</v>
      </c>
      <c r="F203"/>
      <c r="G203"/>
      <c r="H203"/>
      <c r="I203"/>
      <c r="J203"/>
      <c r="K203" s="66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2:35">
      <c r="B204" s="17" t="s">
        <v>3930</v>
      </c>
      <c r="C204"/>
      <c r="D204" s="18" t="s">
        <v>3930</v>
      </c>
      <c r="E204" s="18" t="s">
        <v>3930</v>
      </c>
      <c r="F204"/>
      <c r="G204"/>
      <c r="H204"/>
      <c r="I204"/>
      <c r="J204"/>
      <c r="K204" s="66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2:35">
      <c r="B205" s="17" t="s">
        <v>3930</v>
      </c>
      <c r="C205"/>
      <c r="D205" s="18" t="s">
        <v>3930</v>
      </c>
      <c r="E205" s="18" t="s">
        <v>3930</v>
      </c>
      <c r="F205"/>
      <c r="G205"/>
      <c r="H205"/>
      <c r="I205"/>
      <c r="J205"/>
      <c r="K205" s="66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2:35">
      <c r="B206" s="17" t="s">
        <v>3930</v>
      </c>
      <c r="C206"/>
      <c r="D206" s="18" t="s">
        <v>3930</v>
      </c>
      <c r="E206" s="18" t="s">
        <v>3930</v>
      </c>
      <c r="F206"/>
      <c r="G206"/>
      <c r="H206"/>
      <c r="I206"/>
      <c r="J206"/>
      <c r="K206" s="6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2:35">
      <c r="B207" s="17" t="s">
        <v>3930</v>
      </c>
      <c r="C207"/>
      <c r="D207" s="18" t="s">
        <v>3930</v>
      </c>
      <c r="E207" s="18" t="s">
        <v>3930</v>
      </c>
      <c r="F207"/>
      <c r="G207"/>
      <c r="H207"/>
      <c r="I207"/>
      <c r="J207"/>
      <c r="K207" s="66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2:35">
      <c r="B208" s="17" t="s">
        <v>3930</v>
      </c>
      <c r="C208"/>
      <c r="D208" s="18" t="s">
        <v>3930</v>
      </c>
      <c r="E208" s="18" t="s">
        <v>3930</v>
      </c>
      <c r="F208"/>
      <c r="G208"/>
      <c r="H208"/>
      <c r="I208"/>
      <c r="J208"/>
      <c r="K208" s="66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2:11">
      <c r="B209" s="17" t="s">
        <v>3930</v>
      </c>
      <c r="C209"/>
      <c r="D209" s="18" t="s">
        <v>3930</v>
      </c>
      <c r="E209" s="18" t="s">
        <v>3930</v>
      </c>
      <c r="F209"/>
      <c r="G209"/>
      <c r="H209"/>
      <c r="I209"/>
      <c r="J209"/>
      <c r="K209" s="66"/>
    </row>
    <row r="210" spans="2:11">
      <c r="B210" s="17" t="s">
        <v>3930</v>
      </c>
      <c r="C210"/>
      <c r="D210" s="18" t="s">
        <v>3930</v>
      </c>
      <c r="E210" s="18" t="s">
        <v>3930</v>
      </c>
      <c r="F210"/>
      <c r="G210"/>
      <c r="H210"/>
      <c r="I210"/>
      <c r="J210"/>
      <c r="K210" s="66"/>
    </row>
    <row r="211" spans="2:11">
      <c r="B211" s="17" t="s">
        <v>3930</v>
      </c>
      <c r="C211"/>
      <c r="D211" s="18" t="s">
        <v>3930</v>
      </c>
      <c r="E211" s="18" t="s">
        <v>3930</v>
      </c>
      <c r="F211"/>
      <c r="G211"/>
      <c r="H211"/>
      <c r="I211"/>
      <c r="J211"/>
      <c r="K211" s="66"/>
    </row>
    <row r="212" spans="2:11">
      <c r="B212" s="17" t="s">
        <v>3930</v>
      </c>
      <c r="C212"/>
      <c r="D212" s="18" t="s">
        <v>3930</v>
      </c>
      <c r="E212" s="18" t="s">
        <v>3930</v>
      </c>
      <c r="F212"/>
      <c r="G212"/>
      <c r="H212"/>
      <c r="I212"/>
      <c r="J212"/>
      <c r="K212" s="66"/>
    </row>
    <row r="213" spans="2:11">
      <c r="B213" s="17" t="s">
        <v>3930</v>
      </c>
      <c r="C213"/>
      <c r="D213" s="18" t="s">
        <v>3930</v>
      </c>
      <c r="E213" s="18" t="s">
        <v>3930</v>
      </c>
      <c r="F213"/>
      <c r="G213"/>
      <c r="H213"/>
      <c r="I213"/>
      <c r="J213"/>
      <c r="K213" s="66"/>
    </row>
    <row r="214" spans="2:11">
      <c r="B214" s="17" t="s">
        <v>3930</v>
      </c>
      <c r="C214"/>
      <c r="D214" s="18" t="s">
        <v>3930</v>
      </c>
      <c r="E214" s="18" t="s">
        <v>3930</v>
      </c>
      <c r="F214"/>
      <c r="G214"/>
      <c r="H214"/>
      <c r="I214"/>
      <c r="J214"/>
      <c r="K214" s="66"/>
    </row>
    <row r="215" spans="2:11">
      <c r="B215" s="17" t="s">
        <v>3930</v>
      </c>
      <c r="C215"/>
      <c r="D215" s="18" t="s">
        <v>3930</v>
      </c>
      <c r="E215" s="18" t="s">
        <v>3930</v>
      </c>
      <c r="F215"/>
      <c r="G215"/>
      <c r="H215"/>
      <c r="I215"/>
      <c r="J215"/>
      <c r="K215" s="66"/>
    </row>
    <row r="216" spans="2:11">
      <c r="B216" s="17" t="s">
        <v>3930</v>
      </c>
      <c r="C216"/>
      <c r="D216" s="18" t="s">
        <v>3930</v>
      </c>
      <c r="E216" s="18" t="s">
        <v>3930</v>
      </c>
      <c r="F216"/>
      <c r="G216"/>
      <c r="H216"/>
      <c r="I216"/>
      <c r="J216"/>
      <c r="K216" s="66"/>
    </row>
    <row r="217" spans="2:11">
      <c r="B217" s="17" t="s">
        <v>3930</v>
      </c>
      <c r="C217"/>
      <c r="D217" s="18" t="s">
        <v>3930</v>
      </c>
      <c r="E217" s="18" t="s">
        <v>3930</v>
      </c>
      <c r="F217"/>
      <c r="G217"/>
      <c r="H217"/>
      <c r="I217"/>
      <c r="J217"/>
      <c r="K217" s="66"/>
    </row>
    <row r="218" spans="2:11">
      <c r="B218" s="17" t="s">
        <v>3930</v>
      </c>
      <c r="C218"/>
      <c r="D218" s="18" t="s">
        <v>3930</v>
      </c>
      <c r="E218" s="18" t="s">
        <v>3930</v>
      </c>
      <c r="F218"/>
      <c r="G218"/>
      <c r="H218"/>
      <c r="I218"/>
      <c r="J218"/>
      <c r="K218" s="66"/>
    </row>
    <row r="219" spans="2:11">
      <c r="B219" s="17" t="s">
        <v>3930</v>
      </c>
      <c r="C219"/>
      <c r="D219" s="18" t="s">
        <v>3930</v>
      </c>
      <c r="E219" s="18" t="s">
        <v>3930</v>
      </c>
      <c r="F219"/>
      <c r="G219"/>
      <c r="H219"/>
      <c r="I219"/>
      <c r="J219"/>
      <c r="K219" s="66"/>
    </row>
    <row r="220" spans="2:11">
      <c r="B220" s="17" t="s">
        <v>3930</v>
      </c>
      <c r="C220"/>
      <c r="D220" s="18" t="s">
        <v>3930</v>
      </c>
      <c r="E220" s="18" t="s">
        <v>3930</v>
      </c>
      <c r="F220"/>
      <c r="G220"/>
      <c r="H220"/>
      <c r="I220"/>
      <c r="J220"/>
      <c r="K220" s="66"/>
    </row>
    <row r="221" spans="2:11">
      <c r="B221" s="17" t="s">
        <v>3930</v>
      </c>
      <c r="C221"/>
      <c r="D221" s="18" t="s">
        <v>3930</v>
      </c>
      <c r="E221" s="18" t="s">
        <v>3930</v>
      </c>
      <c r="F221"/>
      <c r="G221"/>
      <c r="H221"/>
      <c r="I221"/>
      <c r="J221"/>
      <c r="K221" s="66"/>
    </row>
    <row r="222" spans="2:11">
      <c r="B222" s="17" t="s">
        <v>3930</v>
      </c>
      <c r="C222"/>
      <c r="D222" s="18" t="s">
        <v>3930</v>
      </c>
      <c r="E222" s="18" t="s">
        <v>3930</v>
      </c>
      <c r="F222"/>
      <c r="G222"/>
      <c r="H222"/>
      <c r="I222"/>
      <c r="J222"/>
      <c r="K222" s="66"/>
    </row>
    <row r="223" spans="2:11">
      <c r="B223" s="17" t="s">
        <v>3930</v>
      </c>
      <c r="C223"/>
      <c r="D223" s="18" t="s">
        <v>3930</v>
      </c>
      <c r="E223" s="18" t="s">
        <v>3930</v>
      </c>
      <c r="F223"/>
      <c r="G223"/>
      <c r="H223"/>
      <c r="I223"/>
      <c r="J223"/>
      <c r="K223" s="66"/>
    </row>
    <row r="224" spans="2:11">
      <c r="B224" s="17" t="s">
        <v>3930</v>
      </c>
      <c r="C224"/>
      <c r="D224" s="18" t="s">
        <v>3930</v>
      </c>
      <c r="E224" s="18" t="s">
        <v>3930</v>
      </c>
      <c r="F224"/>
      <c r="G224"/>
      <c r="H224"/>
      <c r="I224"/>
      <c r="J224"/>
      <c r="K224" s="66"/>
    </row>
    <row r="225" spans="2:11">
      <c r="B225" s="17" t="s">
        <v>3930</v>
      </c>
      <c r="C225"/>
      <c r="D225" s="18" t="s">
        <v>3930</v>
      </c>
      <c r="E225" s="18" t="s">
        <v>3930</v>
      </c>
      <c r="F225"/>
      <c r="G225"/>
      <c r="H225"/>
      <c r="I225"/>
      <c r="J225"/>
      <c r="K225" s="66"/>
    </row>
    <row r="226" spans="2:11">
      <c r="B226" s="17" t="s">
        <v>3930</v>
      </c>
      <c r="C226"/>
      <c r="D226" s="18" t="s">
        <v>3930</v>
      </c>
      <c r="E226" s="18" t="s">
        <v>3930</v>
      </c>
      <c r="F226"/>
      <c r="G226"/>
      <c r="H226"/>
      <c r="I226"/>
      <c r="J226"/>
      <c r="K226" s="66"/>
    </row>
    <row r="227" spans="2:11">
      <c r="B227" s="17" t="s">
        <v>3930</v>
      </c>
      <c r="C227"/>
      <c r="D227" s="18" t="s">
        <v>3930</v>
      </c>
      <c r="E227" s="18" t="s">
        <v>3930</v>
      </c>
      <c r="F227"/>
      <c r="G227"/>
      <c r="H227"/>
      <c r="I227"/>
      <c r="J227"/>
      <c r="K227" s="66"/>
    </row>
    <row r="228" spans="2:11">
      <c r="B228" s="17" t="s">
        <v>3930</v>
      </c>
      <c r="C228"/>
      <c r="D228" s="18" t="s">
        <v>3930</v>
      </c>
      <c r="E228" s="18" t="s">
        <v>3930</v>
      </c>
      <c r="F228"/>
      <c r="G228"/>
      <c r="H228"/>
      <c r="I228"/>
      <c r="J228"/>
      <c r="K228" s="66"/>
    </row>
    <row r="229" spans="2:11">
      <c r="B229" s="17" t="s">
        <v>3930</v>
      </c>
      <c r="C229"/>
      <c r="D229" s="18" t="s">
        <v>3930</v>
      </c>
      <c r="E229" s="18" t="s">
        <v>3930</v>
      </c>
      <c r="F229"/>
      <c r="G229"/>
      <c r="H229"/>
      <c r="I229"/>
      <c r="J229"/>
      <c r="K229" s="66"/>
    </row>
    <row r="230" spans="2:11">
      <c r="B230" s="17" t="s">
        <v>3930</v>
      </c>
      <c r="C230"/>
      <c r="D230" s="18" t="s">
        <v>3930</v>
      </c>
      <c r="E230" s="18" t="s">
        <v>3930</v>
      </c>
      <c r="F230"/>
      <c r="G230"/>
      <c r="H230"/>
      <c r="I230"/>
      <c r="J230"/>
      <c r="K230" s="66"/>
    </row>
    <row r="231" spans="2:11">
      <c r="B231" s="17" t="s">
        <v>3930</v>
      </c>
      <c r="C231"/>
      <c r="D231" s="18" t="s">
        <v>3930</v>
      </c>
      <c r="E231" s="18" t="s">
        <v>3930</v>
      </c>
      <c r="F231"/>
      <c r="G231"/>
      <c r="H231"/>
      <c r="I231"/>
      <c r="J231"/>
      <c r="K231" s="66"/>
    </row>
    <row r="232" spans="2:11">
      <c r="B232" s="17" t="s">
        <v>3930</v>
      </c>
      <c r="C232"/>
      <c r="D232" s="18" t="s">
        <v>3930</v>
      </c>
      <c r="E232" s="18" t="s">
        <v>3930</v>
      </c>
      <c r="F232"/>
      <c r="G232"/>
      <c r="H232"/>
      <c r="I232"/>
      <c r="J232"/>
      <c r="K232" s="66"/>
    </row>
    <row r="233" spans="2:11">
      <c r="B233" s="17" t="s">
        <v>3930</v>
      </c>
      <c r="C233"/>
      <c r="D233" s="18" t="s">
        <v>3930</v>
      </c>
      <c r="E233" s="18" t="s">
        <v>3930</v>
      </c>
      <c r="F233"/>
      <c r="G233"/>
      <c r="H233"/>
      <c r="I233"/>
      <c r="J233"/>
      <c r="K233" s="66"/>
    </row>
    <row r="234" spans="2:11">
      <c r="B234" s="17" t="s">
        <v>3930</v>
      </c>
      <c r="C234"/>
      <c r="D234" s="18" t="s">
        <v>3930</v>
      </c>
      <c r="E234" s="18" t="s">
        <v>3930</v>
      </c>
      <c r="F234"/>
      <c r="G234"/>
      <c r="H234"/>
      <c r="I234"/>
      <c r="J234"/>
      <c r="K234" s="66"/>
    </row>
    <row r="235" spans="2:11">
      <c r="B235" s="17" t="s">
        <v>3930</v>
      </c>
      <c r="C235"/>
      <c r="D235" s="18" t="s">
        <v>3930</v>
      </c>
      <c r="E235" s="18" t="s">
        <v>3930</v>
      </c>
      <c r="F235"/>
      <c r="G235"/>
      <c r="H235"/>
      <c r="I235"/>
      <c r="J235"/>
      <c r="K235" s="66"/>
    </row>
    <row r="236" spans="2:11">
      <c r="B236" s="17" t="s">
        <v>3930</v>
      </c>
      <c r="C236"/>
      <c r="D236" s="18" t="s">
        <v>3930</v>
      </c>
      <c r="E236" s="18" t="s">
        <v>3930</v>
      </c>
      <c r="F236"/>
      <c r="G236"/>
      <c r="H236"/>
      <c r="I236"/>
      <c r="J236"/>
      <c r="K236" s="66"/>
    </row>
    <row r="237" spans="2:11">
      <c r="B237" s="17" t="s">
        <v>3930</v>
      </c>
      <c r="C237"/>
      <c r="D237" s="18" t="s">
        <v>3930</v>
      </c>
      <c r="E237" s="18" t="s">
        <v>3930</v>
      </c>
      <c r="F237"/>
      <c r="G237"/>
      <c r="H237"/>
      <c r="I237"/>
      <c r="J237"/>
      <c r="K237" s="66"/>
    </row>
    <row r="238" spans="2:11">
      <c r="B238" s="17" t="s">
        <v>3930</v>
      </c>
      <c r="C238"/>
      <c r="D238" s="18" t="s">
        <v>3930</v>
      </c>
      <c r="E238" s="18" t="s">
        <v>3930</v>
      </c>
      <c r="F238"/>
      <c r="G238"/>
      <c r="H238"/>
      <c r="I238"/>
      <c r="J238"/>
      <c r="K238" s="66"/>
    </row>
    <row r="239" spans="2:11">
      <c r="B239" s="17" t="s">
        <v>3930</v>
      </c>
      <c r="C239"/>
      <c r="D239" s="18" t="s">
        <v>3930</v>
      </c>
      <c r="E239" s="18" t="s">
        <v>3930</v>
      </c>
      <c r="F239"/>
      <c r="G239"/>
      <c r="H239"/>
      <c r="I239"/>
      <c r="J239"/>
      <c r="K239" s="66"/>
    </row>
    <row r="240" spans="2:11">
      <c r="B240" s="17" t="s">
        <v>3930</v>
      </c>
      <c r="C240"/>
      <c r="D240" s="18" t="s">
        <v>3930</v>
      </c>
      <c r="E240" s="18" t="s">
        <v>3930</v>
      </c>
      <c r="F240"/>
      <c r="G240"/>
      <c r="H240"/>
      <c r="I240"/>
      <c r="J240"/>
      <c r="K240" s="66"/>
    </row>
    <row r="241" spans="2:11">
      <c r="B241" s="17" t="s">
        <v>3930</v>
      </c>
      <c r="C241"/>
      <c r="D241" s="18" t="s">
        <v>3930</v>
      </c>
      <c r="E241" s="18" t="s">
        <v>3930</v>
      </c>
      <c r="F241"/>
      <c r="G241"/>
      <c r="H241"/>
      <c r="I241"/>
      <c r="J241"/>
      <c r="K241" s="66"/>
    </row>
    <row r="242" spans="2:11">
      <c r="B242" s="17" t="s">
        <v>3930</v>
      </c>
      <c r="C242"/>
      <c r="D242" s="18" t="s">
        <v>3930</v>
      </c>
      <c r="E242" s="18" t="s">
        <v>3930</v>
      </c>
      <c r="F242"/>
      <c r="G242"/>
      <c r="H242"/>
      <c r="I242"/>
      <c r="J242"/>
      <c r="K242" s="66"/>
    </row>
    <row r="243" spans="2:11">
      <c r="B243" s="17" t="s">
        <v>3930</v>
      </c>
      <c r="C243"/>
      <c r="D243" s="18" t="s">
        <v>3930</v>
      </c>
      <c r="E243" s="18" t="s">
        <v>3930</v>
      </c>
      <c r="F243"/>
      <c r="G243"/>
      <c r="H243"/>
      <c r="I243"/>
      <c r="J243"/>
      <c r="K243" s="66"/>
    </row>
    <row r="244" spans="2:11">
      <c r="B244" s="17" t="s">
        <v>3930</v>
      </c>
      <c r="C244"/>
      <c r="D244" s="18" t="s">
        <v>3930</v>
      </c>
      <c r="E244" s="18" t="s">
        <v>3930</v>
      </c>
      <c r="F244"/>
      <c r="G244"/>
      <c r="H244"/>
      <c r="I244"/>
      <c r="J244"/>
      <c r="K244" s="66"/>
    </row>
    <row r="245" spans="2:11">
      <c r="B245" s="17" t="s">
        <v>3930</v>
      </c>
      <c r="C245"/>
      <c r="D245" s="18" t="s">
        <v>3930</v>
      </c>
      <c r="E245" s="18" t="s">
        <v>3930</v>
      </c>
      <c r="F245"/>
      <c r="G245"/>
      <c r="H245"/>
      <c r="I245"/>
      <c r="J245"/>
      <c r="K245" s="66"/>
    </row>
    <row r="246" spans="2:11">
      <c r="B246" s="17" t="s">
        <v>3930</v>
      </c>
      <c r="C246"/>
      <c r="D246" s="18" t="s">
        <v>3930</v>
      </c>
      <c r="E246" s="18" t="s">
        <v>3930</v>
      </c>
      <c r="F246"/>
      <c r="G246"/>
      <c r="H246"/>
      <c r="I246"/>
      <c r="J246"/>
      <c r="K246" s="66"/>
    </row>
    <row r="247" spans="2:11">
      <c r="B247" s="17" t="s">
        <v>3930</v>
      </c>
      <c r="C247"/>
      <c r="D247" s="18" t="s">
        <v>3930</v>
      </c>
      <c r="E247" s="18" t="s">
        <v>3930</v>
      </c>
      <c r="F247"/>
      <c r="G247"/>
      <c r="H247"/>
      <c r="I247"/>
      <c r="J247"/>
      <c r="K247" s="66"/>
    </row>
    <row r="248" spans="2:11">
      <c r="B248" s="17" t="s">
        <v>3930</v>
      </c>
      <c r="C248"/>
      <c r="D248" s="18" t="s">
        <v>3930</v>
      </c>
      <c r="E248" s="18" t="s">
        <v>3930</v>
      </c>
      <c r="F248"/>
      <c r="G248"/>
      <c r="H248"/>
      <c r="I248"/>
      <c r="J248"/>
      <c r="K248" s="66"/>
    </row>
    <row r="249" spans="2:11">
      <c r="B249" s="17" t="s">
        <v>3930</v>
      </c>
      <c r="C249"/>
      <c r="D249" s="18" t="s">
        <v>3930</v>
      </c>
      <c r="E249" s="18" t="s">
        <v>3930</v>
      </c>
      <c r="F249"/>
      <c r="G249"/>
      <c r="H249"/>
      <c r="I249"/>
      <c r="J249"/>
      <c r="K249" s="66"/>
    </row>
    <row r="250" spans="2:11">
      <c r="B250" s="17" t="s">
        <v>3930</v>
      </c>
      <c r="C250"/>
      <c r="D250" s="18" t="s">
        <v>3930</v>
      </c>
      <c r="E250" s="18" t="s">
        <v>3930</v>
      </c>
      <c r="F250"/>
      <c r="G250"/>
      <c r="H250"/>
      <c r="I250"/>
      <c r="J250"/>
      <c r="K250" s="66"/>
    </row>
    <row r="251" spans="2:11">
      <c r="B251" s="17" t="s">
        <v>3930</v>
      </c>
      <c r="C251"/>
      <c r="D251" s="18" t="s">
        <v>3930</v>
      </c>
      <c r="E251" s="18" t="s">
        <v>3930</v>
      </c>
      <c r="F251"/>
      <c r="G251"/>
      <c r="H251"/>
      <c r="I251"/>
      <c r="J251"/>
      <c r="K251" s="66"/>
    </row>
    <row r="252" spans="2:11">
      <c r="B252" s="17" t="s">
        <v>3930</v>
      </c>
      <c r="C252"/>
      <c r="D252" s="18" t="s">
        <v>3930</v>
      </c>
      <c r="E252" s="18" t="s">
        <v>3930</v>
      </c>
      <c r="F252"/>
      <c r="G252"/>
      <c r="H252"/>
      <c r="I252"/>
      <c r="J252"/>
      <c r="K252" s="66"/>
    </row>
    <row r="253" spans="2:11">
      <c r="B253" s="17" t="s">
        <v>3930</v>
      </c>
      <c r="C253"/>
      <c r="D253" s="18" t="s">
        <v>3930</v>
      </c>
      <c r="E253" s="18" t="s">
        <v>3930</v>
      </c>
      <c r="F253"/>
      <c r="G253"/>
      <c r="H253"/>
      <c r="I253"/>
      <c r="J253"/>
      <c r="K253" s="66"/>
    </row>
    <row r="254" spans="2:11">
      <c r="B254" s="17" t="s">
        <v>3930</v>
      </c>
      <c r="C254"/>
      <c r="D254" s="18" t="s">
        <v>3930</v>
      </c>
      <c r="E254" s="18" t="s">
        <v>3930</v>
      </c>
      <c r="F254"/>
      <c r="G254"/>
      <c r="H254"/>
      <c r="I254"/>
      <c r="J254"/>
      <c r="K254" s="66"/>
    </row>
    <row r="255" spans="2:11">
      <c r="B255" s="17" t="s">
        <v>3930</v>
      </c>
      <c r="C255"/>
      <c r="D255" s="18" t="s">
        <v>3930</v>
      </c>
      <c r="E255" s="18" t="s">
        <v>3930</v>
      </c>
      <c r="F255"/>
      <c r="G255"/>
      <c r="H255"/>
      <c r="I255"/>
      <c r="J255"/>
      <c r="K255" s="66"/>
    </row>
    <row r="256" spans="2:11">
      <c r="B256" s="17" t="s">
        <v>3930</v>
      </c>
      <c r="C256"/>
      <c r="D256" s="18" t="s">
        <v>3930</v>
      </c>
      <c r="E256" s="18" t="s">
        <v>3930</v>
      </c>
      <c r="F256"/>
      <c r="G256"/>
      <c r="H256"/>
      <c r="I256"/>
      <c r="J256"/>
      <c r="K256" s="66"/>
    </row>
    <row r="257" spans="2:11">
      <c r="B257" s="17" t="s">
        <v>3930</v>
      </c>
      <c r="C257"/>
      <c r="D257" s="18" t="s">
        <v>3930</v>
      </c>
      <c r="E257" s="18" t="s">
        <v>3930</v>
      </c>
      <c r="F257"/>
      <c r="G257"/>
      <c r="H257"/>
      <c r="I257"/>
      <c r="J257"/>
      <c r="K257" s="66"/>
    </row>
    <row r="258" spans="2:11">
      <c r="B258" s="17" t="s">
        <v>3930</v>
      </c>
      <c r="C258"/>
      <c r="D258" s="18" t="s">
        <v>3930</v>
      </c>
      <c r="E258" s="18" t="s">
        <v>3930</v>
      </c>
      <c r="F258"/>
      <c r="G258"/>
      <c r="H258"/>
      <c r="I258"/>
      <c r="J258"/>
      <c r="K258" s="66"/>
    </row>
    <row r="259" spans="2:11">
      <c r="B259" s="17" t="s">
        <v>3930</v>
      </c>
      <c r="C259"/>
      <c r="D259" s="18" t="s">
        <v>3930</v>
      </c>
      <c r="E259" s="18" t="s">
        <v>3930</v>
      </c>
      <c r="F259"/>
      <c r="G259"/>
      <c r="H259"/>
      <c r="I259"/>
      <c r="J259"/>
      <c r="K259" s="66"/>
    </row>
    <row r="260" spans="2:11">
      <c r="B260" s="17" t="s">
        <v>3930</v>
      </c>
      <c r="C260"/>
      <c r="D260" s="18" t="s">
        <v>3930</v>
      </c>
      <c r="E260" s="18" t="s">
        <v>3930</v>
      </c>
      <c r="F260"/>
      <c r="G260"/>
      <c r="H260"/>
      <c r="I260"/>
      <c r="J260"/>
      <c r="K260" s="66"/>
    </row>
    <row r="261" spans="2:11">
      <c r="B261" s="17" t="s">
        <v>3930</v>
      </c>
      <c r="C261"/>
      <c r="D261" s="18" t="s">
        <v>3930</v>
      </c>
      <c r="E261" s="18" t="s">
        <v>3930</v>
      </c>
      <c r="F261"/>
      <c r="G261"/>
      <c r="H261"/>
      <c r="I261"/>
      <c r="J261"/>
      <c r="K261" s="66"/>
    </row>
    <row r="262" spans="2:11">
      <c r="B262" s="17" t="s">
        <v>3930</v>
      </c>
      <c r="C262"/>
      <c r="D262" s="18" t="s">
        <v>3930</v>
      </c>
      <c r="E262" s="18" t="s">
        <v>3930</v>
      </c>
      <c r="F262"/>
      <c r="G262"/>
      <c r="H262"/>
      <c r="I262"/>
      <c r="J262"/>
      <c r="K262" s="66"/>
    </row>
    <row r="263" spans="2:11">
      <c r="B263" s="17" t="s">
        <v>3930</v>
      </c>
      <c r="C263"/>
      <c r="D263" s="18" t="s">
        <v>3930</v>
      </c>
      <c r="E263" s="18" t="s">
        <v>3930</v>
      </c>
      <c r="F263"/>
      <c r="G263"/>
      <c r="H263"/>
      <c r="I263"/>
      <c r="J263"/>
      <c r="K263" s="66"/>
    </row>
    <row r="264" spans="2:11">
      <c r="B264" s="17" t="s">
        <v>3930</v>
      </c>
      <c r="C264"/>
      <c r="D264" s="18" t="s">
        <v>3930</v>
      </c>
      <c r="E264" s="18" t="s">
        <v>3930</v>
      </c>
      <c r="F264"/>
      <c r="G264"/>
      <c r="H264"/>
      <c r="I264"/>
      <c r="J264"/>
      <c r="K264" s="66"/>
    </row>
    <row r="265" spans="2:11">
      <c r="B265" s="17" t="s">
        <v>3930</v>
      </c>
      <c r="C265"/>
      <c r="D265" s="18" t="s">
        <v>3930</v>
      </c>
      <c r="E265" s="18" t="s">
        <v>3930</v>
      </c>
      <c r="F265"/>
      <c r="G265"/>
      <c r="H265"/>
      <c r="I265"/>
      <c r="J265"/>
      <c r="K265" s="66"/>
    </row>
    <row r="266" spans="2:11">
      <c r="B266" s="17" t="s">
        <v>3930</v>
      </c>
      <c r="C266"/>
      <c r="D266" s="18" t="s">
        <v>3930</v>
      </c>
      <c r="E266" s="18" t="s">
        <v>3930</v>
      </c>
      <c r="F266"/>
      <c r="G266"/>
      <c r="H266"/>
      <c r="I266"/>
      <c r="J266"/>
      <c r="K266" s="66"/>
    </row>
    <row r="267" spans="2:11">
      <c r="B267" s="17" t="s">
        <v>3930</v>
      </c>
      <c r="C267"/>
      <c r="D267" s="18" t="s">
        <v>3930</v>
      </c>
      <c r="E267" s="18" t="s">
        <v>3930</v>
      </c>
      <c r="F267"/>
      <c r="G267"/>
      <c r="H267"/>
      <c r="I267"/>
      <c r="J267"/>
      <c r="K267" s="66"/>
    </row>
    <row r="268" spans="2:11">
      <c r="B268" s="17" t="s">
        <v>3930</v>
      </c>
      <c r="C268"/>
      <c r="D268" s="18" t="s">
        <v>3930</v>
      </c>
      <c r="E268" s="18" t="s">
        <v>3930</v>
      </c>
      <c r="F268"/>
      <c r="G268"/>
      <c r="H268"/>
      <c r="I268"/>
      <c r="J268"/>
      <c r="K268" s="66"/>
    </row>
    <row r="269" spans="2:11">
      <c r="B269" s="17" t="s">
        <v>3930</v>
      </c>
      <c r="C269"/>
      <c r="D269" s="18" t="s">
        <v>3930</v>
      </c>
      <c r="E269" s="18" t="s">
        <v>3930</v>
      </c>
      <c r="F269"/>
      <c r="G269"/>
      <c r="H269"/>
      <c r="I269"/>
      <c r="J269"/>
      <c r="K269" s="66"/>
    </row>
    <row r="270" spans="2:11">
      <c r="B270" s="17" t="s">
        <v>3930</v>
      </c>
      <c r="C270"/>
      <c r="D270" s="18" t="s">
        <v>3930</v>
      </c>
      <c r="E270" s="18" t="s">
        <v>3930</v>
      </c>
      <c r="F270"/>
      <c r="G270"/>
      <c r="H270"/>
      <c r="I270"/>
      <c r="J270"/>
      <c r="K270" s="66"/>
    </row>
    <row r="271" spans="2:11">
      <c r="B271" s="17" t="s">
        <v>3930</v>
      </c>
      <c r="C271"/>
      <c r="D271" s="18" t="s">
        <v>3930</v>
      </c>
      <c r="E271" s="18" t="s">
        <v>3930</v>
      </c>
      <c r="F271"/>
      <c r="G271"/>
      <c r="H271"/>
      <c r="I271"/>
      <c r="J271"/>
      <c r="K271" s="66"/>
    </row>
    <row r="272" spans="2:11">
      <c r="B272" s="17" t="s">
        <v>3930</v>
      </c>
      <c r="C272"/>
      <c r="D272" s="18" t="s">
        <v>3930</v>
      </c>
      <c r="E272" s="18" t="s">
        <v>3930</v>
      </c>
      <c r="F272"/>
      <c r="G272"/>
      <c r="H272"/>
      <c r="I272"/>
      <c r="J272"/>
      <c r="K272" s="66"/>
    </row>
    <row r="273" spans="2:11">
      <c r="B273" s="17" t="s">
        <v>3930</v>
      </c>
      <c r="C273"/>
      <c r="D273" s="18" t="s">
        <v>3930</v>
      </c>
      <c r="E273" s="18" t="s">
        <v>3930</v>
      </c>
      <c r="F273"/>
      <c r="G273"/>
      <c r="H273"/>
      <c r="I273"/>
      <c r="J273"/>
      <c r="K273" s="66"/>
    </row>
    <row r="274" spans="2:11">
      <c r="B274" s="17" t="s">
        <v>3930</v>
      </c>
      <c r="C274"/>
      <c r="D274" s="18" t="s">
        <v>3930</v>
      </c>
      <c r="E274" s="18" t="s">
        <v>3930</v>
      </c>
      <c r="F274"/>
      <c r="G274"/>
      <c r="H274"/>
      <c r="I274"/>
      <c r="J274"/>
      <c r="K274" s="66"/>
    </row>
    <row r="275" spans="2:11">
      <c r="B275" s="17" t="s">
        <v>3930</v>
      </c>
      <c r="C275"/>
      <c r="D275" s="18" t="s">
        <v>3930</v>
      </c>
      <c r="E275" s="18" t="s">
        <v>3930</v>
      </c>
      <c r="F275"/>
      <c r="G275"/>
      <c r="H275"/>
      <c r="I275"/>
      <c r="J275"/>
      <c r="K275" s="66"/>
    </row>
    <row r="276" spans="2:11">
      <c r="B276" s="17" t="s">
        <v>3930</v>
      </c>
      <c r="C276"/>
      <c r="D276" s="18" t="s">
        <v>3930</v>
      </c>
      <c r="E276" s="18" t="s">
        <v>3930</v>
      </c>
      <c r="F276"/>
      <c r="G276"/>
      <c r="H276"/>
      <c r="I276"/>
      <c r="J276"/>
      <c r="K276" s="66"/>
    </row>
    <row r="277" spans="2:11">
      <c r="B277" s="17" t="s">
        <v>3930</v>
      </c>
      <c r="C277"/>
      <c r="D277" s="18" t="s">
        <v>3930</v>
      </c>
      <c r="E277" s="18" t="s">
        <v>3930</v>
      </c>
      <c r="F277"/>
      <c r="G277"/>
      <c r="H277"/>
      <c r="I277"/>
      <c r="J277"/>
      <c r="K277" s="66"/>
    </row>
    <row r="278" spans="2:11">
      <c r="B278" s="17" t="s">
        <v>3930</v>
      </c>
      <c r="C278"/>
      <c r="D278" s="18" t="s">
        <v>3930</v>
      </c>
      <c r="E278" s="18" t="s">
        <v>3930</v>
      </c>
      <c r="F278"/>
      <c r="G278"/>
      <c r="H278"/>
      <c r="I278"/>
      <c r="J278"/>
      <c r="K278" s="66"/>
    </row>
    <row r="279" spans="2:11">
      <c r="B279" s="17" t="s">
        <v>3930</v>
      </c>
      <c r="C279"/>
      <c r="D279" s="18" t="s">
        <v>3930</v>
      </c>
      <c r="E279" s="18" t="s">
        <v>3930</v>
      </c>
      <c r="F279"/>
      <c r="G279"/>
      <c r="H279"/>
      <c r="I279"/>
      <c r="J279"/>
      <c r="K279" s="66"/>
    </row>
    <row r="280" spans="2:11">
      <c r="B280" s="17" t="s">
        <v>3930</v>
      </c>
      <c r="C280"/>
      <c r="D280" s="18" t="s">
        <v>3930</v>
      </c>
      <c r="E280" s="18" t="s">
        <v>3930</v>
      </c>
      <c r="F280"/>
      <c r="G280"/>
      <c r="H280"/>
      <c r="I280"/>
      <c r="J280"/>
      <c r="K280" s="66"/>
    </row>
    <row r="281" spans="2:11">
      <c r="B281" s="17" t="s">
        <v>3930</v>
      </c>
      <c r="C281"/>
      <c r="D281" s="18" t="s">
        <v>3930</v>
      </c>
      <c r="E281" s="18" t="s">
        <v>3930</v>
      </c>
      <c r="F281"/>
      <c r="G281"/>
      <c r="H281"/>
      <c r="I281"/>
      <c r="J281"/>
      <c r="K281" s="66"/>
    </row>
    <row r="282" spans="2:11">
      <c r="B282" s="17" t="s">
        <v>3930</v>
      </c>
      <c r="C282"/>
      <c r="D282" s="18" t="s">
        <v>3930</v>
      </c>
      <c r="E282" s="18" t="s">
        <v>3930</v>
      </c>
      <c r="F282"/>
      <c r="G282"/>
      <c r="H282"/>
      <c r="I282"/>
      <c r="J282"/>
      <c r="K282" s="66"/>
    </row>
    <row r="283" spans="2:11">
      <c r="B283" s="17" t="s">
        <v>3930</v>
      </c>
      <c r="C283"/>
      <c r="D283" s="18" t="s">
        <v>3930</v>
      </c>
      <c r="E283" s="18" t="s">
        <v>3930</v>
      </c>
      <c r="F283"/>
      <c r="G283"/>
      <c r="H283"/>
      <c r="I283"/>
      <c r="J283"/>
      <c r="K283" s="66"/>
    </row>
    <row r="284" spans="2:11">
      <c r="B284" s="17" t="s">
        <v>3930</v>
      </c>
      <c r="C284"/>
      <c r="D284" s="18" t="s">
        <v>3930</v>
      </c>
      <c r="E284" s="18" t="s">
        <v>3930</v>
      </c>
      <c r="F284"/>
      <c r="G284"/>
      <c r="H284"/>
      <c r="I284"/>
      <c r="J284"/>
      <c r="K284" s="66"/>
    </row>
    <row r="285" spans="2:11">
      <c r="B285" s="17" t="s">
        <v>3930</v>
      </c>
      <c r="C285"/>
      <c r="D285" s="18" t="s">
        <v>3930</v>
      </c>
      <c r="E285" s="18" t="s">
        <v>3930</v>
      </c>
      <c r="F285"/>
      <c r="G285"/>
      <c r="H285"/>
      <c r="I285"/>
      <c r="J285"/>
      <c r="K285" s="66"/>
    </row>
    <row r="286" spans="2:11">
      <c r="B286" s="17" t="s">
        <v>3930</v>
      </c>
      <c r="C286"/>
      <c r="D286" s="18" t="s">
        <v>3930</v>
      </c>
      <c r="E286" s="18" t="s">
        <v>3930</v>
      </c>
      <c r="F286"/>
      <c r="G286"/>
      <c r="H286"/>
      <c r="I286"/>
      <c r="J286"/>
      <c r="K286" s="66"/>
    </row>
    <row r="287" spans="2:11">
      <c r="B287" s="17" t="s">
        <v>3930</v>
      </c>
      <c r="C287"/>
      <c r="D287" s="18" t="s">
        <v>3930</v>
      </c>
      <c r="E287" s="18" t="s">
        <v>3930</v>
      </c>
      <c r="F287"/>
      <c r="G287"/>
      <c r="H287"/>
      <c r="I287"/>
      <c r="J287"/>
      <c r="K287" s="66"/>
    </row>
    <row r="288" spans="2:11">
      <c r="B288" s="17" t="s">
        <v>3930</v>
      </c>
      <c r="C288"/>
      <c r="D288" s="18" t="s">
        <v>3930</v>
      </c>
      <c r="E288" s="18" t="s">
        <v>3930</v>
      </c>
      <c r="F288"/>
      <c r="G288"/>
      <c r="H288"/>
      <c r="I288"/>
      <c r="J288"/>
      <c r="K288" s="66"/>
    </row>
    <row r="289" spans="2:11">
      <c r="B289" s="17" t="s">
        <v>3930</v>
      </c>
      <c r="C289"/>
      <c r="D289" s="18" t="s">
        <v>3930</v>
      </c>
      <c r="E289" s="18" t="s">
        <v>3930</v>
      </c>
      <c r="F289"/>
      <c r="G289"/>
      <c r="H289"/>
      <c r="I289"/>
      <c r="J289"/>
      <c r="K289" s="66"/>
    </row>
    <row r="290" spans="2:11">
      <c r="B290" s="17" t="s">
        <v>3930</v>
      </c>
      <c r="C290"/>
      <c r="D290" s="18" t="s">
        <v>3930</v>
      </c>
      <c r="E290" s="18" t="s">
        <v>3930</v>
      </c>
      <c r="F290"/>
      <c r="G290"/>
      <c r="H290"/>
      <c r="I290"/>
      <c r="J290"/>
      <c r="K290" s="66"/>
    </row>
    <row r="291" spans="2:11">
      <c r="B291" s="17" t="s">
        <v>3930</v>
      </c>
      <c r="C291"/>
      <c r="D291" s="18" t="s">
        <v>3930</v>
      </c>
      <c r="E291" s="18" t="s">
        <v>3930</v>
      </c>
      <c r="F291"/>
      <c r="G291"/>
      <c r="H291"/>
      <c r="I291"/>
      <c r="J291"/>
      <c r="K291" s="66"/>
    </row>
    <row r="292" spans="2:11">
      <c r="B292" s="17" t="s">
        <v>3930</v>
      </c>
      <c r="C292"/>
      <c r="D292" s="18" t="s">
        <v>3930</v>
      </c>
      <c r="E292" s="18" t="s">
        <v>3930</v>
      </c>
      <c r="F292"/>
      <c r="G292"/>
      <c r="H292"/>
      <c r="I292"/>
      <c r="J292"/>
      <c r="K292" s="66"/>
    </row>
    <row r="293" spans="2:11">
      <c r="B293" s="17" t="s">
        <v>3930</v>
      </c>
      <c r="C293"/>
      <c r="D293" s="18" t="s">
        <v>3930</v>
      </c>
      <c r="E293" s="18" t="s">
        <v>3930</v>
      </c>
      <c r="F293"/>
      <c r="G293"/>
      <c r="H293"/>
      <c r="I293"/>
      <c r="J293"/>
      <c r="K293" s="66"/>
    </row>
    <row r="294" spans="2:11">
      <c r="B294" s="17" t="s">
        <v>3930</v>
      </c>
      <c r="C294"/>
      <c r="D294" s="18" t="s">
        <v>3930</v>
      </c>
      <c r="E294" s="18" t="s">
        <v>3930</v>
      </c>
      <c r="F294"/>
      <c r="G294"/>
      <c r="H294"/>
      <c r="I294"/>
      <c r="J294"/>
      <c r="K294" s="66"/>
    </row>
    <row r="295" spans="2:11">
      <c r="B295" s="17" t="s">
        <v>3930</v>
      </c>
      <c r="C295"/>
      <c r="D295" s="18" t="s">
        <v>3930</v>
      </c>
      <c r="E295" s="18" t="s">
        <v>3930</v>
      </c>
      <c r="F295"/>
      <c r="G295"/>
      <c r="H295"/>
      <c r="I295"/>
      <c r="J295"/>
      <c r="K295" s="66"/>
    </row>
    <row r="296" spans="2:11">
      <c r="B296" s="17" t="s">
        <v>3930</v>
      </c>
      <c r="C296"/>
      <c r="D296" s="18" t="s">
        <v>3930</v>
      </c>
      <c r="E296" s="18" t="s">
        <v>3930</v>
      </c>
      <c r="F296"/>
      <c r="G296"/>
      <c r="H296"/>
      <c r="I296"/>
      <c r="J296"/>
      <c r="K296" s="66"/>
    </row>
    <row r="297" spans="2:11">
      <c r="B297" s="17" t="s">
        <v>3930</v>
      </c>
      <c r="C297"/>
      <c r="D297" s="18" t="s">
        <v>3930</v>
      </c>
      <c r="E297" s="18" t="s">
        <v>3930</v>
      </c>
      <c r="F297"/>
      <c r="G297"/>
      <c r="H297"/>
      <c r="I297"/>
      <c r="J297"/>
      <c r="K297" s="66"/>
    </row>
    <row r="298" spans="2:11">
      <c r="B298" s="17" t="s">
        <v>3930</v>
      </c>
      <c r="C298"/>
      <c r="D298" s="18" t="s">
        <v>3930</v>
      </c>
      <c r="E298" s="18" t="s">
        <v>3930</v>
      </c>
      <c r="F298"/>
      <c r="G298"/>
      <c r="H298"/>
      <c r="I298"/>
      <c r="J298"/>
      <c r="K298" s="66"/>
    </row>
    <row r="299" spans="2:11">
      <c r="B299" s="17" t="s">
        <v>3930</v>
      </c>
      <c r="C299"/>
      <c r="D299" s="18" t="s">
        <v>3930</v>
      </c>
      <c r="E299" s="18" t="s">
        <v>3930</v>
      </c>
      <c r="F299"/>
      <c r="G299"/>
      <c r="H299"/>
      <c r="I299"/>
      <c r="J299"/>
      <c r="K299" s="66"/>
    </row>
    <row r="300" spans="2:11">
      <c r="B300" s="17" t="s">
        <v>3930</v>
      </c>
      <c r="C300"/>
      <c r="D300" s="18" t="s">
        <v>3930</v>
      </c>
      <c r="E300" s="18" t="s">
        <v>3930</v>
      </c>
      <c r="F300"/>
      <c r="G300"/>
      <c r="H300"/>
      <c r="I300"/>
      <c r="J300"/>
      <c r="K300" s="66"/>
    </row>
    <row r="301" spans="2:11">
      <c r="B301" s="17" t="s">
        <v>3930</v>
      </c>
      <c r="C301"/>
      <c r="D301" s="18" t="s">
        <v>3930</v>
      </c>
      <c r="E301" s="18" t="s">
        <v>3930</v>
      </c>
      <c r="F301"/>
      <c r="G301"/>
      <c r="H301"/>
      <c r="I301"/>
      <c r="J301"/>
      <c r="K301" s="66"/>
    </row>
    <row r="302" spans="2:11">
      <c r="B302" s="17" t="s">
        <v>3930</v>
      </c>
      <c r="C302"/>
      <c r="D302" s="18" t="s">
        <v>3930</v>
      </c>
      <c r="E302" s="18" t="s">
        <v>3930</v>
      </c>
      <c r="F302"/>
      <c r="G302"/>
      <c r="H302"/>
      <c r="I302"/>
      <c r="J302"/>
      <c r="K302" s="66"/>
    </row>
    <row r="303" spans="2:11">
      <c r="B303" s="17" t="s">
        <v>3930</v>
      </c>
      <c r="C303"/>
      <c r="D303" s="18" t="s">
        <v>3930</v>
      </c>
      <c r="E303" s="18" t="s">
        <v>3930</v>
      </c>
      <c r="F303"/>
      <c r="G303"/>
      <c r="H303"/>
      <c r="I303"/>
      <c r="J303"/>
      <c r="K303" s="66"/>
    </row>
    <row r="304" spans="2:11">
      <c r="B304" s="17" t="s">
        <v>3930</v>
      </c>
      <c r="C304"/>
      <c r="D304" s="18" t="s">
        <v>3930</v>
      </c>
      <c r="E304" s="18" t="s">
        <v>3930</v>
      </c>
      <c r="F304"/>
      <c r="G304"/>
      <c r="H304"/>
      <c r="I304"/>
      <c r="J304"/>
      <c r="K304" s="66"/>
    </row>
    <row r="305" spans="2:11">
      <c r="B305" s="17" t="s">
        <v>3930</v>
      </c>
      <c r="C305"/>
      <c r="D305" s="18" t="s">
        <v>3930</v>
      </c>
      <c r="E305" s="18" t="s">
        <v>3930</v>
      </c>
      <c r="F305"/>
      <c r="G305"/>
      <c r="H305"/>
      <c r="I305"/>
      <c r="J305"/>
      <c r="K305" s="66"/>
    </row>
    <row r="306" spans="2:11">
      <c r="B306" s="17" t="s">
        <v>3930</v>
      </c>
      <c r="C306"/>
      <c r="D306" s="18" t="s">
        <v>3930</v>
      </c>
      <c r="E306" s="18" t="s">
        <v>3930</v>
      </c>
      <c r="F306"/>
      <c r="G306"/>
      <c r="H306"/>
      <c r="I306"/>
      <c r="J306"/>
      <c r="K306" s="66"/>
    </row>
    <row r="307" spans="2:11">
      <c r="B307" s="17" t="s">
        <v>3930</v>
      </c>
      <c r="C307"/>
      <c r="D307" s="18" t="s">
        <v>3930</v>
      </c>
      <c r="E307" s="18" t="s">
        <v>3930</v>
      </c>
      <c r="F307"/>
      <c r="G307"/>
      <c r="H307"/>
      <c r="I307"/>
      <c r="J307"/>
      <c r="K307" s="66"/>
    </row>
    <row r="308" spans="2:11">
      <c r="B308" s="17" t="s">
        <v>3930</v>
      </c>
      <c r="C308"/>
      <c r="D308" s="18" t="s">
        <v>3930</v>
      </c>
      <c r="E308" s="18" t="s">
        <v>3930</v>
      </c>
      <c r="F308"/>
      <c r="G308"/>
      <c r="H308"/>
      <c r="I308"/>
      <c r="J308"/>
      <c r="K308" s="66"/>
    </row>
    <row r="309" spans="2:11">
      <c r="B309" s="17" t="s">
        <v>3930</v>
      </c>
      <c r="C309"/>
      <c r="D309" s="18" t="s">
        <v>3930</v>
      </c>
      <c r="E309" s="18" t="s">
        <v>3930</v>
      </c>
      <c r="F309"/>
      <c r="G309"/>
      <c r="H309"/>
      <c r="I309"/>
      <c r="J309"/>
      <c r="K309" s="66"/>
    </row>
    <row r="310" spans="2:11">
      <c r="B310" s="17" t="s">
        <v>3930</v>
      </c>
      <c r="C310"/>
      <c r="D310" s="18" t="s">
        <v>3930</v>
      </c>
      <c r="E310" s="18" t="s">
        <v>3930</v>
      </c>
      <c r="F310"/>
      <c r="G310"/>
      <c r="H310"/>
      <c r="I310"/>
      <c r="J310"/>
      <c r="K310" s="66"/>
    </row>
    <row r="311" spans="2:11">
      <c r="B311" s="17" t="s">
        <v>3930</v>
      </c>
      <c r="C311"/>
      <c r="D311" s="18" t="s">
        <v>3930</v>
      </c>
      <c r="E311" s="18" t="s">
        <v>3930</v>
      </c>
      <c r="F311"/>
      <c r="G311"/>
      <c r="H311"/>
      <c r="I311"/>
      <c r="J311"/>
      <c r="K311" s="66"/>
    </row>
    <row r="312" spans="2:11">
      <c r="B312" s="17" t="s">
        <v>3930</v>
      </c>
      <c r="C312"/>
      <c r="D312" s="18" t="s">
        <v>3930</v>
      </c>
      <c r="E312" s="18" t="s">
        <v>3930</v>
      </c>
      <c r="F312"/>
      <c r="G312"/>
      <c r="H312"/>
      <c r="I312"/>
      <c r="J312"/>
      <c r="K312" s="66"/>
    </row>
    <row r="313" spans="2:11">
      <c r="B313" s="17" t="s">
        <v>3930</v>
      </c>
      <c r="C313"/>
      <c r="D313" s="18" t="s">
        <v>3930</v>
      </c>
      <c r="E313" s="18" t="s">
        <v>3930</v>
      </c>
      <c r="F313"/>
      <c r="G313"/>
      <c r="H313"/>
      <c r="I313"/>
      <c r="J313"/>
      <c r="K313" s="66"/>
    </row>
    <row r="314" spans="2:11">
      <c r="B314" s="17" t="s">
        <v>3930</v>
      </c>
      <c r="C314"/>
      <c r="D314" s="18" t="s">
        <v>3930</v>
      </c>
      <c r="E314" s="18" t="s">
        <v>3930</v>
      </c>
      <c r="F314"/>
      <c r="G314"/>
      <c r="H314"/>
      <c r="I314"/>
      <c r="J314"/>
      <c r="K314" s="66"/>
    </row>
    <row r="315" spans="2:11">
      <c r="B315" s="17" t="s">
        <v>3930</v>
      </c>
      <c r="C315"/>
      <c r="D315" s="18" t="s">
        <v>3930</v>
      </c>
      <c r="E315" s="18" t="s">
        <v>3930</v>
      </c>
      <c r="F315"/>
      <c r="G315"/>
      <c r="H315"/>
      <c r="I315"/>
      <c r="J315"/>
      <c r="K315" s="66"/>
    </row>
    <row r="316" spans="2:11">
      <c r="B316" s="17" t="s">
        <v>3930</v>
      </c>
      <c r="C316"/>
      <c r="D316" s="18" t="s">
        <v>3930</v>
      </c>
      <c r="E316" s="18" t="s">
        <v>3930</v>
      </c>
      <c r="F316"/>
      <c r="G316"/>
      <c r="H316"/>
      <c r="I316"/>
      <c r="J316"/>
      <c r="K316" s="66"/>
    </row>
    <row r="317" spans="2:11">
      <c r="B317" s="17" t="s">
        <v>3930</v>
      </c>
      <c r="C317"/>
      <c r="D317" s="18" t="s">
        <v>3930</v>
      </c>
      <c r="E317" s="18" t="s">
        <v>3930</v>
      </c>
      <c r="F317"/>
      <c r="G317"/>
      <c r="H317"/>
      <c r="I317"/>
      <c r="J317"/>
      <c r="K317" s="66"/>
    </row>
    <row r="318" spans="2:11">
      <c r="B318" s="17" t="s">
        <v>3930</v>
      </c>
      <c r="C318"/>
      <c r="D318" s="18" t="s">
        <v>3930</v>
      </c>
      <c r="E318" s="18" t="s">
        <v>3930</v>
      </c>
      <c r="F318"/>
      <c r="G318"/>
      <c r="H318"/>
      <c r="I318"/>
      <c r="J318"/>
      <c r="K318" s="66"/>
    </row>
    <row r="319" spans="2:11">
      <c r="B319" s="17" t="s">
        <v>3930</v>
      </c>
      <c r="C319"/>
      <c r="D319" s="18" t="s">
        <v>3930</v>
      </c>
      <c r="E319" s="18" t="s">
        <v>3930</v>
      </c>
      <c r="F319"/>
      <c r="G319"/>
      <c r="H319"/>
      <c r="I319"/>
      <c r="J319"/>
      <c r="K319" s="66"/>
    </row>
    <row r="320" spans="2:11">
      <c r="B320" s="17" t="s">
        <v>3930</v>
      </c>
      <c r="C320"/>
      <c r="D320" s="18" t="s">
        <v>3930</v>
      </c>
      <c r="E320" s="18" t="s">
        <v>3930</v>
      </c>
      <c r="F320"/>
      <c r="G320"/>
      <c r="H320"/>
      <c r="I320"/>
      <c r="J320"/>
      <c r="K320" s="66"/>
    </row>
    <row r="321" spans="2:11">
      <c r="B321" s="17" t="s">
        <v>3930</v>
      </c>
      <c r="C321"/>
      <c r="D321" s="18" t="s">
        <v>3930</v>
      </c>
      <c r="E321" s="18" t="s">
        <v>3930</v>
      </c>
      <c r="F321"/>
      <c r="G321"/>
      <c r="H321"/>
      <c r="I321"/>
      <c r="J321"/>
      <c r="K321" s="66"/>
    </row>
    <row r="322" spans="2:11">
      <c r="B322" s="17" t="s">
        <v>3930</v>
      </c>
      <c r="C322"/>
      <c r="D322" s="18" t="s">
        <v>3930</v>
      </c>
      <c r="E322" s="18" t="s">
        <v>3930</v>
      </c>
      <c r="F322"/>
      <c r="G322"/>
      <c r="H322"/>
      <c r="I322"/>
      <c r="J322"/>
      <c r="K322" s="66"/>
    </row>
    <row r="323" spans="2:11">
      <c r="B323" s="17" t="s">
        <v>3930</v>
      </c>
      <c r="C323"/>
      <c r="D323" s="18" t="s">
        <v>3930</v>
      </c>
      <c r="E323" s="18" t="s">
        <v>3930</v>
      </c>
      <c r="F323"/>
      <c r="G323"/>
      <c r="H323"/>
      <c r="I323"/>
      <c r="J323"/>
      <c r="K323" s="66"/>
    </row>
    <row r="324" spans="2:11">
      <c r="B324" s="17" t="s">
        <v>3930</v>
      </c>
      <c r="C324"/>
      <c r="D324" s="18" t="s">
        <v>3930</v>
      </c>
      <c r="E324" s="18" t="s">
        <v>3930</v>
      </c>
      <c r="F324"/>
      <c r="G324"/>
      <c r="H324"/>
      <c r="I324"/>
      <c r="J324"/>
      <c r="K324" s="66"/>
    </row>
    <row r="325" spans="2:11">
      <c r="B325" s="17" t="s">
        <v>3930</v>
      </c>
      <c r="C325"/>
      <c r="D325" s="18" t="s">
        <v>3930</v>
      </c>
      <c r="E325" s="18" t="s">
        <v>3930</v>
      </c>
      <c r="F325"/>
      <c r="G325"/>
      <c r="H325"/>
      <c r="I325"/>
      <c r="J325"/>
      <c r="K325" s="66"/>
    </row>
    <row r="326" spans="2:11">
      <c r="B326" s="17" t="s">
        <v>3930</v>
      </c>
      <c r="C326"/>
      <c r="D326" s="18" t="s">
        <v>3930</v>
      </c>
      <c r="E326" s="18" t="s">
        <v>3930</v>
      </c>
      <c r="F326"/>
      <c r="G326"/>
      <c r="H326"/>
      <c r="I326"/>
      <c r="J326"/>
      <c r="K326" s="66"/>
    </row>
    <row r="327" spans="2:11">
      <c r="B327" s="17" t="s">
        <v>3930</v>
      </c>
      <c r="C327"/>
      <c r="D327" s="18" t="s">
        <v>3930</v>
      </c>
      <c r="E327" s="18" t="s">
        <v>3930</v>
      </c>
      <c r="F327"/>
      <c r="G327"/>
      <c r="H327"/>
      <c r="I327"/>
      <c r="J327"/>
      <c r="K327" s="66"/>
    </row>
    <row r="328" spans="2:11">
      <c r="B328" s="17" t="s">
        <v>3930</v>
      </c>
      <c r="C328"/>
      <c r="D328" s="18" t="s">
        <v>3930</v>
      </c>
      <c r="E328" s="18" t="s">
        <v>3930</v>
      </c>
      <c r="F328"/>
      <c r="G328"/>
      <c r="H328"/>
      <c r="I328"/>
      <c r="J328"/>
      <c r="K328" s="66"/>
    </row>
    <row r="329" spans="2:11">
      <c r="B329" s="17" t="s">
        <v>3930</v>
      </c>
      <c r="C329"/>
      <c r="D329" s="18" t="s">
        <v>3930</v>
      </c>
      <c r="E329" s="18" t="s">
        <v>3930</v>
      </c>
      <c r="F329"/>
      <c r="G329"/>
      <c r="H329"/>
      <c r="I329"/>
      <c r="J329"/>
      <c r="K329" s="66"/>
    </row>
    <row r="330" spans="2:11">
      <c r="B330" s="17" t="s">
        <v>3930</v>
      </c>
      <c r="C330"/>
      <c r="D330" s="18" t="s">
        <v>3930</v>
      </c>
      <c r="E330" s="18" t="s">
        <v>3930</v>
      </c>
      <c r="F330"/>
      <c r="G330"/>
      <c r="H330"/>
      <c r="I330"/>
      <c r="J330"/>
      <c r="K330" s="66"/>
    </row>
    <row r="331" spans="2:11">
      <c r="B331" s="17" t="s">
        <v>3930</v>
      </c>
      <c r="C331"/>
      <c r="D331" s="18" t="s">
        <v>3930</v>
      </c>
      <c r="E331" s="18" t="s">
        <v>3930</v>
      </c>
      <c r="F331"/>
      <c r="G331"/>
      <c r="H331"/>
      <c r="I331"/>
      <c r="J331"/>
      <c r="K331" s="66"/>
    </row>
    <row r="332" spans="2:11">
      <c r="B332" s="17" t="s">
        <v>3930</v>
      </c>
      <c r="C332"/>
      <c r="D332" s="18" t="s">
        <v>3930</v>
      </c>
      <c r="E332" s="18" t="s">
        <v>3930</v>
      </c>
      <c r="F332"/>
      <c r="G332"/>
      <c r="H332"/>
      <c r="I332"/>
      <c r="J332"/>
      <c r="K332" s="66"/>
    </row>
    <row r="333" spans="2:11">
      <c r="B333" s="17" t="s">
        <v>3930</v>
      </c>
      <c r="C333"/>
      <c r="D333" s="18" t="s">
        <v>3930</v>
      </c>
      <c r="E333" s="18" t="s">
        <v>3930</v>
      </c>
      <c r="F333"/>
      <c r="G333"/>
      <c r="H333"/>
      <c r="I333"/>
      <c r="J333"/>
      <c r="K333" s="66"/>
    </row>
    <row r="334" spans="2:11">
      <c r="B334" s="17" t="s">
        <v>3930</v>
      </c>
      <c r="C334"/>
      <c r="D334" s="18" t="s">
        <v>3930</v>
      </c>
      <c r="E334" s="18" t="s">
        <v>3930</v>
      </c>
      <c r="F334"/>
      <c r="G334"/>
      <c r="H334"/>
      <c r="I334"/>
      <c r="J334"/>
      <c r="K334" s="66"/>
    </row>
    <row r="335" spans="2:11">
      <c r="B335" s="17" t="s">
        <v>3930</v>
      </c>
      <c r="C335"/>
      <c r="D335" s="18" t="s">
        <v>3930</v>
      </c>
      <c r="E335" s="18" t="s">
        <v>3930</v>
      </c>
      <c r="F335"/>
      <c r="G335"/>
      <c r="H335"/>
      <c r="I335"/>
      <c r="J335"/>
      <c r="K335" s="66"/>
    </row>
    <row r="336" spans="2:11">
      <c r="B336" s="17" t="s">
        <v>3930</v>
      </c>
      <c r="C336"/>
      <c r="D336" s="18" t="s">
        <v>3930</v>
      </c>
      <c r="E336" s="18" t="s">
        <v>3930</v>
      </c>
      <c r="F336"/>
      <c r="G336"/>
      <c r="H336"/>
      <c r="I336"/>
      <c r="J336"/>
      <c r="K336" s="66"/>
    </row>
    <row r="337" spans="2:11">
      <c r="B337" s="17" t="s">
        <v>3930</v>
      </c>
      <c r="C337"/>
      <c r="D337" s="18" t="s">
        <v>3930</v>
      </c>
      <c r="E337" s="18" t="s">
        <v>3930</v>
      </c>
      <c r="F337"/>
      <c r="G337"/>
      <c r="H337"/>
      <c r="I337"/>
      <c r="J337"/>
      <c r="K337" s="66"/>
    </row>
    <row r="338" spans="2:11">
      <c r="B338" s="17" t="s">
        <v>3930</v>
      </c>
      <c r="C338"/>
      <c r="D338" s="18" t="s">
        <v>3930</v>
      </c>
      <c r="E338" s="18" t="s">
        <v>3930</v>
      </c>
      <c r="F338"/>
      <c r="G338"/>
      <c r="H338"/>
      <c r="I338"/>
      <c r="J338"/>
      <c r="K338" s="66"/>
    </row>
    <row r="339" spans="2:11">
      <c r="B339" s="17" t="s">
        <v>3930</v>
      </c>
      <c r="C339"/>
      <c r="D339" s="18" t="s">
        <v>3930</v>
      </c>
      <c r="E339" s="18" t="s">
        <v>3930</v>
      </c>
      <c r="F339"/>
      <c r="G339"/>
      <c r="H339"/>
      <c r="I339"/>
      <c r="J339"/>
      <c r="K339" s="66"/>
    </row>
    <row r="340" spans="2:11">
      <c r="B340" s="17" t="s">
        <v>3930</v>
      </c>
      <c r="C340"/>
      <c r="D340" s="18" t="s">
        <v>3930</v>
      </c>
      <c r="E340" s="18" t="s">
        <v>3930</v>
      </c>
      <c r="F340"/>
      <c r="G340"/>
      <c r="H340"/>
      <c r="I340"/>
      <c r="J340"/>
      <c r="K340" s="66"/>
    </row>
    <row r="341" spans="2:11">
      <c r="B341" s="17" t="s">
        <v>3930</v>
      </c>
      <c r="C341"/>
      <c r="D341" s="18" t="s">
        <v>3930</v>
      </c>
      <c r="E341" s="18" t="s">
        <v>3930</v>
      </c>
      <c r="F341"/>
      <c r="G341"/>
      <c r="H341"/>
      <c r="I341"/>
      <c r="J341"/>
      <c r="K341" s="66"/>
    </row>
    <row r="342" spans="2:11">
      <c r="B342" s="17" t="s">
        <v>3930</v>
      </c>
      <c r="C342"/>
      <c r="D342" s="18" t="s">
        <v>3930</v>
      </c>
      <c r="E342" s="18" t="s">
        <v>3930</v>
      </c>
      <c r="F342"/>
      <c r="G342"/>
      <c r="H342"/>
      <c r="I342"/>
      <c r="J342"/>
      <c r="K342" s="66"/>
    </row>
    <row r="343" spans="2:11">
      <c r="B343" s="17" t="s">
        <v>3930</v>
      </c>
      <c r="C343"/>
      <c r="D343" s="18" t="s">
        <v>3930</v>
      </c>
      <c r="E343" s="18" t="s">
        <v>3930</v>
      </c>
      <c r="F343"/>
      <c r="G343"/>
      <c r="H343"/>
      <c r="I343"/>
      <c r="J343"/>
      <c r="K343" s="66"/>
    </row>
    <row r="344" spans="2:11">
      <c r="B344" s="17" t="s">
        <v>3930</v>
      </c>
      <c r="C344"/>
      <c r="D344" s="18" t="s">
        <v>3930</v>
      </c>
      <c r="E344" s="18" t="s">
        <v>3930</v>
      </c>
      <c r="F344"/>
      <c r="G344"/>
      <c r="H344"/>
      <c r="I344"/>
      <c r="J344"/>
      <c r="K344" s="66"/>
    </row>
    <row r="345" spans="2:11">
      <c r="B345" s="17" t="s">
        <v>3930</v>
      </c>
      <c r="C345"/>
      <c r="D345" s="18" t="s">
        <v>3930</v>
      </c>
      <c r="E345" s="18" t="s">
        <v>3930</v>
      </c>
      <c r="F345"/>
      <c r="G345"/>
      <c r="H345"/>
      <c r="I345"/>
      <c r="J345"/>
      <c r="K345" s="66"/>
    </row>
    <row r="346" spans="2:11">
      <c r="B346" s="17" t="s">
        <v>3930</v>
      </c>
      <c r="C346"/>
      <c r="D346" s="18" t="s">
        <v>3930</v>
      </c>
      <c r="E346" s="18" t="s">
        <v>3930</v>
      </c>
      <c r="F346"/>
      <c r="G346"/>
      <c r="H346"/>
      <c r="I346"/>
      <c r="J346"/>
      <c r="K346" s="66"/>
    </row>
    <row r="347" spans="2:11">
      <c r="B347" s="17" t="s">
        <v>3930</v>
      </c>
      <c r="C347"/>
      <c r="D347" s="18" t="s">
        <v>3930</v>
      </c>
      <c r="E347" s="18" t="s">
        <v>3930</v>
      </c>
      <c r="F347"/>
      <c r="G347"/>
      <c r="H347"/>
      <c r="I347"/>
      <c r="J347"/>
      <c r="K347" s="66"/>
    </row>
    <row r="348" spans="2:11">
      <c r="B348" s="17" t="s">
        <v>3930</v>
      </c>
      <c r="C348"/>
      <c r="D348" s="18" t="s">
        <v>3930</v>
      </c>
      <c r="E348" s="18" t="s">
        <v>3930</v>
      </c>
      <c r="F348"/>
      <c r="G348"/>
      <c r="H348"/>
      <c r="I348"/>
      <c r="J348"/>
      <c r="K348" s="66"/>
    </row>
    <row r="349" spans="2:11">
      <c r="B349" s="17" t="s">
        <v>3930</v>
      </c>
      <c r="C349"/>
      <c r="D349" s="18" t="s">
        <v>3930</v>
      </c>
      <c r="E349" s="18" t="s">
        <v>3930</v>
      </c>
      <c r="F349"/>
      <c r="G349"/>
      <c r="H349"/>
      <c r="I349"/>
      <c r="J349"/>
      <c r="K349" s="66"/>
    </row>
    <row r="350" spans="2:11">
      <c r="B350" s="17" t="s">
        <v>3930</v>
      </c>
      <c r="C350"/>
      <c r="D350" s="18" t="s">
        <v>3930</v>
      </c>
      <c r="E350" s="18" t="s">
        <v>3930</v>
      </c>
      <c r="F350"/>
      <c r="G350"/>
      <c r="H350"/>
      <c r="I350"/>
      <c r="J350"/>
      <c r="K350" s="66"/>
    </row>
    <row r="351" spans="2:11">
      <c r="B351" s="17" t="s">
        <v>3930</v>
      </c>
      <c r="C351"/>
      <c r="D351" s="18" t="s">
        <v>3930</v>
      </c>
      <c r="E351" s="18" t="s">
        <v>3930</v>
      </c>
      <c r="F351"/>
      <c r="G351"/>
      <c r="H351"/>
      <c r="I351"/>
      <c r="J351"/>
      <c r="K351" s="66"/>
    </row>
    <row r="352" spans="2:11">
      <c r="B352" s="17" t="s">
        <v>3930</v>
      </c>
      <c r="C352"/>
      <c r="D352" s="18" t="s">
        <v>3930</v>
      </c>
      <c r="E352" s="18" t="s">
        <v>3930</v>
      </c>
      <c r="F352"/>
      <c r="G352"/>
      <c r="H352"/>
      <c r="I352"/>
      <c r="J352"/>
      <c r="K352" s="66"/>
    </row>
    <row r="353" spans="2:11">
      <c r="B353" s="17" t="s">
        <v>3930</v>
      </c>
      <c r="C353"/>
      <c r="D353" s="18" t="s">
        <v>3930</v>
      </c>
      <c r="E353" s="18" t="s">
        <v>3930</v>
      </c>
      <c r="F353"/>
      <c r="G353"/>
      <c r="H353"/>
      <c r="I353"/>
      <c r="J353"/>
      <c r="K353" s="66"/>
    </row>
    <row r="354" spans="2:11">
      <c r="B354" s="17" t="s">
        <v>3930</v>
      </c>
      <c r="C354"/>
      <c r="D354" s="18" t="s">
        <v>3930</v>
      </c>
      <c r="E354" s="18" t="s">
        <v>3930</v>
      </c>
      <c r="F354"/>
      <c r="G354"/>
      <c r="H354"/>
      <c r="I354"/>
      <c r="J354"/>
      <c r="K354" s="66"/>
    </row>
    <row r="355" spans="2:11">
      <c r="B355" s="17" t="s">
        <v>3930</v>
      </c>
      <c r="C355"/>
      <c r="D355" s="18" t="s">
        <v>3930</v>
      </c>
      <c r="E355" s="18" t="s">
        <v>3930</v>
      </c>
      <c r="F355"/>
      <c r="G355"/>
      <c r="H355"/>
      <c r="I355"/>
      <c r="J355"/>
      <c r="K355" s="66"/>
    </row>
    <row r="356" spans="2:11">
      <c r="B356" s="17" t="s">
        <v>3930</v>
      </c>
      <c r="C356"/>
      <c r="D356" s="18" t="s">
        <v>3930</v>
      </c>
      <c r="E356" s="18" t="s">
        <v>3930</v>
      </c>
      <c r="F356"/>
      <c r="G356"/>
      <c r="H356"/>
      <c r="I356"/>
      <c r="J356"/>
      <c r="K356" s="66"/>
    </row>
    <row r="357" spans="2:11">
      <c r="B357" s="17" t="s">
        <v>3930</v>
      </c>
      <c r="C357"/>
      <c r="D357" s="18" t="s">
        <v>3930</v>
      </c>
      <c r="E357" s="18" t="s">
        <v>3930</v>
      </c>
      <c r="F357"/>
      <c r="G357"/>
      <c r="H357"/>
      <c r="I357"/>
      <c r="J357"/>
      <c r="K357" s="66"/>
    </row>
    <row r="358" spans="2:11">
      <c r="B358" s="17" t="s">
        <v>3930</v>
      </c>
      <c r="C358"/>
      <c r="D358" s="18" t="s">
        <v>3930</v>
      </c>
      <c r="E358" s="18" t="s">
        <v>3930</v>
      </c>
      <c r="F358"/>
      <c r="G358"/>
      <c r="H358"/>
      <c r="I358"/>
      <c r="J358"/>
      <c r="K358" s="66"/>
    </row>
    <row r="359" spans="2:11">
      <c r="B359" s="17" t="s">
        <v>3930</v>
      </c>
      <c r="C359"/>
      <c r="D359" s="18" t="s">
        <v>3930</v>
      </c>
      <c r="E359" s="18" t="s">
        <v>3930</v>
      </c>
      <c r="F359"/>
      <c r="G359"/>
      <c r="H359"/>
      <c r="I359"/>
      <c r="J359"/>
      <c r="K359" s="66"/>
    </row>
    <row r="360" spans="2:11">
      <c r="B360" s="17" t="s">
        <v>3930</v>
      </c>
      <c r="C360"/>
      <c r="D360" s="18" t="s">
        <v>3930</v>
      </c>
      <c r="E360" s="18" t="s">
        <v>3930</v>
      </c>
      <c r="F360"/>
      <c r="G360"/>
      <c r="H360"/>
      <c r="I360"/>
      <c r="J360"/>
      <c r="K360" s="66"/>
    </row>
    <row r="361" spans="2:11">
      <c r="B361" s="17" t="s">
        <v>3930</v>
      </c>
      <c r="C361"/>
      <c r="D361" s="18" t="s">
        <v>3930</v>
      </c>
      <c r="E361" s="18" t="s">
        <v>3930</v>
      </c>
      <c r="F361"/>
      <c r="G361"/>
      <c r="H361"/>
      <c r="I361"/>
      <c r="J361"/>
      <c r="K361" s="66"/>
    </row>
    <row r="362" spans="2:11">
      <c r="B362" s="17" t="s">
        <v>3930</v>
      </c>
      <c r="C362"/>
      <c r="D362" s="18" t="s">
        <v>3930</v>
      </c>
      <c r="E362" s="18" t="s">
        <v>3930</v>
      </c>
      <c r="F362"/>
      <c r="G362"/>
      <c r="H362"/>
      <c r="I362"/>
      <c r="J362"/>
      <c r="K362" s="66"/>
    </row>
    <row r="363" spans="2:11">
      <c r="B363" s="17" t="s">
        <v>3930</v>
      </c>
      <c r="C363"/>
      <c r="D363" s="18" t="s">
        <v>3930</v>
      </c>
      <c r="E363" s="18" t="s">
        <v>3930</v>
      </c>
      <c r="F363"/>
      <c r="G363"/>
      <c r="H363"/>
      <c r="I363"/>
      <c r="J363"/>
      <c r="K363" s="66"/>
    </row>
    <row r="364" spans="2:11">
      <c r="B364" s="17" t="s">
        <v>3930</v>
      </c>
      <c r="C364"/>
      <c r="D364" s="18" t="s">
        <v>3930</v>
      </c>
      <c r="E364" s="18" t="s">
        <v>3930</v>
      </c>
      <c r="F364"/>
      <c r="G364"/>
      <c r="H364"/>
      <c r="I364"/>
      <c r="J364"/>
      <c r="K364" s="66"/>
    </row>
    <row r="365" spans="2:11">
      <c r="B365" s="17" t="s">
        <v>3930</v>
      </c>
      <c r="C365"/>
      <c r="D365" s="18" t="s">
        <v>3930</v>
      </c>
      <c r="E365" s="18" t="s">
        <v>3930</v>
      </c>
      <c r="F365"/>
      <c r="G365"/>
      <c r="H365"/>
      <c r="I365"/>
      <c r="J365"/>
      <c r="K365" s="66"/>
    </row>
    <row r="366" spans="2:11">
      <c r="B366" s="17" t="s">
        <v>3930</v>
      </c>
      <c r="C366"/>
      <c r="D366" s="18" t="s">
        <v>3930</v>
      </c>
      <c r="E366" s="18" t="s">
        <v>3930</v>
      </c>
      <c r="F366"/>
      <c r="G366"/>
      <c r="H366"/>
      <c r="I366"/>
      <c r="J366"/>
      <c r="K366" s="66"/>
    </row>
    <row r="367" spans="2:11">
      <c r="B367" s="17" t="s">
        <v>3930</v>
      </c>
      <c r="C367"/>
      <c r="D367" s="18" t="s">
        <v>3930</v>
      </c>
      <c r="E367" s="18" t="s">
        <v>3930</v>
      </c>
      <c r="F367"/>
      <c r="G367"/>
      <c r="H367"/>
      <c r="I367"/>
      <c r="J367"/>
      <c r="K367" s="66"/>
    </row>
    <row r="368" spans="2:11">
      <c r="B368" s="17" t="s">
        <v>3930</v>
      </c>
      <c r="C368"/>
      <c r="D368" s="18" t="s">
        <v>3930</v>
      </c>
      <c r="E368" s="18" t="s">
        <v>3930</v>
      </c>
      <c r="F368"/>
      <c r="G368"/>
      <c r="H368"/>
      <c r="I368"/>
      <c r="J368"/>
      <c r="K368" s="66"/>
    </row>
    <row r="369" spans="2:11">
      <c r="B369" s="17" t="s">
        <v>3930</v>
      </c>
      <c r="C369"/>
      <c r="D369" s="18" t="s">
        <v>3930</v>
      </c>
      <c r="E369" s="18" t="s">
        <v>3930</v>
      </c>
      <c r="F369"/>
      <c r="G369"/>
      <c r="H369"/>
      <c r="I369"/>
      <c r="J369"/>
      <c r="K369" s="66"/>
    </row>
    <row r="370" spans="2:11">
      <c r="B370" s="17" t="s">
        <v>3930</v>
      </c>
      <c r="C370"/>
      <c r="D370" s="18" t="s">
        <v>3930</v>
      </c>
      <c r="E370" s="18" t="s">
        <v>3930</v>
      </c>
      <c r="F370"/>
      <c r="G370"/>
      <c r="H370"/>
      <c r="I370"/>
      <c r="J370"/>
      <c r="K370" s="66"/>
    </row>
    <row r="371" spans="2:11">
      <c r="B371" s="17" t="s">
        <v>3930</v>
      </c>
      <c r="C371"/>
      <c r="D371" s="18" t="s">
        <v>3930</v>
      </c>
      <c r="E371" s="18" t="s">
        <v>3930</v>
      </c>
      <c r="F371"/>
      <c r="G371"/>
      <c r="H371"/>
      <c r="I371"/>
      <c r="J371"/>
      <c r="K371" s="66"/>
    </row>
    <row r="372" spans="2:11">
      <c r="B372" s="17" t="s">
        <v>3930</v>
      </c>
      <c r="C372"/>
      <c r="D372" s="18" t="s">
        <v>3930</v>
      </c>
      <c r="E372" s="18" t="s">
        <v>3930</v>
      </c>
      <c r="F372"/>
      <c r="G372"/>
      <c r="H372"/>
      <c r="I372"/>
      <c r="J372"/>
      <c r="K372" s="66"/>
    </row>
    <row r="373" spans="2:11">
      <c r="B373" s="17" t="s">
        <v>3930</v>
      </c>
      <c r="C373"/>
      <c r="D373" s="18" t="s">
        <v>3930</v>
      </c>
      <c r="E373" s="18" t="s">
        <v>3930</v>
      </c>
      <c r="F373"/>
      <c r="G373"/>
      <c r="H373"/>
      <c r="I373"/>
      <c r="J373"/>
      <c r="K373" s="66"/>
    </row>
    <row r="374" spans="2:11">
      <c r="B374" s="17" t="s">
        <v>3930</v>
      </c>
      <c r="C374"/>
      <c r="D374" s="18" t="s">
        <v>3930</v>
      </c>
      <c r="E374" s="18" t="s">
        <v>3930</v>
      </c>
      <c r="F374"/>
      <c r="G374"/>
      <c r="H374"/>
      <c r="I374"/>
      <c r="J374"/>
      <c r="K374" s="66"/>
    </row>
    <row r="375" spans="2:11">
      <c r="B375" s="17" t="s">
        <v>3930</v>
      </c>
      <c r="C375"/>
      <c r="D375" s="18" t="s">
        <v>3930</v>
      </c>
      <c r="E375" s="18" t="s">
        <v>3930</v>
      </c>
      <c r="F375"/>
      <c r="G375"/>
      <c r="H375"/>
      <c r="I375"/>
      <c r="J375"/>
      <c r="K375" s="66"/>
    </row>
    <row r="376" spans="2:11">
      <c r="B376" s="17" t="s">
        <v>3930</v>
      </c>
      <c r="C376"/>
      <c r="D376" s="18" t="s">
        <v>3930</v>
      </c>
      <c r="E376" s="18" t="s">
        <v>3930</v>
      </c>
      <c r="F376"/>
      <c r="G376"/>
      <c r="H376"/>
      <c r="I376"/>
      <c r="J376"/>
      <c r="K376" s="66"/>
    </row>
    <row r="377" spans="2:11">
      <c r="B377" s="17" t="s">
        <v>3930</v>
      </c>
      <c r="C377"/>
      <c r="D377" s="18" t="s">
        <v>3930</v>
      </c>
      <c r="E377" s="18" t="s">
        <v>3930</v>
      </c>
      <c r="F377"/>
      <c r="G377"/>
      <c r="H377"/>
      <c r="I377"/>
      <c r="J377"/>
      <c r="K377" s="66"/>
    </row>
    <row r="378" spans="2:11">
      <c r="B378" s="17" t="s">
        <v>3930</v>
      </c>
      <c r="C378"/>
      <c r="D378" s="18" t="s">
        <v>3930</v>
      </c>
      <c r="E378" s="18" t="s">
        <v>3930</v>
      </c>
      <c r="F378"/>
      <c r="G378"/>
      <c r="H378"/>
      <c r="I378"/>
      <c r="J378"/>
      <c r="K378" s="66"/>
    </row>
    <row r="379" spans="2:11">
      <c r="B379" s="17" t="s">
        <v>3930</v>
      </c>
      <c r="C379"/>
      <c r="D379" s="18" t="s">
        <v>3930</v>
      </c>
      <c r="E379" s="18" t="s">
        <v>3930</v>
      </c>
      <c r="F379"/>
      <c r="G379"/>
      <c r="H379"/>
      <c r="I379"/>
      <c r="J379"/>
      <c r="K379" s="66"/>
    </row>
    <row r="380" spans="2:11">
      <c r="B380" s="17" t="s">
        <v>3930</v>
      </c>
      <c r="C380"/>
      <c r="D380" s="18" t="s">
        <v>3930</v>
      </c>
      <c r="E380" s="18" t="s">
        <v>3930</v>
      </c>
      <c r="F380"/>
      <c r="G380"/>
      <c r="H380"/>
      <c r="I380"/>
      <c r="J380"/>
      <c r="K380" s="66"/>
    </row>
    <row r="381" spans="2:11">
      <c r="B381" s="17" t="s">
        <v>3930</v>
      </c>
      <c r="C381"/>
      <c r="D381" s="18" t="s">
        <v>3930</v>
      </c>
      <c r="E381" s="18" t="s">
        <v>3930</v>
      </c>
      <c r="F381"/>
      <c r="G381"/>
      <c r="H381"/>
      <c r="I381"/>
      <c r="J381"/>
      <c r="K381" s="66"/>
    </row>
    <row r="382" spans="2:11">
      <c r="B382" s="17" t="s">
        <v>3930</v>
      </c>
      <c r="C382"/>
      <c r="D382" s="18" t="s">
        <v>3930</v>
      </c>
      <c r="E382" s="18" t="s">
        <v>3930</v>
      </c>
      <c r="F382"/>
      <c r="G382"/>
      <c r="H382"/>
      <c r="I382"/>
      <c r="J382"/>
      <c r="K382" s="66"/>
    </row>
    <row r="383" spans="2:11">
      <c r="B383" s="17" t="s">
        <v>3930</v>
      </c>
      <c r="C383"/>
      <c r="D383" s="18" t="s">
        <v>3930</v>
      </c>
      <c r="E383" s="18" t="s">
        <v>3930</v>
      </c>
      <c r="F383"/>
      <c r="G383"/>
      <c r="H383"/>
      <c r="I383"/>
      <c r="J383"/>
      <c r="K383" s="66"/>
    </row>
    <row r="384" spans="2:11">
      <c r="B384" s="17" t="s">
        <v>3930</v>
      </c>
      <c r="C384"/>
      <c r="D384" s="18" t="s">
        <v>3930</v>
      </c>
      <c r="E384" s="18" t="s">
        <v>3930</v>
      </c>
      <c r="F384"/>
      <c r="G384"/>
      <c r="H384"/>
      <c r="I384"/>
      <c r="J384"/>
      <c r="K384" s="66"/>
    </row>
    <row r="385" spans="2:11">
      <c r="B385" s="17" t="s">
        <v>3930</v>
      </c>
      <c r="C385"/>
      <c r="D385" s="18" t="s">
        <v>3930</v>
      </c>
      <c r="E385" s="18" t="s">
        <v>3930</v>
      </c>
      <c r="F385"/>
      <c r="G385"/>
      <c r="H385"/>
      <c r="I385"/>
      <c r="J385"/>
      <c r="K385" s="66"/>
    </row>
    <row r="386" spans="2:11">
      <c r="B386" s="17" t="s">
        <v>3930</v>
      </c>
      <c r="C386"/>
      <c r="D386" s="18" t="s">
        <v>3930</v>
      </c>
      <c r="E386" s="18" t="s">
        <v>3930</v>
      </c>
      <c r="F386"/>
      <c r="G386"/>
      <c r="H386"/>
      <c r="I386"/>
      <c r="J386"/>
      <c r="K386" s="66"/>
    </row>
    <row r="387" spans="2:11">
      <c r="B387" s="17" t="s">
        <v>3930</v>
      </c>
      <c r="C387"/>
      <c r="D387" s="18" t="s">
        <v>3930</v>
      </c>
      <c r="E387" s="18" t="s">
        <v>3930</v>
      </c>
      <c r="F387"/>
      <c r="G387"/>
      <c r="H387"/>
      <c r="I387"/>
      <c r="J387"/>
      <c r="K387" s="66"/>
    </row>
    <row r="388" spans="2:11">
      <c r="B388" s="17" t="s">
        <v>3930</v>
      </c>
      <c r="C388"/>
      <c r="D388" s="18" t="s">
        <v>3930</v>
      </c>
      <c r="E388" s="18" t="s">
        <v>3930</v>
      </c>
      <c r="F388"/>
      <c r="G388"/>
      <c r="H388"/>
      <c r="I388"/>
      <c r="J388"/>
      <c r="K388" s="66"/>
    </row>
    <row r="389" spans="2:11">
      <c r="B389" s="17" t="s">
        <v>3930</v>
      </c>
      <c r="C389"/>
      <c r="D389" s="18" t="s">
        <v>3930</v>
      </c>
      <c r="E389" s="18" t="s">
        <v>3930</v>
      </c>
      <c r="F389"/>
      <c r="G389"/>
      <c r="H389"/>
      <c r="I389"/>
      <c r="J389"/>
      <c r="K389" s="66"/>
    </row>
    <row r="390" spans="2:11">
      <c r="B390" s="17" t="s">
        <v>3930</v>
      </c>
      <c r="C390"/>
      <c r="D390" s="18" t="s">
        <v>3930</v>
      </c>
      <c r="E390" s="18" t="s">
        <v>3930</v>
      </c>
      <c r="F390"/>
      <c r="G390"/>
      <c r="H390"/>
      <c r="I390"/>
      <c r="J390"/>
      <c r="K390" s="66"/>
    </row>
    <row r="391" spans="2:11">
      <c r="B391" s="17" t="s">
        <v>3930</v>
      </c>
      <c r="C391"/>
      <c r="D391" s="18" t="s">
        <v>3930</v>
      </c>
      <c r="E391" s="18" t="s">
        <v>3930</v>
      </c>
      <c r="F391"/>
      <c r="G391"/>
      <c r="H391"/>
      <c r="I391"/>
      <c r="J391"/>
      <c r="K391" s="66"/>
    </row>
    <row r="392" spans="2:11">
      <c r="B392" s="17" t="s">
        <v>3930</v>
      </c>
      <c r="C392"/>
      <c r="D392" s="18" t="s">
        <v>3930</v>
      </c>
      <c r="E392" s="18" t="s">
        <v>3930</v>
      </c>
      <c r="F392"/>
      <c r="G392"/>
      <c r="H392"/>
      <c r="I392"/>
      <c r="J392"/>
      <c r="K392" s="66"/>
    </row>
    <row r="393" spans="2:11">
      <c r="B393" s="17" t="s">
        <v>3930</v>
      </c>
      <c r="C393"/>
      <c r="D393" s="18" t="s">
        <v>3930</v>
      </c>
      <c r="E393" s="18" t="s">
        <v>3930</v>
      </c>
      <c r="F393"/>
      <c r="G393"/>
      <c r="H393"/>
      <c r="I393"/>
      <c r="J393"/>
      <c r="K393" s="66"/>
    </row>
    <row r="394" spans="2:11">
      <c r="B394" s="17" t="s">
        <v>3930</v>
      </c>
      <c r="C394"/>
      <c r="D394" s="18" t="s">
        <v>3930</v>
      </c>
      <c r="E394" s="18" t="s">
        <v>3930</v>
      </c>
      <c r="F394"/>
      <c r="G394"/>
      <c r="H394"/>
      <c r="I394"/>
      <c r="J394"/>
      <c r="K394" s="66"/>
    </row>
    <row r="395" spans="2:11">
      <c r="B395" s="17" t="s">
        <v>3930</v>
      </c>
      <c r="C395"/>
      <c r="D395" s="18" t="s">
        <v>3930</v>
      </c>
      <c r="E395" s="18" t="s">
        <v>3930</v>
      </c>
      <c r="F395"/>
      <c r="G395"/>
      <c r="H395"/>
      <c r="I395"/>
      <c r="J395"/>
      <c r="K395" s="66"/>
    </row>
    <row r="396" spans="2:11">
      <c r="B396" s="17" t="s">
        <v>3930</v>
      </c>
      <c r="C396"/>
      <c r="D396" s="18" t="s">
        <v>3930</v>
      </c>
      <c r="E396" s="18" t="s">
        <v>3930</v>
      </c>
      <c r="F396"/>
      <c r="G396"/>
      <c r="H396"/>
      <c r="I396"/>
      <c r="J396"/>
      <c r="K396" s="66"/>
    </row>
    <row r="397" spans="2:11">
      <c r="B397" s="17" t="s">
        <v>3930</v>
      </c>
      <c r="C397"/>
      <c r="D397" s="18" t="s">
        <v>3930</v>
      </c>
      <c r="E397" s="18" t="s">
        <v>3930</v>
      </c>
      <c r="F397"/>
      <c r="G397"/>
      <c r="H397"/>
      <c r="I397"/>
      <c r="J397"/>
      <c r="K397" s="66"/>
    </row>
    <row r="398" spans="2:11">
      <c r="B398" s="17" t="s">
        <v>3930</v>
      </c>
      <c r="C398"/>
      <c r="D398" s="18" t="s">
        <v>3930</v>
      </c>
      <c r="E398" s="18" t="s">
        <v>3930</v>
      </c>
      <c r="F398"/>
      <c r="G398"/>
      <c r="H398"/>
      <c r="I398"/>
      <c r="J398"/>
      <c r="K398" s="66"/>
    </row>
    <row r="399" spans="2:11">
      <c r="B399" s="17" t="s">
        <v>3930</v>
      </c>
      <c r="C399"/>
      <c r="D399" s="18" t="s">
        <v>3930</v>
      </c>
      <c r="E399" s="18" t="s">
        <v>3930</v>
      </c>
      <c r="F399"/>
      <c r="G399"/>
      <c r="H399"/>
      <c r="I399"/>
      <c r="J399"/>
      <c r="K399" s="66"/>
    </row>
    <row r="400" spans="2:11">
      <c r="B400" s="17" t="s">
        <v>3930</v>
      </c>
      <c r="C400"/>
      <c r="D400" s="18" t="s">
        <v>3930</v>
      </c>
      <c r="E400" s="18" t="s">
        <v>3930</v>
      </c>
      <c r="F400"/>
      <c r="G400"/>
      <c r="H400"/>
      <c r="I400"/>
      <c r="J400"/>
      <c r="K400" s="66"/>
    </row>
    <row r="401" spans="2:11">
      <c r="B401" s="17" t="s">
        <v>3930</v>
      </c>
      <c r="C401"/>
      <c r="D401" s="18" t="s">
        <v>3930</v>
      </c>
      <c r="E401" s="18" t="s">
        <v>3930</v>
      </c>
      <c r="F401"/>
      <c r="G401"/>
      <c r="H401"/>
      <c r="I401"/>
      <c r="J401"/>
      <c r="K401" s="66"/>
    </row>
    <row r="402" spans="2:11">
      <c r="B402" s="17" t="s">
        <v>3930</v>
      </c>
      <c r="C402"/>
      <c r="D402" s="18" t="s">
        <v>3930</v>
      </c>
      <c r="E402" s="18" t="s">
        <v>3930</v>
      </c>
      <c r="F402"/>
      <c r="G402"/>
      <c r="H402"/>
      <c r="I402"/>
      <c r="J402"/>
      <c r="K402" s="66"/>
    </row>
    <row r="403" spans="2:11">
      <c r="B403" s="17" t="s">
        <v>3930</v>
      </c>
      <c r="C403"/>
      <c r="D403" s="18" t="s">
        <v>3930</v>
      </c>
      <c r="E403" s="18" t="s">
        <v>3930</v>
      </c>
      <c r="F403"/>
      <c r="G403"/>
      <c r="H403"/>
      <c r="I403"/>
      <c r="J403"/>
      <c r="K403" s="66"/>
    </row>
    <row r="404" spans="2:11">
      <c r="B404" s="17" t="s">
        <v>3930</v>
      </c>
      <c r="C404"/>
      <c r="D404" s="18" t="s">
        <v>3930</v>
      </c>
      <c r="E404" s="18" t="s">
        <v>3930</v>
      </c>
      <c r="F404"/>
      <c r="G404"/>
      <c r="H404"/>
      <c r="I404"/>
      <c r="J404"/>
      <c r="K404" s="66"/>
    </row>
    <row r="405" spans="2:11">
      <c r="B405" s="17" t="s">
        <v>3930</v>
      </c>
      <c r="C405"/>
      <c r="D405" s="18" t="s">
        <v>3930</v>
      </c>
      <c r="E405" s="18" t="s">
        <v>3930</v>
      </c>
      <c r="F405"/>
      <c r="G405"/>
      <c r="H405"/>
      <c r="I405"/>
      <c r="J405"/>
      <c r="K405" s="66"/>
    </row>
    <row r="406" spans="2:11">
      <c r="B406" s="17" t="s">
        <v>3930</v>
      </c>
      <c r="C406"/>
      <c r="D406" s="18" t="s">
        <v>3930</v>
      </c>
      <c r="E406" s="18" t="s">
        <v>3930</v>
      </c>
      <c r="F406"/>
      <c r="G406"/>
      <c r="H406"/>
      <c r="I406"/>
      <c r="J406"/>
      <c r="K406" s="66"/>
    </row>
    <row r="407" spans="2:11">
      <c r="B407" s="17" t="s">
        <v>3930</v>
      </c>
      <c r="C407"/>
      <c r="D407" s="18" t="s">
        <v>3930</v>
      </c>
      <c r="E407" s="18" t="s">
        <v>3930</v>
      </c>
      <c r="F407"/>
      <c r="G407"/>
      <c r="H407"/>
      <c r="I407"/>
      <c r="J407"/>
      <c r="K407" s="66"/>
    </row>
    <row r="408" spans="2:11">
      <c r="B408" s="17" t="s">
        <v>3930</v>
      </c>
      <c r="C408"/>
      <c r="D408" s="18" t="s">
        <v>3930</v>
      </c>
      <c r="E408" s="18" t="s">
        <v>3930</v>
      </c>
      <c r="F408"/>
      <c r="G408"/>
      <c r="H408"/>
      <c r="I408"/>
      <c r="J408"/>
      <c r="K408" s="66"/>
    </row>
    <row r="409" spans="2:11">
      <c r="B409" s="17" t="s">
        <v>3930</v>
      </c>
      <c r="C409"/>
      <c r="D409" s="18" t="s">
        <v>3930</v>
      </c>
      <c r="E409" s="18" t="s">
        <v>3930</v>
      </c>
      <c r="F409"/>
      <c r="G409"/>
      <c r="H409"/>
      <c r="I409"/>
      <c r="J409"/>
      <c r="K409" s="66"/>
    </row>
    <row r="410" spans="2:11">
      <c r="B410" s="17" t="s">
        <v>3930</v>
      </c>
      <c r="C410"/>
      <c r="D410" s="18" t="s">
        <v>3930</v>
      </c>
      <c r="E410" s="18" t="s">
        <v>3930</v>
      </c>
      <c r="F410"/>
      <c r="G410"/>
      <c r="H410"/>
      <c r="I410"/>
      <c r="J410"/>
      <c r="K410" s="66"/>
    </row>
    <row r="411" spans="2:11">
      <c r="B411" s="17" t="s">
        <v>3930</v>
      </c>
      <c r="C411"/>
      <c r="D411" s="18" t="s">
        <v>3930</v>
      </c>
      <c r="E411" s="18" t="s">
        <v>3930</v>
      </c>
      <c r="F411"/>
      <c r="G411"/>
      <c r="H411"/>
      <c r="I411"/>
      <c r="J411"/>
      <c r="K411" s="66"/>
    </row>
    <row r="412" spans="2:11">
      <c r="B412" s="17" t="s">
        <v>3930</v>
      </c>
      <c r="C412"/>
      <c r="D412" s="18" t="s">
        <v>3930</v>
      </c>
      <c r="E412" s="18" t="s">
        <v>3930</v>
      </c>
      <c r="F412"/>
      <c r="G412"/>
      <c r="H412"/>
      <c r="I412"/>
      <c r="J412"/>
      <c r="K412" s="66"/>
    </row>
    <row r="413" spans="2:11">
      <c r="B413" s="17" t="s">
        <v>3930</v>
      </c>
      <c r="C413"/>
      <c r="D413" s="18" t="s">
        <v>3930</v>
      </c>
      <c r="E413" s="18" t="s">
        <v>3930</v>
      </c>
      <c r="F413"/>
      <c r="G413"/>
      <c r="H413"/>
      <c r="I413"/>
      <c r="J413"/>
      <c r="K413" s="66"/>
    </row>
    <row r="414" spans="2:11">
      <c r="B414" s="17" t="s">
        <v>3930</v>
      </c>
      <c r="C414"/>
      <c r="D414" s="18" t="s">
        <v>3930</v>
      </c>
      <c r="E414" s="18" t="s">
        <v>3930</v>
      </c>
      <c r="F414"/>
      <c r="G414"/>
      <c r="H414"/>
      <c r="I414"/>
      <c r="J414"/>
      <c r="K414" s="66"/>
    </row>
    <row r="415" spans="2:11">
      <c r="B415" s="17" t="s">
        <v>3930</v>
      </c>
      <c r="C415"/>
      <c r="D415" s="18" t="s">
        <v>3930</v>
      </c>
      <c r="E415" s="18" t="s">
        <v>3930</v>
      </c>
      <c r="F415"/>
      <c r="G415"/>
      <c r="H415"/>
      <c r="I415"/>
      <c r="J415"/>
      <c r="K415" s="66"/>
    </row>
    <row r="416" spans="2:11">
      <c r="B416" s="17" t="s">
        <v>3930</v>
      </c>
      <c r="C416"/>
      <c r="D416" s="18" t="s">
        <v>3930</v>
      </c>
      <c r="E416" s="18" t="s">
        <v>3930</v>
      </c>
      <c r="F416"/>
      <c r="G416"/>
      <c r="H416"/>
      <c r="I416"/>
      <c r="J416"/>
      <c r="K416" s="66"/>
    </row>
    <row r="417" spans="2:11">
      <c r="B417" s="17" t="s">
        <v>3930</v>
      </c>
      <c r="C417"/>
      <c r="D417" s="18" t="s">
        <v>3930</v>
      </c>
      <c r="E417" s="18" t="s">
        <v>3930</v>
      </c>
      <c r="F417"/>
      <c r="G417"/>
      <c r="H417"/>
      <c r="I417"/>
      <c r="J417"/>
      <c r="K417" s="66"/>
    </row>
    <row r="418" spans="2:11">
      <c r="B418" s="17" t="s">
        <v>3930</v>
      </c>
      <c r="C418"/>
      <c r="D418" s="18" t="s">
        <v>3930</v>
      </c>
      <c r="E418" s="18" t="s">
        <v>3930</v>
      </c>
      <c r="F418"/>
      <c r="G418"/>
      <c r="H418"/>
      <c r="I418"/>
      <c r="J418"/>
      <c r="K418" s="66"/>
    </row>
    <row r="419" spans="2:11">
      <c r="B419" s="17" t="s">
        <v>3930</v>
      </c>
      <c r="C419"/>
      <c r="D419" s="18" t="s">
        <v>3930</v>
      </c>
      <c r="E419" s="18" t="s">
        <v>3930</v>
      </c>
      <c r="F419"/>
      <c r="G419"/>
      <c r="H419"/>
      <c r="I419"/>
      <c r="J419"/>
      <c r="K419" s="66"/>
    </row>
    <row r="420" spans="2:11">
      <c r="B420" s="17" t="s">
        <v>3930</v>
      </c>
      <c r="C420"/>
      <c r="D420" s="18" t="s">
        <v>3930</v>
      </c>
      <c r="E420" s="18" t="s">
        <v>3930</v>
      </c>
      <c r="F420"/>
      <c r="G420"/>
      <c r="H420"/>
      <c r="I420"/>
      <c r="J420"/>
      <c r="K420" s="66"/>
    </row>
    <row r="421" spans="2:11">
      <c r="B421" s="17" t="s">
        <v>3930</v>
      </c>
      <c r="C421"/>
      <c r="D421" s="18" t="s">
        <v>3930</v>
      </c>
      <c r="E421" s="18" t="s">
        <v>3930</v>
      </c>
      <c r="F421"/>
      <c r="G421"/>
      <c r="H421"/>
      <c r="I421"/>
      <c r="J421"/>
      <c r="K421" s="66"/>
    </row>
    <row r="422" spans="2:11">
      <c r="B422" s="17" t="s">
        <v>3930</v>
      </c>
      <c r="C422"/>
      <c r="D422" s="18" t="s">
        <v>3930</v>
      </c>
      <c r="E422" s="18" t="s">
        <v>3930</v>
      </c>
      <c r="F422"/>
      <c r="G422"/>
      <c r="H422"/>
      <c r="I422"/>
      <c r="J422"/>
      <c r="K422" s="66"/>
    </row>
    <row r="423" spans="2:11">
      <c r="B423" s="17" t="s">
        <v>3930</v>
      </c>
      <c r="C423"/>
      <c r="D423" s="18" t="s">
        <v>3930</v>
      </c>
      <c r="E423" s="18" t="s">
        <v>3930</v>
      </c>
      <c r="F423"/>
      <c r="G423"/>
      <c r="H423"/>
      <c r="I423"/>
      <c r="J423"/>
      <c r="K423" s="66"/>
    </row>
    <row r="424" spans="2:11">
      <c r="B424" s="17" t="s">
        <v>3930</v>
      </c>
      <c r="C424"/>
      <c r="D424" s="18" t="s">
        <v>3930</v>
      </c>
      <c r="E424" s="18" t="s">
        <v>3930</v>
      </c>
      <c r="F424"/>
      <c r="G424"/>
      <c r="H424"/>
      <c r="I424"/>
      <c r="J424"/>
      <c r="K424" s="66"/>
    </row>
    <row r="425" spans="2:11">
      <c r="B425" s="17" t="s">
        <v>3930</v>
      </c>
      <c r="C425"/>
      <c r="D425" s="18" t="s">
        <v>3930</v>
      </c>
      <c r="E425" s="18" t="s">
        <v>3930</v>
      </c>
      <c r="F425"/>
      <c r="G425"/>
      <c r="H425"/>
      <c r="I425"/>
      <c r="J425"/>
      <c r="K425" s="66"/>
    </row>
    <row r="426" spans="2:11">
      <c r="B426" s="17" t="s">
        <v>3930</v>
      </c>
      <c r="C426"/>
      <c r="D426" s="18" t="s">
        <v>3930</v>
      </c>
      <c r="E426" s="18" t="s">
        <v>3930</v>
      </c>
      <c r="F426"/>
      <c r="G426"/>
      <c r="H426"/>
      <c r="I426"/>
      <c r="J426"/>
      <c r="K426" s="66"/>
    </row>
    <row r="427" spans="2:11">
      <c r="B427" s="17" t="s">
        <v>3930</v>
      </c>
      <c r="C427"/>
      <c r="D427" s="18" t="s">
        <v>3930</v>
      </c>
      <c r="E427" s="18" t="s">
        <v>3930</v>
      </c>
      <c r="F427"/>
      <c r="G427"/>
      <c r="H427"/>
      <c r="I427"/>
      <c r="J427"/>
      <c r="K427" s="66"/>
    </row>
    <row r="428" spans="2:11">
      <c r="B428" s="17" t="s">
        <v>3930</v>
      </c>
      <c r="C428"/>
      <c r="D428" s="18" t="s">
        <v>3930</v>
      </c>
      <c r="E428" s="18" t="s">
        <v>3930</v>
      </c>
      <c r="F428"/>
      <c r="G428"/>
      <c r="H428"/>
      <c r="I428"/>
      <c r="J428"/>
      <c r="K428" s="66"/>
    </row>
    <row r="429" spans="2:11">
      <c r="B429" s="17" t="s">
        <v>3930</v>
      </c>
      <c r="C429"/>
      <c r="D429" s="18" t="s">
        <v>3930</v>
      </c>
      <c r="E429" s="18" t="s">
        <v>3930</v>
      </c>
      <c r="F429"/>
      <c r="G429"/>
      <c r="H429"/>
      <c r="I429"/>
      <c r="J429"/>
      <c r="K429" s="66"/>
    </row>
    <row r="430" spans="2:11">
      <c r="B430" s="17" t="s">
        <v>3930</v>
      </c>
      <c r="C430"/>
      <c r="D430" s="18" t="s">
        <v>3930</v>
      </c>
      <c r="E430" s="18" t="s">
        <v>3930</v>
      </c>
      <c r="F430"/>
      <c r="G430"/>
      <c r="H430"/>
      <c r="I430"/>
      <c r="J430"/>
      <c r="K430" s="66"/>
    </row>
    <row r="431" spans="2:11">
      <c r="B431" s="17" t="s">
        <v>3930</v>
      </c>
      <c r="C431"/>
      <c r="D431" s="18" t="s">
        <v>3930</v>
      </c>
      <c r="E431" s="18" t="s">
        <v>3930</v>
      </c>
      <c r="F431"/>
      <c r="G431"/>
      <c r="H431"/>
      <c r="I431"/>
      <c r="J431"/>
      <c r="K431" s="66"/>
    </row>
    <row r="432" spans="2:11">
      <c r="B432" s="17" t="s">
        <v>3930</v>
      </c>
      <c r="C432"/>
      <c r="D432" s="18" t="s">
        <v>3930</v>
      </c>
      <c r="E432" s="18" t="s">
        <v>3930</v>
      </c>
      <c r="F432"/>
      <c r="G432"/>
      <c r="H432"/>
      <c r="I432"/>
      <c r="J432"/>
      <c r="K432" s="66"/>
    </row>
    <row r="433" spans="2:11">
      <c r="B433" s="17" t="s">
        <v>3930</v>
      </c>
      <c r="C433"/>
      <c r="D433" s="18" t="s">
        <v>3930</v>
      </c>
      <c r="E433" s="18" t="s">
        <v>3930</v>
      </c>
      <c r="F433"/>
      <c r="G433"/>
      <c r="H433"/>
      <c r="I433"/>
      <c r="J433"/>
      <c r="K433" s="66"/>
    </row>
    <row r="434" spans="2:11">
      <c r="B434" s="17" t="s">
        <v>3930</v>
      </c>
      <c r="C434"/>
      <c r="D434" s="18" t="s">
        <v>3930</v>
      </c>
      <c r="E434" s="18" t="s">
        <v>3930</v>
      </c>
      <c r="F434"/>
      <c r="G434"/>
      <c r="H434"/>
      <c r="I434"/>
      <c r="J434"/>
      <c r="K434" s="66"/>
    </row>
    <row r="435" spans="2:11">
      <c r="B435" s="17" t="s">
        <v>3930</v>
      </c>
      <c r="C435"/>
      <c r="D435" s="18" t="s">
        <v>3930</v>
      </c>
      <c r="E435" s="18" t="s">
        <v>3930</v>
      </c>
      <c r="F435"/>
      <c r="G435"/>
      <c r="H435"/>
      <c r="I435"/>
      <c r="J435"/>
      <c r="K435" s="66"/>
    </row>
    <row r="436" spans="2:11">
      <c r="B436" s="17" t="s">
        <v>3930</v>
      </c>
      <c r="C436"/>
      <c r="D436" s="18" t="s">
        <v>3930</v>
      </c>
      <c r="E436" s="18" t="s">
        <v>3930</v>
      </c>
      <c r="F436"/>
      <c r="G436"/>
      <c r="H436"/>
      <c r="I436"/>
      <c r="J436"/>
      <c r="K436" s="66"/>
    </row>
    <row r="437" spans="2:11">
      <c r="B437" s="17" t="s">
        <v>3930</v>
      </c>
      <c r="C437"/>
      <c r="D437" s="18" t="s">
        <v>3930</v>
      </c>
      <c r="E437" s="18" t="s">
        <v>3930</v>
      </c>
      <c r="F437"/>
      <c r="G437"/>
      <c r="H437"/>
      <c r="I437"/>
      <c r="J437"/>
      <c r="K437" s="66"/>
    </row>
    <row r="438" spans="2:11">
      <c r="B438" s="17" t="s">
        <v>3930</v>
      </c>
      <c r="C438"/>
      <c r="D438" s="18" t="s">
        <v>3930</v>
      </c>
      <c r="E438" s="18" t="s">
        <v>3930</v>
      </c>
      <c r="F438"/>
      <c r="G438"/>
      <c r="H438"/>
      <c r="I438"/>
      <c r="J438"/>
      <c r="K438" s="66"/>
    </row>
    <row r="439" spans="2:11">
      <c r="B439" s="17" t="s">
        <v>3930</v>
      </c>
      <c r="C439"/>
      <c r="D439" s="18" t="s">
        <v>3930</v>
      </c>
      <c r="E439" s="18" t="s">
        <v>3930</v>
      </c>
      <c r="F439"/>
      <c r="G439"/>
      <c r="H439"/>
      <c r="I439"/>
      <c r="J439"/>
      <c r="K439" s="66"/>
    </row>
    <row r="440" spans="2:11">
      <c r="B440" s="17" t="s">
        <v>3930</v>
      </c>
      <c r="C440"/>
      <c r="D440" s="18" t="s">
        <v>3930</v>
      </c>
      <c r="E440" s="18" t="s">
        <v>3930</v>
      </c>
      <c r="F440"/>
      <c r="G440"/>
      <c r="H440"/>
      <c r="I440"/>
      <c r="J440"/>
      <c r="K440" s="66"/>
    </row>
    <row r="441" spans="2:11">
      <c r="B441" s="17" t="s">
        <v>3930</v>
      </c>
      <c r="C441"/>
      <c r="D441" s="18" t="s">
        <v>3930</v>
      </c>
      <c r="E441" s="18" t="s">
        <v>3930</v>
      </c>
      <c r="F441"/>
      <c r="G441"/>
      <c r="H441"/>
      <c r="I441"/>
      <c r="J441"/>
      <c r="K441" s="66"/>
    </row>
    <row r="442" spans="2:11">
      <c r="B442" s="17" t="s">
        <v>3930</v>
      </c>
      <c r="C442"/>
      <c r="D442" s="18" t="s">
        <v>3930</v>
      </c>
      <c r="E442" s="18" t="s">
        <v>3930</v>
      </c>
      <c r="F442"/>
      <c r="G442"/>
      <c r="H442"/>
      <c r="I442"/>
      <c r="J442"/>
      <c r="K442" s="66"/>
    </row>
    <row r="443" spans="2:11">
      <c r="B443" s="17" t="s">
        <v>3930</v>
      </c>
      <c r="C443"/>
      <c r="D443" s="18" t="s">
        <v>3930</v>
      </c>
      <c r="E443" s="18" t="s">
        <v>3930</v>
      </c>
      <c r="F443"/>
      <c r="G443"/>
      <c r="H443"/>
      <c r="I443"/>
      <c r="J443"/>
      <c r="K443" s="66"/>
    </row>
    <row r="444" spans="2:11">
      <c r="B444" s="17" t="s">
        <v>3930</v>
      </c>
      <c r="C444"/>
      <c r="D444" s="18" t="s">
        <v>3930</v>
      </c>
      <c r="E444" s="18" t="s">
        <v>3930</v>
      </c>
      <c r="F444"/>
      <c r="G444"/>
      <c r="H444"/>
      <c r="I444"/>
      <c r="J444"/>
      <c r="K444" s="66"/>
    </row>
    <row r="445" spans="2:11">
      <c r="B445" s="17" t="s">
        <v>3930</v>
      </c>
      <c r="C445"/>
      <c r="D445" s="18" t="s">
        <v>3930</v>
      </c>
      <c r="E445" s="18" t="s">
        <v>3930</v>
      </c>
      <c r="F445"/>
      <c r="G445"/>
      <c r="H445"/>
      <c r="I445"/>
      <c r="J445"/>
      <c r="K445" s="66"/>
    </row>
    <row r="446" spans="2:11">
      <c r="B446" s="17" t="s">
        <v>3930</v>
      </c>
      <c r="C446"/>
      <c r="D446" s="18" t="s">
        <v>3930</v>
      </c>
      <c r="E446" s="18" t="s">
        <v>3930</v>
      </c>
      <c r="F446"/>
      <c r="G446"/>
      <c r="H446"/>
      <c r="I446"/>
      <c r="J446"/>
      <c r="K446" s="66"/>
    </row>
    <row r="447" spans="2:11">
      <c r="B447" s="17" t="s">
        <v>3930</v>
      </c>
      <c r="C447"/>
      <c r="D447" s="18" t="s">
        <v>3930</v>
      </c>
      <c r="E447" s="18" t="s">
        <v>3930</v>
      </c>
      <c r="F447"/>
      <c r="G447"/>
      <c r="H447"/>
      <c r="I447"/>
      <c r="J447"/>
      <c r="K447" s="66"/>
    </row>
    <row r="448" spans="2:11">
      <c r="B448" s="17" t="s">
        <v>3930</v>
      </c>
      <c r="C448"/>
      <c r="D448" s="18" t="s">
        <v>3930</v>
      </c>
      <c r="E448" s="18" t="s">
        <v>3930</v>
      </c>
      <c r="F448"/>
      <c r="G448"/>
      <c r="H448"/>
      <c r="I448"/>
      <c r="J448"/>
      <c r="K448" s="66"/>
    </row>
    <row r="449" spans="2:11">
      <c r="B449" s="17" t="s">
        <v>3930</v>
      </c>
      <c r="C449"/>
      <c r="D449" s="18" t="s">
        <v>3930</v>
      </c>
      <c r="E449" s="18" t="s">
        <v>3930</v>
      </c>
      <c r="F449"/>
      <c r="G449"/>
      <c r="H449"/>
      <c r="I449"/>
      <c r="J449"/>
      <c r="K449" s="66"/>
    </row>
    <row r="450" spans="2:11">
      <c r="B450" s="17" t="s">
        <v>3930</v>
      </c>
      <c r="C450"/>
      <c r="D450" s="18" t="s">
        <v>3930</v>
      </c>
      <c r="E450" s="18" t="s">
        <v>3930</v>
      </c>
      <c r="F450"/>
      <c r="G450"/>
      <c r="H450"/>
      <c r="I450"/>
      <c r="J450"/>
      <c r="K450" s="66"/>
    </row>
    <row r="451" spans="2:11">
      <c r="B451" s="17" t="s">
        <v>3930</v>
      </c>
      <c r="C451"/>
      <c r="D451" s="18" t="s">
        <v>3930</v>
      </c>
      <c r="E451" s="18" t="s">
        <v>3930</v>
      </c>
      <c r="F451"/>
      <c r="G451"/>
      <c r="H451"/>
      <c r="I451"/>
      <c r="J451"/>
      <c r="K451" s="66"/>
    </row>
    <row r="452" spans="2:11">
      <c r="B452" s="17" t="s">
        <v>3930</v>
      </c>
      <c r="C452"/>
      <c r="D452" s="18" t="s">
        <v>3930</v>
      </c>
      <c r="E452" s="18" t="s">
        <v>3930</v>
      </c>
      <c r="F452"/>
      <c r="G452"/>
      <c r="H452"/>
      <c r="I452"/>
      <c r="J452"/>
      <c r="K452" s="66"/>
    </row>
    <row r="453" spans="2:11">
      <c r="B453" s="17" t="s">
        <v>3930</v>
      </c>
      <c r="C453"/>
      <c r="D453" s="18" t="s">
        <v>3930</v>
      </c>
      <c r="E453" s="18" t="s">
        <v>3930</v>
      </c>
      <c r="F453"/>
      <c r="G453"/>
      <c r="H453"/>
      <c r="I453"/>
      <c r="J453"/>
      <c r="K453" s="66"/>
    </row>
    <row r="454" spans="2:11">
      <c r="B454" s="17" t="s">
        <v>3930</v>
      </c>
      <c r="C454"/>
      <c r="D454" s="18" t="s">
        <v>3930</v>
      </c>
      <c r="E454" s="18" t="s">
        <v>3930</v>
      </c>
      <c r="F454"/>
      <c r="G454"/>
      <c r="H454"/>
      <c r="I454"/>
      <c r="J454"/>
      <c r="K454" s="66"/>
    </row>
    <row r="455" spans="2:11">
      <c r="B455" s="17" t="s">
        <v>3930</v>
      </c>
      <c r="C455"/>
      <c r="D455" s="18" t="s">
        <v>3930</v>
      </c>
      <c r="E455" s="18" t="s">
        <v>3930</v>
      </c>
      <c r="F455"/>
      <c r="G455"/>
      <c r="H455"/>
      <c r="I455"/>
      <c r="J455"/>
      <c r="K455" s="66"/>
    </row>
    <row r="456" spans="2:11">
      <c r="B456" s="17" t="s">
        <v>3930</v>
      </c>
      <c r="C456"/>
      <c r="D456" s="18" t="s">
        <v>3930</v>
      </c>
      <c r="E456" s="18" t="s">
        <v>3930</v>
      </c>
      <c r="F456"/>
      <c r="G456"/>
      <c r="H456"/>
      <c r="I456"/>
      <c r="J456"/>
      <c r="K456" s="66"/>
    </row>
    <row r="457" spans="2:11">
      <c r="B457" s="17" t="s">
        <v>3930</v>
      </c>
      <c r="C457"/>
      <c r="D457" s="18" t="s">
        <v>3930</v>
      </c>
      <c r="E457" s="18" t="s">
        <v>3930</v>
      </c>
      <c r="F457"/>
      <c r="G457"/>
      <c r="H457"/>
      <c r="I457"/>
      <c r="J457"/>
      <c r="K457" s="66"/>
    </row>
    <row r="458" spans="2:11">
      <c r="B458" s="17" t="s">
        <v>3930</v>
      </c>
      <c r="C458"/>
      <c r="D458" s="18" t="s">
        <v>3930</v>
      </c>
      <c r="E458" s="18" t="s">
        <v>3930</v>
      </c>
      <c r="F458"/>
      <c r="G458"/>
      <c r="H458"/>
      <c r="I458"/>
      <c r="J458"/>
      <c r="K458" s="66"/>
    </row>
    <row r="459" spans="2:11">
      <c r="B459" s="17" t="s">
        <v>3930</v>
      </c>
      <c r="C459"/>
      <c r="D459" s="18" t="s">
        <v>3930</v>
      </c>
      <c r="E459" s="18" t="s">
        <v>3930</v>
      </c>
      <c r="F459"/>
      <c r="G459"/>
      <c r="H459"/>
      <c r="I459"/>
      <c r="J459"/>
      <c r="K459" s="66"/>
    </row>
    <row r="460" spans="2:11">
      <c r="B460" s="17" t="s">
        <v>3930</v>
      </c>
      <c r="C460"/>
      <c r="D460" s="18" t="s">
        <v>3930</v>
      </c>
      <c r="E460" s="18" t="s">
        <v>3930</v>
      </c>
      <c r="F460"/>
      <c r="G460"/>
      <c r="H460"/>
      <c r="I460"/>
      <c r="J460"/>
      <c r="K460" s="66"/>
    </row>
    <row r="461" spans="2:11">
      <c r="B461" s="17" t="s">
        <v>3930</v>
      </c>
      <c r="C461"/>
      <c r="D461" s="18" t="s">
        <v>3930</v>
      </c>
      <c r="E461" s="18" t="s">
        <v>3930</v>
      </c>
      <c r="F461"/>
      <c r="G461"/>
      <c r="H461"/>
      <c r="I461"/>
      <c r="J461"/>
      <c r="K461" s="66"/>
    </row>
    <row r="462" spans="2:11">
      <c r="B462" s="17" t="s">
        <v>3930</v>
      </c>
      <c r="C462"/>
      <c r="D462" s="18" t="s">
        <v>3930</v>
      </c>
      <c r="E462" s="18" t="s">
        <v>3930</v>
      </c>
      <c r="F462"/>
      <c r="G462"/>
      <c r="H462"/>
      <c r="I462"/>
      <c r="J462"/>
      <c r="K462" s="66"/>
    </row>
    <row r="463" spans="2:11">
      <c r="B463" s="17" t="s">
        <v>3930</v>
      </c>
      <c r="C463"/>
      <c r="D463" s="18" t="s">
        <v>3930</v>
      </c>
      <c r="E463" s="18" t="s">
        <v>3930</v>
      </c>
      <c r="F463"/>
      <c r="G463"/>
      <c r="H463"/>
      <c r="I463"/>
      <c r="J463"/>
      <c r="K463" s="66"/>
    </row>
    <row r="464" spans="2:11">
      <c r="B464" s="17" t="s">
        <v>3930</v>
      </c>
      <c r="C464"/>
      <c r="D464" s="18" t="s">
        <v>3930</v>
      </c>
      <c r="E464" s="18" t="s">
        <v>3930</v>
      </c>
      <c r="F464"/>
      <c r="G464"/>
      <c r="H464"/>
      <c r="I464"/>
      <c r="J464"/>
      <c r="K464" s="66"/>
    </row>
    <row r="465" spans="2:11">
      <c r="B465" s="17" t="s">
        <v>3930</v>
      </c>
      <c r="C465"/>
      <c r="D465" s="18" t="s">
        <v>3930</v>
      </c>
      <c r="E465" s="18" t="s">
        <v>3930</v>
      </c>
      <c r="F465"/>
      <c r="G465"/>
      <c r="H465"/>
      <c r="I465"/>
      <c r="J465"/>
      <c r="K465" s="66"/>
    </row>
    <row r="466" spans="2:11">
      <c r="B466" s="17" t="s">
        <v>3930</v>
      </c>
      <c r="C466"/>
      <c r="D466" s="18" t="s">
        <v>3930</v>
      </c>
      <c r="E466" s="18" t="s">
        <v>3930</v>
      </c>
      <c r="F466"/>
      <c r="G466"/>
      <c r="H466"/>
      <c r="I466"/>
      <c r="J466"/>
      <c r="K466" s="66"/>
    </row>
    <row r="467" spans="2:11">
      <c r="B467" s="17" t="s">
        <v>3930</v>
      </c>
      <c r="C467"/>
      <c r="D467" s="18" t="s">
        <v>3930</v>
      </c>
      <c r="E467" s="18" t="s">
        <v>3930</v>
      </c>
      <c r="F467"/>
      <c r="G467"/>
      <c r="H467"/>
      <c r="I467"/>
      <c r="J467"/>
      <c r="K467" s="66"/>
    </row>
    <row r="468" spans="2:11">
      <c r="B468" s="17" t="s">
        <v>3930</v>
      </c>
      <c r="C468"/>
      <c r="D468" s="18" t="s">
        <v>3930</v>
      </c>
      <c r="E468" s="18" t="s">
        <v>3930</v>
      </c>
      <c r="F468"/>
      <c r="G468"/>
      <c r="H468"/>
      <c r="I468"/>
      <c r="J468"/>
      <c r="K468" s="66"/>
    </row>
    <row r="469" spans="2:11">
      <c r="B469" s="17" t="s">
        <v>3930</v>
      </c>
      <c r="C469"/>
      <c r="D469" s="18" t="s">
        <v>3930</v>
      </c>
      <c r="E469" s="18" t="s">
        <v>3930</v>
      </c>
      <c r="F469"/>
      <c r="G469"/>
      <c r="H469"/>
      <c r="I469"/>
      <c r="J469"/>
      <c r="K469" s="66"/>
    </row>
    <row r="470" spans="2:11">
      <c r="B470" s="17" t="s">
        <v>3930</v>
      </c>
      <c r="C470"/>
      <c r="D470" s="18" t="s">
        <v>3930</v>
      </c>
      <c r="E470" s="18" t="s">
        <v>3930</v>
      </c>
      <c r="F470"/>
      <c r="G470"/>
      <c r="H470"/>
      <c r="I470"/>
      <c r="J470"/>
      <c r="K470" s="66"/>
    </row>
    <row r="471" spans="2:11">
      <c r="B471" s="17" t="s">
        <v>3930</v>
      </c>
      <c r="C471"/>
      <c r="D471" s="18" t="s">
        <v>3930</v>
      </c>
      <c r="E471" s="18" t="s">
        <v>3930</v>
      </c>
      <c r="F471"/>
      <c r="G471"/>
      <c r="H471"/>
      <c r="I471"/>
      <c r="J471"/>
      <c r="K471" s="66"/>
    </row>
    <row r="472" spans="2:11">
      <c r="B472" s="17" t="s">
        <v>3930</v>
      </c>
      <c r="C472"/>
      <c r="D472" s="18" t="s">
        <v>3930</v>
      </c>
      <c r="E472" s="18" t="s">
        <v>3930</v>
      </c>
      <c r="F472"/>
      <c r="G472"/>
      <c r="H472"/>
      <c r="I472"/>
      <c r="J472"/>
      <c r="K472" s="66"/>
    </row>
    <row r="473" spans="2:11">
      <c r="B473" s="17" t="s">
        <v>3930</v>
      </c>
      <c r="C473"/>
      <c r="D473" s="18" t="s">
        <v>3930</v>
      </c>
      <c r="E473" s="18" t="s">
        <v>3930</v>
      </c>
      <c r="F473"/>
      <c r="G473"/>
      <c r="H473"/>
      <c r="I473"/>
      <c r="J473"/>
      <c r="K473" s="66"/>
    </row>
    <row r="474" spans="2:11">
      <c r="B474" s="17" t="s">
        <v>3930</v>
      </c>
      <c r="C474"/>
      <c r="D474" s="18" t="s">
        <v>3930</v>
      </c>
      <c r="E474" s="18" t="s">
        <v>3930</v>
      </c>
      <c r="F474"/>
      <c r="G474"/>
      <c r="H474"/>
      <c r="I474"/>
      <c r="J474"/>
      <c r="K474" s="66"/>
    </row>
    <row r="475" spans="2:11">
      <c r="B475" s="17" t="s">
        <v>3930</v>
      </c>
      <c r="C475"/>
      <c r="D475" s="18" t="s">
        <v>3930</v>
      </c>
      <c r="E475" s="18" t="s">
        <v>3930</v>
      </c>
      <c r="F475"/>
      <c r="G475"/>
      <c r="H475"/>
      <c r="I475"/>
      <c r="J475"/>
      <c r="K475" s="66"/>
    </row>
    <row r="476" spans="2:11">
      <c r="B476" s="17" t="s">
        <v>3930</v>
      </c>
      <c r="C476"/>
      <c r="D476" s="18" t="s">
        <v>3930</v>
      </c>
      <c r="E476" s="18" t="s">
        <v>3930</v>
      </c>
      <c r="F476"/>
      <c r="G476"/>
      <c r="H476"/>
      <c r="I476"/>
      <c r="J476"/>
      <c r="K476" s="66"/>
    </row>
    <row r="477" spans="2:11">
      <c r="B477" s="17" t="s">
        <v>3930</v>
      </c>
      <c r="C477"/>
      <c r="D477" s="18" t="s">
        <v>3930</v>
      </c>
      <c r="E477" s="18" t="s">
        <v>3930</v>
      </c>
      <c r="F477"/>
      <c r="G477"/>
      <c r="H477"/>
      <c r="I477"/>
      <c r="J477"/>
      <c r="K477" s="66"/>
    </row>
    <row r="478" spans="2:11">
      <c r="B478" s="17" t="s">
        <v>3930</v>
      </c>
      <c r="C478"/>
      <c r="D478" s="18" t="s">
        <v>3930</v>
      </c>
      <c r="E478" s="18" t="s">
        <v>3930</v>
      </c>
      <c r="F478"/>
      <c r="G478"/>
      <c r="H478"/>
      <c r="I478"/>
      <c r="J478"/>
      <c r="K478" s="66"/>
    </row>
    <row r="479" spans="2:11">
      <c r="B479" s="17" t="s">
        <v>3930</v>
      </c>
      <c r="C479"/>
      <c r="D479" s="18" t="s">
        <v>3930</v>
      </c>
      <c r="E479" s="18" t="s">
        <v>3930</v>
      </c>
      <c r="F479"/>
      <c r="G479"/>
      <c r="H479"/>
      <c r="I479"/>
      <c r="J479"/>
      <c r="K479" s="66"/>
    </row>
    <row r="480" spans="2:11">
      <c r="B480" s="17" t="s">
        <v>3930</v>
      </c>
      <c r="C480"/>
      <c r="D480" s="18" t="s">
        <v>3930</v>
      </c>
      <c r="E480" s="18" t="s">
        <v>3930</v>
      </c>
      <c r="F480"/>
      <c r="G480"/>
      <c r="H480"/>
      <c r="I480"/>
      <c r="J480"/>
      <c r="K480" s="66"/>
    </row>
    <row r="481" spans="2:11">
      <c r="B481" s="17" t="s">
        <v>3930</v>
      </c>
      <c r="C481"/>
      <c r="D481" s="18" t="s">
        <v>3930</v>
      </c>
      <c r="E481" s="18" t="s">
        <v>3930</v>
      </c>
      <c r="F481"/>
      <c r="G481"/>
      <c r="H481"/>
      <c r="I481"/>
      <c r="J481"/>
      <c r="K481" s="66"/>
    </row>
    <row r="482" spans="2:11">
      <c r="B482" s="17" t="s">
        <v>3930</v>
      </c>
      <c r="C482"/>
      <c r="D482" s="18" t="s">
        <v>3930</v>
      </c>
      <c r="E482" s="18" t="s">
        <v>3930</v>
      </c>
      <c r="F482"/>
      <c r="G482"/>
      <c r="H482"/>
      <c r="I482"/>
      <c r="J482"/>
      <c r="K482" s="66"/>
    </row>
    <row r="483" spans="2:11">
      <c r="B483" s="17" t="s">
        <v>3930</v>
      </c>
      <c r="C483"/>
      <c r="D483" s="18" t="s">
        <v>3930</v>
      </c>
      <c r="E483" s="18" t="s">
        <v>3930</v>
      </c>
      <c r="F483"/>
      <c r="G483"/>
      <c r="H483"/>
      <c r="I483"/>
      <c r="J483"/>
      <c r="K483" s="66"/>
    </row>
    <row r="484" spans="2:11">
      <c r="B484" s="17" t="s">
        <v>3930</v>
      </c>
      <c r="C484"/>
      <c r="D484" s="18" t="s">
        <v>3930</v>
      </c>
      <c r="E484" s="18" t="s">
        <v>3930</v>
      </c>
      <c r="F484"/>
      <c r="G484"/>
      <c r="H484"/>
      <c r="I484"/>
      <c r="J484"/>
      <c r="K484" s="66"/>
    </row>
    <row r="485" spans="2:11">
      <c r="B485" s="17" t="s">
        <v>3930</v>
      </c>
      <c r="C485"/>
      <c r="D485" s="18" t="s">
        <v>3930</v>
      </c>
      <c r="E485" s="18" t="s">
        <v>3930</v>
      </c>
      <c r="F485"/>
      <c r="G485"/>
      <c r="H485"/>
      <c r="I485"/>
      <c r="J485"/>
      <c r="K485" s="66"/>
    </row>
    <row r="486" spans="2:11">
      <c r="B486" s="17" t="s">
        <v>3930</v>
      </c>
      <c r="C486"/>
      <c r="D486" s="18" t="s">
        <v>3930</v>
      </c>
      <c r="E486" s="18" t="s">
        <v>3930</v>
      </c>
      <c r="F486"/>
      <c r="G486"/>
      <c r="H486"/>
      <c r="I486"/>
      <c r="J486"/>
      <c r="K486" s="66"/>
    </row>
    <row r="487" spans="2:11">
      <c r="B487" s="17" t="s">
        <v>3930</v>
      </c>
      <c r="C487"/>
      <c r="D487" s="18" t="s">
        <v>3930</v>
      </c>
      <c r="E487" s="18" t="s">
        <v>3930</v>
      </c>
      <c r="F487"/>
      <c r="G487"/>
      <c r="H487"/>
      <c r="I487"/>
      <c r="J487"/>
      <c r="K487" s="66"/>
    </row>
    <row r="488" spans="2:11">
      <c r="B488" s="17" t="s">
        <v>3930</v>
      </c>
      <c r="C488"/>
      <c r="D488" s="18" t="s">
        <v>3930</v>
      </c>
      <c r="E488" s="18" t="s">
        <v>3930</v>
      </c>
      <c r="F488"/>
      <c r="G488"/>
      <c r="H488"/>
      <c r="I488"/>
      <c r="J488"/>
      <c r="K488" s="66"/>
    </row>
    <row r="489" spans="2:11">
      <c r="B489" s="17" t="s">
        <v>3930</v>
      </c>
      <c r="C489"/>
      <c r="D489" s="18" t="s">
        <v>3930</v>
      </c>
      <c r="E489" s="18" t="s">
        <v>3930</v>
      </c>
      <c r="F489"/>
      <c r="G489"/>
      <c r="H489"/>
      <c r="I489"/>
      <c r="J489"/>
      <c r="K489" s="66"/>
    </row>
    <row r="490" spans="2:11">
      <c r="B490" s="17" t="s">
        <v>3930</v>
      </c>
      <c r="C490"/>
      <c r="D490" s="18" t="s">
        <v>3930</v>
      </c>
      <c r="E490" s="18" t="s">
        <v>3930</v>
      </c>
      <c r="F490"/>
      <c r="G490"/>
      <c r="H490"/>
      <c r="I490"/>
      <c r="J490"/>
      <c r="K490" s="66"/>
    </row>
    <row r="491" spans="2:11">
      <c r="B491" s="17" t="s">
        <v>3930</v>
      </c>
      <c r="C491"/>
      <c r="D491" s="18" t="s">
        <v>3930</v>
      </c>
      <c r="E491" s="18" t="s">
        <v>3930</v>
      </c>
      <c r="F491"/>
      <c r="G491"/>
      <c r="H491"/>
      <c r="I491"/>
      <c r="J491"/>
      <c r="K491" s="66"/>
    </row>
    <row r="492" spans="2:11">
      <c r="B492" s="17" t="s">
        <v>3930</v>
      </c>
      <c r="C492"/>
      <c r="D492" s="18" t="s">
        <v>3930</v>
      </c>
      <c r="E492" s="18" t="s">
        <v>3930</v>
      </c>
      <c r="F492"/>
      <c r="G492"/>
      <c r="H492"/>
      <c r="I492"/>
      <c r="J492"/>
      <c r="K492" s="66"/>
    </row>
    <row r="493" spans="2:11">
      <c r="B493" s="17" t="s">
        <v>3930</v>
      </c>
      <c r="C493"/>
      <c r="D493" s="18" t="s">
        <v>3930</v>
      </c>
      <c r="E493" s="18" t="s">
        <v>3930</v>
      </c>
      <c r="F493"/>
      <c r="G493"/>
      <c r="H493"/>
      <c r="I493"/>
      <c r="J493"/>
      <c r="K493" s="66"/>
    </row>
    <row r="494" spans="2:11">
      <c r="B494" s="17" t="s">
        <v>3930</v>
      </c>
      <c r="C494"/>
      <c r="D494" s="18" t="s">
        <v>3930</v>
      </c>
      <c r="E494" s="18" t="s">
        <v>3930</v>
      </c>
      <c r="F494"/>
      <c r="G494"/>
      <c r="H494"/>
      <c r="I494"/>
      <c r="J494"/>
      <c r="K494" s="66"/>
    </row>
    <row r="495" spans="2:11">
      <c r="B495" s="17" t="s">
        <v>3930</v>
      </c>
      <c r="C495"/>
      <c r="D495" s="18" t="s">
        <v>3930</v>
      </c>
      <c r="E495" s="18" t="s">
        <v>3930</v>
      </c>
      <c r="F495"/>
      <c r="G495"/>
      <c r="H495"/>
      <c r="I495"/>
      <c r="J495"/>
      <c r="K495" s="66"/>
    </row>
    <row r="496" spans="2:11">
      <c r="B496" s="17" t="s">
        <v>3930</v>
      </c>
      <c r="C496"/>
      <c r="D496" s="18" t="s">
        <v>3930</v>
      </c>
      <c r="E496" s="18" t="s">
        <v>3930</v>
      </c>
      <c r="F496"/>
      <c r="G496"/>
      <c r="H496"/>
      <c r="I496"/>
      <c r="J496"/>
      <c r="K496" s="66"/>
    </row>
    <row r="497" spans="2:11">
      <c r="B497" s="17" t="s">
        <v>3930</v>
      </c>
      <c r="C497"/>
      <c r="D497" s="18" t="s">
        <v>3930</v>
      </c>
      <c r="E497" s="18" t="s">
        <v>3930</v>
      </c>
      <c r="F497"/>
      <c r="G497"/>
      <c r="H497"/>
      <c r="I497"/>
      <c r="J497"/>
      <c r="K497" s="66"/>
    </row>
    <row r="498" spans="2:11">
      <c r="B498" s="17" t="s">
        <v>3930</v>
      </c>
      <c r="C498"/>
      <c r="D498" s="18" t="s">
        <v>3930</v>
      </c>
      <c r="E498" s="18" t="s">
        <v>3930</v>
      </c>
      <c r="F498"/>
      <c r="G498"/>
      <c r="H498"/>
      <c r="I498"/>
      <c r="J498"/>
      <c r="K498" s="66"/>
    </row>
    <row r="499" spans="2:11">
      <c r="B499" s="17" t="s">
        <v>3930</v>
      </c>
      <c r="C499"/>
      <c r="D499" s="18" t="s">
        <v>3930</v>
      </c>
      <c r="E499" s="18" t="s">
        <v>3930</v>
      </c>
      <c r="F499"/>
      <c r="G499"/>
      <c r="H499"/>
      <c r="I499"/>
      <c r="J499"/>
      <c r="K499" s="66"/>
    </row>
    <row r="500" spans="2:11">
      <c r="B500" s="17" t="s">
        <v>3930</v>
      </c>
      <c r="C500"/>
      <c r="D500" s="18" t="s">
        <v>3930</v>
      </c>
      <c r="E500" s="18" t="s">
        <v>3930</v>
      </c>
      <c r="F500"/>
      <c r="G500"/>
      <c r="H500"/>
      <c r="I500"/>
      <c r="J500"/>
      <c r="K500" s="66"/>
    </row>
    <row r="501" spans="2:11">
      <c r="B501" s="17" t="s">
        <v>3930</v>
      </c>
      <c r="C501"/>
      <c r="D501" s="18" t="s">
        <v>3930</v>
      </c>
      <c r="E501" s="18" t="s">
        <v>3930</v>
      </c>
      <c r="F501"/>
      <c r="G501"/>
      <c r="H501"/>
      <c r="I501"/>
      <c r="J501"/>
      <c r="K501" s="66"/>
    </row>
    <row r="502" spans="2:11">
      <c r="B502" s="17" t="s">
        <v>3930</v>
      </c>
      <c r="C502"/>
      <c r="D502" s="18" t="s">
        <v>3930</v>
      </c>
      <c r="E502" s="18" t="s">
        <v>3930</v>
      </c>
      <c r="F502"/>
      <c r="G502"/>
      <c r="H502"/>
      <c r="I502"/>
      <c r="J502"/>
      <c r="K502" s="66"/>
    </row>
    <row r="503" spans="2:11">
      <c r="B503" s="17" t="s">
        <v>3930</v>
      </c>
      <c r="C503"/>
      <c r="D503" s="18" t="s">
        <v>3930</v>
      </c>
      <c r="E503" s="18" t="s">
        <v>3930</v>
      </c>
      <c r="F503"/>
      <c r="G503"/>
      <c r="H503"/>
      <c r="I503"/>
      <c r="J503"/>
      <c r="K503" s="66"/>
    </row>
    <row r="504" spans="2:11">
      <c r="B504" s="17" t="s">
        <v>3930</v>
      </c>
      <c r="C504"/>
      <c r="D504" s="18" t="s">
        <v>3930</v>
      </c>
      <c r="E504" s="18" t="s">
        <v>3930</v>
      </c>
      <c r="F504"/>
      <c r="G504"/>
      <c r="H504"/>
      <c r="I504"/>
      <c r="J504"/>
      <c r="K504" s="66"/>
    </row>
    <row r="505" spans="2:11">
      <c r="B505" s="17" t="s">
        <v>3930</v>
      </c>
      <c r="C505"/>
      <c r="D505" s="18" t="s">
        <v>3930</v>
      </c>
      <c r="E505" s="18" t="s">
        <v>3930</v>
      </c>
      <c r="F505"/>
      <c r="G505"/>
      <c r="H505"/>
      <c r="I505"/>
      <c r="J505"/>
      <c r="K505" s="66"/>
    </row>
    <row r="506" spans="2:11">
      <c r="B506" s="17" t="s">
        <v>3930</v>
      </c>
      <c r="C506"/>
      <c r="D506" s="18" t="s">
        <v>3930</v>
      </c>
      <c r="E506" s="18" t="s">
        <v>3930</v>
      </c>
      <c r="F506"/>
      <c r="G506"/>
      <c r="H506"/>
      <c r="I506"/>
      <c r="J506"/>
      <c r="K506" s="66"/>
    </row>
    <row r="507" spans="2:11">
      <c r="B507" s="17" t="s">
        <v>3930</v>
      </c>
      <c r="C507"/>
      <c r="D507" s="18" t="s">
        <v>3930</v>
      </c>
      <c r="E507" s="18" t="s">
        <v>3930</v>
      </c>
      <c r="F507"/>
      <c r="G507"/>
      <c r="H507"/>
      <c r="I507"/>
      <c r="J507"/>
      <c r="K507" s="66"/>
    </row>
    <row r="508" spans="2:11">
      <c r="B508" s="17" t="s">
        <v>3930</v>
      </c>
      <c r="C508"/>
      <c r="D508" s="18" t="s">
        <v>3930</v>
      </c>
      <c r="E508" s="18" t="s">
        <v>3930</v>
      </c>
      <c r="F508"/>
      <c r="G508"/>
      <c r="H508"/>
      <c r="I508"/>
      <c r="J508"/>
      <c r="K508" s="66"/>
    </row>
    <row r="509" spans="2:11">
      <c r="B509" s="17" t="s">
        <v>3930</v>
      </c>
      <c r="C509"/>
      <c r="D509" s="18" t="s">
        <v>3930</v>
      </c>
      <c r="E509" s="18" t="s">
        <v>3930</v>
      </c>
      <c r="F509"/>
      <c r="G509"/>
      <c r="H509"/>
      <c r="I509"/>
      <c r="J509"/>
      <c r="K509" s="66"/>
    </row>
    <row r="510" spans="2:11">
      <c r="B510" s="17" t="s">
        <v>3930</v>
      </c>
      <c r="C510"/>
      <c r="D510" s="18" t="s">
        <v>3930</v>
      </c>
      <c r="E510" s="18" t="s">
        <v>3930</v>
      </c>
      <c r="F510"/>
      <c r="G510"/>
      <c r="H510"/>
      <c r="I510"/>
      <c r="J510"/>
      <c r="K510" s="66"/>
    </row>
    <row r="511" spans="2:11">
      <c r="B511" s="17" t="s">
        <v>3930</v>
      </c>
      <c r="C511"/>
      <c r="D511" s="18" t="s">
        <v>3930</v>
      </c>
      <c r="E511" s="18" t="s">
        <v>3930</v>
      </c>
      <c r="F511"/>
      <c r="G511"/>
      <c r="H511"/>
      <c r="I511"/>
      <c r="J511"/>
      <c r="K511" s="66"/>
    </row>
    <row r="512" spans="2:11">
      <c r="B512" s="17" t="s">
        <v>3930</v>
      </c>
      <c r="C512"/>
      <c r="D512" s="18" t="s">
        <v>3930</v>
      </c>
      <c r="E512" s="18" t="s">
        <v>3930</v>
      </c>
      <c r="F512"/>
      <c r="G512"/>
      <c r="H512"/>
      <c r="I512"/>
      <c r="J512"/>
      <c r="K512" s="66"/>
    </row>
    <row r="513" spans="2:11">
      <c r="B513" s="17" t="s">
        <v>3930</v>
      </c>
      <c r="C513"/>
      <c r="D513" s="18" t="s">
        <v>3930</v>
      </c>
      <c r="E513" s="18" t="s">
        <v>3930</v>
      </c>
      <c r="F513"/>
      <c r="G513"/>
      <c r="H513"/>
      <c r="I513"/>
      <c r="J513"/>
      <c r="K513" s="66"/>
    </row>
    <row r="514" spans="2:11">
      <c r="B514" s="17" t="s">
        <v>3930</v>
      </c>
      <c r="C514"/>
      <c r="D514" s="18" t="s">
        <v>3930</v>
      </c>
      <c r="E514" s="18" t="s">
        <v>3930</v>
      </c>
      <c r="F514"/>
      <c r="G514"/>
      <c r="H514"/>
      <c r="I514"/>
      <c r="J514"/>
      <c r="K514" s="66"/>
    </row>
    <row r="515" spans="2:11">
      <c r="B515" s="17" t="s">
        <v>3930</v>
      </c>
      <c r="C515"/>
      <c r="D515" s="18" t="s">
        <v>3930</v>
      </c>
      <c r="E515" s="18" t="s">
        <v>3930</v>
      </c>
      <c r="F515"/>
      <c r="G515"/>
      <c r="H515"/>
      <c r="I515"/>
      <c r="J515"/>
      <c r="K515" s="66"/>
    </row>
    <row r="516" spans="2:11">
      <c r="B516" s="17" t="s">
        <v>3930</v>
      </c>
      <c r="C516"/>
      <c r="D516" s="18" t="s">
        <v>3930</v>
      </c>
      <c r="E516" s="18" t="s">
        <v>3930</v>
      </c>
      <c r="F516"/>
      <c r="G516"/>
      <c r="H516"/>
      <c r="I516"/>
      <c r="J516"/>
      <c r="K516" s="66"/>
    </row>
    <row r="517" spans="2:11">
      <c r="B517" s="17" t="s">
        <v>3930</v>
      </c>
      <c r="C517"/>
      <c r="D517" s="18" t="s">
        <v>3930</v>
      </c>
      <c r="E517" s="18" t="s">
        <v>3930</v>
      </c>
      <c r="F517"/>
      <c r="G517"/>
      <c r="H517"/>
      <c r="I517"/>
      <c r="J517"/>
      <c r="K517" s="66"/>
    </row>
    <row r="518" spans="2:11">
      <c r="B518" s="17" t="s">
        <v>3930</v>
      </c>
      <c r="C518"/>
      <c r="D518" s="18" t="s">
        <v>3930</v>
      </c>
      <c r="E518" s="18" t="s">
        <v>3930</v>
      </c>
      <c r="F518"/>
      <c r="G518"/>
      <c r="H518"/>
      <c r="I518"/>
      <c r="J518"/>
      <c r="K518" s="66"/>
    </row>
    <row r="519" spans="2:11">
      <c r="B519" s="17" t="s">
        <v>3930</v>
      </c>
      <c r="C519"/>
      <c r="D519" s="18" t="s">
        <v>3930</v>
      </c>
      <c r="E519" s="18" t="s">
        <v>3930</v>
      </c>
      <c r="F519"/>
      <c r="G519"/>
      <c r="H519"/>
      <c r="I519"/>
      <c r="J519"/>
      <c r="K519" s="66"/>
    </row>
    <row r="520" spans="2:11">
      <c r="B520" s="17" t="s">
        <v>3930</v>
      </c>
      <c r="C520"/>
      <c r="D520" s="18" t="s">
        <v>3930</v>
      </c>
      <c r="E520" s="18" t="s">
        <v>3930</v>
      </c>
      <c r="F520"/>
      <c r="G520"/>
      <c r="H520"/>
      <c r="I520"/>
      <c r="J520"/>
      <c r="K520" s="66"/>
    </row>
    <row r="521" spans="2:11">
      <c r="B521" s="17" t="s">
        <v>3930</v>
      </c>
      <c r="C521"/>
      <c r="D521" s="18" t="s">
        <v>3930</v>
      </c>
      <c r="E521" s="18" t="s">
        <v>3930</v>
      </c>
      <c r="F521"/>
      <c r="G521"/>
      <c r="H521"/>
      <c r="I521"/>
      <c r="J521"/>
      <c r="K521" s="66"/>
    </row>
    <row r="522" spans="2:11">
      <c r="B522" s="17" t="s">
        <v>3930</v>
      </c>
      <c r="C522"/>
      <c r="D522" s="18" t="s">
        <v>3930</v>
      </c>
      <c r="E522" s="18" t="s">
        <v>3930</v>
      </c>
      <c r="F522"/>
      <c r="G522"/>
      <c r="H522"/>
      <c r="I522"/>
      <c r="J522"/>
      <c r="K522" s="66"/>
    </row>
    <row r="523" spans="2:11">
      <c r="B523" s="17" t="s">
        <v>3930</v>
      </c>
      <c r="C523"/>
      <c r="D523" s="18" t="s">
        <v>3930</v>
      </c>
      <c r="E523" s="18" t="s">
        <v>3930</v>
      </c>
      <c r="F523"/>
      <c r="G523"/>
      <c r="H523"/>
      <c r="I523"/>
      <c r="J523"/>
      <c r="K523" s="66"/>
    </row>
    <row r="524" spans="2:11">
      <c r="B524" s="17" t="s">
        <v>3930</v>
      </c>
      <c r="C524"/>
      <c r="D524" s="18" t="s">
        <v>3930</v>
      </c>
      <c r="E524" s="18" t="s">
        <v>3930</v>
      </c>
      <c r="F524"/>
      <c r="G524"/>
      <c r="H524"/>
      <c r="I524"/>
      <c r="J524"/>
      <c r="K524" s="66"/>
    </row>
    <row r="525" spans="2:11">
      <c r="B525" s="17" t="s">
        <v>3930</v>
      </c>
      <c r="C525"/>
      <c r="D525" s="18" t="s">
        <v>3930</v>
      </c>
      <c r="E525" s="18" t="s">
        <v>3930</v>
      </c>
      <c r="F525"/>
      <c r="G525"/>
      <c r="H525"/>
      <c r="I525"/>
      <c r="J525"/>
      <c r="K525" s="66"/>
    </row>
    <row r="526" spans="2:11">
      <c r="B526" s="17" t="s">
        <v>3930</v>
      </c>
      <c r="C526"/>
      <c r="D526" s="18" t="s">
        <v>3930</v>
      </c>
      <c r="E526" s="18" t="s">
        <v>3930</v>
      </c>
      <c r="F526"/>
      <c r="G526"/>
      <c r="H526"/>
      <c r="I526"/>
      <c r="J526"/>
      <c r="K526" s="66"/>
    </row>
    <row r="527" spans="2:11">
      <c r="B527" s="17" t="s">
        <v>3930</v>
      </c>
      <c r="C527"/>
      <c r="D527" s="18" t="s">
        <v>3930</v>
      </c>
      <c r="E527" s="18" t="s">
        <v>3930</v>
      </c>
      <c r="F527"/>
      <c r="G527"/>
      <c r="H527"/>
      <c r="I527"/>
      <c r="J527"/>
      <c r="K527" s="66"/>
    </row>
    <row r="528" spans="2:11">
      <c r="B528" s="17" t="s">
        <v>3930</v>
      </c>
      <c r="C528"/>
      <c r="D528" s="18" t="s">
        <v>3930</v>
      </c>
      <c r="E528" s="18" t="s">
        <v>3930</v>
      </c>
      <c r="F528"/>
      <c r="G528"/>
      <c r="H528"/>
      <c r="I528"/>
      <c r="J528"/>
      <c r="K528" s="66"/>
    </row>
    <row r="529" spans="2:11">
      <c r="B529" s="17" t="s">
        <v>3930</v>
      </c>
      <c r="C529"/>
      <c r="D529" s="18" t="s">
        <v>3930</v>
      </c>
      <c r="E529" s="18" t="s">
        <v>3930</v>
      </c>
      <c r="F529"/>
      <c r="G529"/>
      <c r="H529"/>
      <c r="I529"/>
      <c r="J529"/>
      <c r="K529" s="66"/>
    </row>
    <row r="530" spans="2:11">
      <c r="B530" s="17" t="s">
        <v>3930</v>
      </c>
      <c r="C530"/>
      <c r="D530" s="18" t="s">
        <v>3930</v>
      </c>
      <c r="E530" s="18" t="s">
        <v>3930</v>
      </c>
      <c r="F530"/>
      <c r="G530"/>
      <c r="H530"/>
      <c r="I530"/>
      <c r="J530"/>
      <c r="K530" s="66"/>
    </row>
    <row r="531" spans="2:11">
      <c r="B531" s="17" t="s">
        <v>3930</v>
      </c>
      <c r="C531"/>
      <c r="D531" s="18" t="s">
        <v>3930</v>
      </c>
      <c r="E531" s="18" t="s">
        <v>3930</v>
      </c>
      <c r="F531"/>
      <c r="G531"/>
      <c r="H531"/>
      <c r="I531"/>
      <c r="J531"/>
      <c r="K531" s="66"/>
    </row>
    <row r="532" spans="2:11">
      <c r="B532" s="17" t="s">
        <v>3930</v>
      </c>
      <c r="C532"/>
      <c r="D532" s="18" t="s">
        <v>3930</v>
      </c>
      <c r="E532" s="18" t="s">
        <v>3930</v>
      </c>
      <c r="F532"/>
      <c r="G532"/>
      <c r="H532"/>
      <c r="I532"/>
      <c r="J532"/>
      <c r="K532" s="66"/>
    </row>
    <row r="533" spans="2:11">
      <c r="B533" s="17" t="s">
        <v>3930</v>
      </c>
      <c r="C533"/>
      <c r="D533" s="18" t="s">
        <v>3930</v>
      </c>
      <c r="E533" s="18" t="s">
        <v>3930</v>
      </c>
      <c r="F533"/>
      <c r="G533"/>
      <c r="H533"/>
      <c r="I533"/>
      <c r="J533"/>
      <c r="K533" s="66"/>
    </row>
    <row r="534" spans="2:11">
      <c r="B534" s="17" t="s">
        <v>3930</v>
      </c>
      <c r="C534"/>
      <c r="D534" s="18" t="s">
        <v>3930</v>
      </c>
      <c r="E534" s="18" t="s">
        <v>3930</v>
      </c>
      <c r="F534"/>
      <c r="G534"/>
      <c r="H534"/>
      <c r="I534"/>
      <c r="J534"/>
      <c r="K534" s="66"/>
    </row>
    <row r="535" spans="2:11">
      <c r="B535" s="17" t="s">
        <v>3930</v>
      </c>
      <c r="C535"/>
      <c r="D535" s="18" t="s">
        <v>3930</v>
      </c>
      <c r="E535" s="18" t="s">
        <v>3930</v>
      </c>
      <c r="F535"/>
      <c r="G535"/>
      <c r="H535"/>
      <c r="I535"/>
      <c r="J535"/>
      <c r="K535" s="66"/>
    </row>
    <row r="536" spans="2:11">
      <c r="B536" s="17" t="s">
        <v>3930</v>
      </c>
      <c r="C536"/>
      <c r="D536" s="18" t="s">
        <v>3930</v>
      </c>
      <c r="E536" s="18" t="s">
        <v>3930</v>
      </c>
      <c r="F536"/>
      <c r="G536"/>
      <c r="H536"/>
      <c r="I536"/>
      <c r="J536"/>
      <c r="K536" s="66"/>
    </row>
    <row r="537" spans="2:11">
      <c r="B537" s="17" t="s">
        <v>3930</v>
      </c>
      <c r="C537"/>
      <c r="D537" s="18" t="s">
        <v>3930</v>
      </c>
      <c r="E537" s="18" t="s">
        <v>3930</v>
      </c>
      <c r="F537"/>
      <c r="G537"/>
      <c r="H537"/>
      <c r="I537"/>
      <c r="J537"/>
      <c r="K537" s="66"/>
    </row>
    <row r="538" spans="2:11">
      <c r="B538" s="17" t="s">
        <v>3930</v>
      </c>
      <c r="C538"/>
      <c r="D538" s="18" t="s">
        <v>3930</v>
      </c>
      <c r="E538" s="18" t="s">
        <v>3930</v>
      </c>
      <c r="F538"/>
      <c r="G538"/>
      <c r="H538"/>
      <c r="I538"/>
      <c r="J538"/>
      <c r="K538" s="66"/>
    </row>
    <row r="539" spans="2:11">
      <c r="B539" s="17" t="s">
        <v>3930</v>
      </c>
      <c r="C539"/>
      <c r="D539" s="18" t="s">
        <v>3930</v>
      </c>
      <c r="E539" s="18" t="s">
        <v>3930</v>
      </c>
      <c r="F539"/>
      <c r="G539"/>
      <c r="H539"/>
      <c r="I539"/>
      <c r="J539"/>
      <c r="K539" s="66"/>
    </row>
    <row r="540" spans="2:11">
      <c r="B540" s="17" t="s">
        <v>3930</v>
      </c>
      <c r="C540"/>
      <c r="D540" s="18" t="s">
        <v>3930</v>
      </c>
      <c r="E540" s="18" t="s">
        <v>3930</v>
      </c>
      <c r="F540"/>
      <c r="G540"/>
      <c r="H540"/>
      <c r="I540"/>
      <c r="J540"/>
      <c r="K540" s="66"/>
    </row>
    <row r="541" spans="2:11">
      <c r="B541" s="17" t="s">
        <v>3930</v>
      </c>
      <c r="C541"/>
      <c r="D541" s="18" t="s">
        <v>3930</v>
      </c>
      <c r="E541" s="18" t="s">
        <v>3930</v>
      </c>
      <c r="F541"/>
      <c r="G541"/>
      <c r="H541"/>
      <c r="I541"/>
      <c r="J541"/>
      <c r="K541" s="66"/>
    </row>
    <row r="542" spans="2:11">
      <c r="B542" s="17" t="s">
        <v>3930</v>
      </c>
      <c r="C542"/>
      <c r="D542" s="18" t="s">
        <v>3930</v>
      </c>
      <c r="E542" s="18" t="s">
        <v>3930</v>
      </c>
      <c r="F542"/>
      <c r="G542"/>
      <c r="H542"/>
      <c r="I542"/>
      <c r="J542"/>
      <c r="K542" s="66"/>
    </row>
    <row r="543" spans="2:11">
      <c r="B543" s="17" t="s">
        <v>3930</v>
      </c>
      <c r="C543"/>
      <c r="D543" s="18" t="s">
        <v>3930</v>
      </c>
      <c r="E543" s="18" t="s">
        <v>3930</v>
      </c>
      <c r="F543"/>
      <c r="G543"/>
      <c r="H543"/>
      <c r="I543"/>
      <c r="J543"/>
      <c r="K543" s="66"/>
    </row>
    <row r="544" spans="2:11">
      <c r="B544" s="17" t="s">
        <v>3930</v>
      </c>
      <c r="C544"/>
      <c r="D544" s="18" t="s">
        <v>3930</v>
      </c>
      <c r="E544" s="18" t="s">
        <v>3930</v>
      </c>
      <c r="F544"/>
      <c r="G544"/>
      <c r="H544"/>
      <c r="I544"/>
      <c r="J544"/>
      <c r="K544" s="66"/>
    </row>
    <row r="545" spans="2:11">
      <c r="B545" s="17" t="s">
        <v>3930</v>
      </c>
      <c r="C545"/>
      <c r="D545" s="18" t="s">
        <v>3930</v>
      </c>
      <c r="E545" s="18" t="s">
        <v>3930</v>
      </c>
      <c r="F545"/>
      <c r="G545"/>
      <c r="H545"/>
      <c r="I545"/>
      <c r="J545"/>
      <c r="K545" s="66"/>
    </row>
    <row r="546" spans="2:11">
      <c r="B546" s="17" t="s">
        <v>3930</v>
      </c>
      <c r="C546"/>
      <c r="D546" s="18" t="s">
        <v>3930</v>
      </c>
      <c r="E546" s="18" t="s">
        <v>3930</v>
      </c>
      <c r="F546"/>
      <c r="G546"/>
      <c r="H546"/>
      <c r="I546"/>
      <c r="J546"/>
      <c r="K546" s="66"/>
    </row>
    <row r="547" spans="2:11">
      <c r="B547" s="17" t="s">
        <v>3930</v>
      </c>
      <c r="C547"/>
      <c r="D547" s="18" t="s">
        <v>3930</v>
      </c>
      <c r="E547" s="18" t="s">
        <v>3930</v>
      </c>
      <c r="F547"/>
      <c r="G547"/>
      <c r="H547"/>
      <c r="I547"/>
      <c r="J547"/>
      <c r="K547" s="66"/>
    </row>
    <row r="548" spans="2:11">
      <c r="B548" s="17" t="s">
        <v>3930</v>
      </c>
      <c r="C548"/>
      <c r="D548" s="18" t="s">
        <v>3930</v>
      </c>
      <c r="E548" s="18" t="s">
        <v>3930</v>
      </c>
      <c r="F548"/>
      <c r="G548"/>
      <c r="H548"/>
      <c r="I548"/>
      <c r="J548"/>
      <c r="K548" s="66"/>
    </row>
    <row r="549" spans="2:11">
      <c r="B549" s="17" t="s">
        <v>3930</v>
      </c>
      <c r="C549"/>
      <c r="D549" s="18" t="s">
        <v>3930</v>
      </c>
      <c r="E549" s="18" t="s">
        <v>3930</v>
      </c>
      <c r="F549"/>
      <c r="G549"/>
      <c r="H549"/>
      <c r="I549"/>
      <c r="J549"/>
      <c r="K549" s="66"/>
    </row>
    <row r="550" spans="2:11">
      <c r="B550" s="17" t="s">
        <v>3930</v>
      </c>
      <c r="C550"/>
      <c r="D550" s="18" t="s">
        <v>3930</v>
      </c>
      <c r="E550" s="18" t="s">
        <v>3930</v>
      </c>
      <c r="F550"/>
      <c r="G550"/>
      <c r="H550"/>
      <c r="I550"/>
      <c r="J550"/>
      <c r="K550" s="66"/>
    </row>
    <row r="551" spans="2:11">
      <c r="B551" s="17" t="s">
        <v>3930</v>
      </c>
      <c r="C551"/>
      <c r="D551" s="18" t="s">
        <v>3930</v>
      </c>
      <c r="E551" s="18" t="s">
        <v>3930</v>
      </c>
      <c r="F551"/>
      <c r="G551"/>
      <c r="H551"/>
      <c r="I551"/>
      <c r="J551"/>
      <c r="K551" s="66"/>
    </row>
    <row r="552" spans="2:11">
      <c r="B552" s="17" t="s">
        <v>3930</v>
      </c>
      <c r="C552"/>
      <c r="D552" s="18" t="s">
        <v>3930</v>
      </c>
      <c r="E552" s="18" t="s">
        <v>3930</v>
      </c>
      <c r="F552"/>
      <c r="G552"/>
      <c r="H552"/>
      <c r="I552"/>
      <c r="J552"/>
      <c r="K552" s="66"/>
    </row>
    <row r="553" spans="2:11">
      <c r="B553" s="17" t="s">
        <v>3930</v>
      </c>
      <c r="C553"/>
      <c r="D553" s="18" t="s">
        <v>3930</v>
      </c>
      <c r="E553" s="18" t="s">
        <v>3930</v>
      </c>
      <c r="F553"/>
      <c r="G553"/>
      <c r="H553"/>
      <c r="I553"/>
      <c r="J553"/>
      <c r="K553" s="66"/>
    </row>
    <row r="554" spans="2:11">
      <c r="B554" s="17" t="s">
        <v>3930</v>
      </c>
      <c r="C554"/>
      <c r="D554" s="18" t="s">
        <v>3930</v>
      </c>
      <c r="E554" s="18" t="s">
        <v>3930</v>
      </c>
      <c r="F554"/>
      <c r="G554"/>
      <c r="H554"/>
      <c r="I554"/>
      <c r="J554"/>
      <c r="K554" s="66"/>
    </row>
    <row r="555" spans="2:11">
      <c r="B555" s="17" t="s">
        <v>3930</v>
      </c>
      <c r="C555"/>
      <c r="D555" s="18" t="s">
        <v>3930</v>
      </c>
      <c r="E555" s="18" t="s">
        <v>3930</v>
      </c>
      <c r="F555"/>
      <c r="G555"/>
      <c r="H555"/>
      <c r="I555"/>
      <c r="J555"/>
      <c r="K555" s="66"/>
    </row>
    <row r="556" spans="2:11">
      <c r="B556" s="17" t="s">
        <v>3930</v>
      </c>
      <c r="C556"/>
      <c r="D556" s="18" t="s">
        <v>3930</v>
      </c>
      <c r="E556" s="18" t="s">
        <v>3930</v>
      </c>
      <c r="F556"/>
      <c r="G556"/>
      <c r="H556"/>
      <c r="I556"/>
      <c r="J556"/>
      <c r="K556" s="66"/>
    </row>
    <row r="557" spans="2:11">
      <c r="B557" s="17" t="s">
        <v>3930</v>
      </c>
      <c r="C557"/>
      <c r="D557" s="18" t="s">
        <v>3930</v>
      </c>
      <c r="E557" s="18" t="s">
        <v>3930</v>
      </c>
      <c r="F557"/>
      <c r="G557"/>
      <c r="H557"/>
      <c r="I557"/>
      <c r="J557"/>
      <c r="K557" s="66"/>
    </row>
    <row r="558" spans="2:11">
      <c r="B558" s="17" t="s">
        <v>3930</v>
      </c>
      <c r="C558"/>
      <c r="D558" s="18" t="s">
        <v>3930</v>
      </c>
      <c r="E558" s="18" t="s">
        <v>3930</v>
      </c>
      <c r="F558"/>
      <c r="G558"/>
      <c r="H558"/>
      <c r="I558"/>
      <c r="J558"/>
      <c r="K558" s="66"/>
    </row>
    <row r="559" spans="2:11">
      <c r="B559" s="17" t="s">
        <v>3930</v>
      </c>
      <c r="C559"/>
      <c r="D559" s="18" t="s">
        <v>3930</v>
      </c>
      <c r="E559" s="18" t="s">
        <v>3930</v>
      </c>
      <c r="F559"/>
      <c r="G559"/>
      <c r="H559"/>
      <c r="I559"/>
      <c r="J559"/>
      <c r="K559" s="66"/>
    </row>
    <row r="560" spans="2:11">
      <c r="B560" s="17" t="s">
        <v>3930</v>
      </c>
      <c r="C560"/>
      <c r="D560" s="18" t="s">
        <v>3930</v>
      </c>
      <c r="E560" s="18" t="s">
        <v>3930</v>
      </c>
      <c r="F560"/>
      <c r="G560"/>
      <c r="H560"/>
      <c r="I560"/>
      <c r="J560"/>
      <c r="K560" s="66"/>
    </row>
    <row r="561" spans="2:11">
      <c r="B561" s="17" t="s">
        <v>3930</v>
      </c>
      <c r="C561"/>
      <c r="D561" s="18" t="s">
        <v>3930</v>
      </c>
      <c r="E561" s="18" t="s">
        <v>3930</v>
      </c>
      <c r="F561"/>
      <c r="G561"/>
      <c r="H561"/>
      <c r="I561"/>
      <c r="J561"/>
      <c r="K561" s="66"/>
    </row>
    <row r="562" spans="2:11">
      <c r="B562" s="17" t="s">
        <v>3930</v>
      </c>
      <c r="C562"/>
      <c r="D562" s="18" t="s">
        <v>3930</v>
      </c>
      <c r="E562" s="18" t="s">
        <v>3930</v>
      </c>
      <c r="F562"/>
      <c r="G562"/>
      <c r="H562"/>
      <c r="I562"/>
      <c r="J562"/>
      <c r="K562" s="66"/>
    </row>
    <row r="563" spans="2:11">
      <c r="B563" s="17" t="s">
        <v>3930</v>
      </c>
      <c r="C563"/>
      <c r="D563" s="18" t="s">
        <v>3930</v>
      </c>
      <c r="E563" s="18" t="s">
        <v>3930</v>
      </c>
      <c r="F563"/>
      <c r="G563"/>
      <c r="H563"/>
      <c r="I563"/>
      <c r="J563"/>
      <c r="K563" s="66"/>
    </row>
    <row r="564" spans="2:11">
      <c r="B564" s="17" t="s">
        <v>3930</v>
      </c>
      <c r="C564"/>
      <c r="D564" s="18" t="s">
        <v>3930</v>
      </c>
      <c r="E564" s="18" t="s">
        <v>3930</v>
      </c>
      <c r="F564"/>
      <c r="G564"/>
      <c r="H564"/>
      <c r="I564"/>
      <c r="J564"/>
      <c r="K564" s="66"/>
    </row>
    <row r="565" spans="2:11">
      <c r="B565" s="17" t="s">
        <v>3930</v>
      </c>
      <c r="C565"/>
      <c r="D565" s="18" t="s">
        <v>3930</v>
      </c>
      <c r="E565" s="18" t="s">
        <v>3930</v>
      </c>
      <c r="F565"/>
      <c r="G565"/>
      <c r="H565"/>
      <c r="I565"/>
      <c r="J565"/>
      <c r="K565" s="66"/>
    </row>
    <row r="566" spans="2:11">
      <c r="B566" s="17" t="s">
        <v>3930</v>
      </c>
      <c r="C566"/>
      <c r="D566" s="18" t="s">
        <v>3930</v>
      </c>
      <c r="E566" s="18" t="s">
        <v>3930</v>
      </c>
      <c r="F566"/>
      <c r="G566"/>
      <c r="H566"/>
      <c r="I566"/>
      <c r="J566"/>
      <c r="K566" s="66"/>
    </row>
    <row r="567" spans="2:11">
      <c r="B567" s="17" t="s">
        <v>3930</v>
      </c>
      <c r="C567"/>
      <c r="D567" s="18" t="s">
        <v>3930</v>
      </c>
      <c r="E567" s="18" t="s">
        <v>3930</v>
      </c>
      <c r="F567"/>
      <c r="G567"/>
      <c r="H567"/>
      <c r="I567"/>
      <c r="J567"/>
      <c r="K567" s="66"/>
    </row>
    <row r="568" spans="2:11">
      <c r="B568" s="17" t="s">
        <v>3930</v>
      </c>
      <c r="C568"/>
      <c r="D568" s="18" t="s">
        <v>3930</v>
      </c>
      <c r="E568" s="18" t="s">
        <v>3930</v>
      </c>
      <c r="F568"/>
      <c r="G568"/>
      <c r="H568"/>
      <c r="I568"/>
      <c r="J568"/>
      <c r="K568" s="66"/>
    </row>
    <row r="569" spans="2:11">
      <c r="B569" s="17" t="s">
        <v>3930</v>
      </c>
      <c r="C569"/>
      <c r="D569" s="18" t="s">
        <v>3930</v>
      </c>
      <c r="E569" s="18" t="s">
        <v>3930</v>
      </c>
      <c r="F569"/>
      <c r="G569"/>
      <c r="H569"/>
      <c r="I569"/>
      <c r="J569"/>
      <c r="K569" s="66"/>
    </row>
    <row r="570" spans="2:11">
      <c r="B570" s="17" t="s">
        <v>3930</v>
      </c>
      <c r="C570"/>
      <c r="D570" s="18" t="s">
        <v>3930</v>
      </c>
      <c r="E570" s="18" t="s">
        <v>3930</v>
      </c>
      <c r="F570"/>
      <c r="G570"/>
      <c r="H570"/>
      <c r="I570"/>
      <c r="J570"/>
      <c r="K570" s="66"/>
    </row>
    <row r="571" spans="2:11">
      <c r="B571" s="17" t="s">
        <v>3930</v>
      </c>
      <c r="C571"/>
      <c r="D571" s="18" t="s">
        <v>3930</v>
      </c>
      <c r="E571" s="18" t="s">
        <v>3930</v>
      </c>
      <c r="F571"/>
      <c r="G571"/>
      <c r="H571"/>
      <c r="I571"/>
      <c r="J571"/>
      <c r="K571" s="66"/>
    </row>
    <row r="572" spans="2:11">
      <c r="B572" s="17" t="s">
        <v>3930</v>
      </c>
      <c r="C572"/>
      <c r="D572" s="18" t="s">
        <v>3930</v>
      </c>
      <c r="E572" s="18" t="s">
        <v>3930</v>
      </c>
      <c r="F572"/>
      <c r="G572"/>
      <c r="H572"/>
      <c r="I572"/>
      <c r="J572"/>
      <c r="K572" s="66"/>
    </row>
    <row r="573" spans="2:11">
      <c r="B573" s="17" t="s">
        <v>3930</v>
      </c>
      <c r="C573"/>
      <c r="D573" s="18" t="s">
        <v>3930</v>
      </c>
      <c r="E573" s="18" t="s">
        <v>3930</v>
      </c>
      <c r="F573"/>
      <c r="G573"/>
      <c r="H573"/>
      <c r="I573"/>
      <c r="J573"/>
      <c r="K573" s="66"/>
    </row>
    <row r="574" spans="2:11">
      <c r="B574" s="17" t="s">
        <v>3930</v>
      </c>
      <c r="C574"/>
      <c r="D574" s="18" t="s">
        <v>3930</v>
      </c>
      <c r="E574" s="18" t="s">
        <v>3930</v>
      </c>
      <c r="F574"/>
      <c r="G574"/>
      <c r="H574"/>
      <c r="I574"/>
      <c r="J574"/>
      <c r="K574" s="66"/>
    </row>
    <row r="575" spans="2:11">
      <c r="B575" s="17" t="s">
        <v>3930</v>
      </c>
      <c r="C575"/>
      <c r="D575" s="18" t="s">
        <v>3930</v>
      </c>
      <c r="E575" s="18" t="s">
        <v>3930</v>
      </c>
      <c r="F575"/>
      <c r="G575"/>
      <c r="H575"/>
      <c r="I575"/>
      <c r="J575"/>
      <c r="K575" s="66"/>
    </row>
    <row r="576" spans="2:11">
      <c r="B576" s="17" t="s">
        <v>3930</v>
      </c>
      <c r="C576"/>
      <c r="D576" s="18" t="s">
        <v>3930</v>
      </c>
      <c r="E576" s="18" t="s">
        <v>3930</v>
      </c>
      <c r="F576"/>
      <c r="G576"/>
      <c r="H576"/>
      <c r="I576"/>
      <c r="J576"/>
      <c r="K576" s="66"/>
    </row>
    <row r="577" spans="2:11">
      <c r="B577" s="17" t="s">
        <v>3930</v>
      </c>
      <c r="C577"/>
      <c r="D577" s="18" t="s">
        <v>3930</v>
      </c>
      <c r="E577" s="18" t="s">
        <v>3930</v>
      </c>
      <c r="F577"/>
      <c r="G577"/>
      <c r="H577"/>
      <c r="I577"/>
      <c r="J577"/>
      <c r="K577" s="66"/>
    </row>
    <row r="578" spans="2:11">
      <c r="B578" s="17" t="s">
        <v>3930</v>
      </c>
      <c r="C578"/>
      <c r="D578" s="18" t="s">
        <v>3930</v>
      </c>
      <c r="E578" s="18" t="s">
        <v>3930</v>
      </c>
      <c r="F578"/>
      <c r="G578"/>
      <c r="H578"/>
      <c r="I578"/>
      <c r="J578"/>
      <c r="K578" s="66"/>
    </row>
    <row r="579" spans="2:11">
      <c r="B579" s="17" t="s">
        <v>3930</v>
      </c>
      <c r="C579"/>
      <c r="D579" s="18" t="s">
        <v>3930</v>
      </c>
      <c r="E579" s="18" t="s">
        <v>3930</v>
      </c>
      <c r="F579"/>
      <c r="G579"/>
      <c r="H579"/>
      <c r="I579"/>
      <c r="J579"/>
      <c r="K579" s="66"/>
    </row>
    <row r="580" spans="2:11">
      <c r="B580" s="17" t="s">
        <v>3930</v>
      </c>
      <c r="C580"/>
      <c r="D580" s="18" t="s">
        <v>3930</v>
      </c>
      <c r="E580" s="18" t="s">
        <v>3930</v>
      </c>
      <c r="F580"/>
      <c r="G580"/>
      <c r="H580"/>
      <c r="I580"/>
      <c r="J580"/>
      <c r="K580" s="66"/>
    </row>
    <row r="581" spans="2:11">
      <c r="B581" s="17" t="s">
        <v>3930</v>
      </c>
      <c r="C581"/>
      <c r="D581" s="18" t="s">
        <v>3930</v>
      </c>
      <c r="E581" s="18" t="s">
        <v>3930</v>
      </c>
      <c r="F581"/>
      <c r="G581"/>
      <c r="H581"/>
      <c r="I581"/>
      <c r="J581"/>
      <c r="K581" s="66"/>
    </row>
    <row r="582" spans="2:11">
      <c r="B582" s="17" t="s">
        <v>3930</v>
      </c>
      <c r="C582"/>
      <c r="D582" s="18" t="s">
        <v>3930</v>
      </c>
      <c r="E582" s="18" t="s">
        <v>3930</v>
      </c>
      <c r="F582"/>
      <c r="G582"/>
      <c r="H582"/>
      <c r="I582"/>
      <c r="J582"/>
      <c r="K582" s="66"/>
    </row>
    <row r="583" spans="2:11">
      <c r="B583" s="17" t="s">
        <v>3930</v>
      </c>
      <c r="C583"/>
      <c r="D583" s="18" t="s">
        <v>3930</v>
      </c>
      <c r="E583" s="18" t="s">
        <v>3930</v>
      </c>
      <c r="F583"/>
      <c r="G583"/>
      <c r="H583"/>
      <c r="I583"/>
      <c r="J583"/>
      <c r="K583" s="66"/>
    </row>
    <row r="584" spans="2:11">
      <c r="B584" s="17" t="s">
        <v>3930</v>
      </c>
      <c r="C584"/>
      <c r="D584" s="18" t="s">
        <v>3930</v>
      </c>
      <c r="E584" s="18" t="s">
        <v>3930</v>
      </c>
      <c r="F584"/>
      <c r="G584"/>
      <c r="H584"/>
      <c r="I584"/>
      <c r="J584"/>
      <c r="K584" s="66"/>
    </row>
    <row r="585" spans="2:11">
      <c r="B585" s="17" t="s">
        <v>3930</v>
      </c>
      <c r="C585"/>
      <c r="D585" s="18" t="s">
        <v>3930</v>
      </c>
      <c r="E585" s="18" t="s">
        <v>3930</v>
      </c>
      <c r="F585"/>
      <c r="G585"/>
      <c r="H585"/>
      <c r="I585"/>
      <c r="J585"/>
      <c r="K585" s="66"/>
    </row>
    <row r="586" spans="2:11">
      <c r="B586" s="17" t="s">
        <v>3930</v>
      </c>
      <c r="C586"/>
      <c r="D586" s="18" t="s">
        <v>3930</v>
      </c>
      <c r="E586" s="18" t="s">
        <v>3930</v>
      </c>
      <c r="F586"/>
      <c r="G586"/>
      <c r="H586"/>
      <c r="I586"/>
      <c r="J586"/>
      <c r="K586" s="66"/>
    </row>
    <row r="587" spans="2:11">
      <c r="B587" s="17" t="s">
        <v>3930</v>
      </c>
      <c r="C587"/>
      <c r="D587" s="18" t="s">
        <v>3930</v>
      </c>
      <c r="E587" s="18" t="s">
        <v>3930</v>
      </c>
      <c r="F587"/>
      <c r="G587"/>
      <c r="H587"/>
      <c r="I587"/>
      <c r="J587"/>
      <c r="K587" s="66"/>
    </row>
    <row r="588" spans="2:11">
      <c r="B588" s="17" t="s">
        <v>3930</v>
      </c>
      <c r="C588"/>
      <c r="D588" s="18" t="s">
        <v>3930</v>
      </c>
      <c r="E588" s="18" t="s">
        <v>3930</v>
      </c>
      <c r="F588"/>
      <c r="G588"/>
      <c r="H588"/>
      <c r="I588"/>
      <c r="J588"/>
      <c r="K588" s="66"/>
    </row>
    <row r="589" spans="2:11">
      <c r="B589" s="17" t="s">
        <v>3930</v>
      </c>
      <c r="C589"/>
      <c r="D589" s="18" t="s">
        <v>3930</v>
      </c>
      <c r="E589" s="18" t="s">
        <v>3930</v>
      </c>
      <c r="F589"/>
      <c r="G589"/>
      <c r="H589"/>
      <c r="I589"/>
      <c r="J589"/>
      <c r="K589" s="66"/>
    </row>
    <row r="590" spans="2:11">
      <c r="B590" s="17" t="s">
        <v>3930</v>
      </c>
      <c r="C590"/>
      <c r="D590" s="18" t="s">
        <v>3930</v>
      </c>
      <c r="E590" s="18" t="s">
        <v>3930</v>
      </c>
      <c r="F590"/>
      <c r="G590"/>
      <c r="H590"/>
      <c r="I590"/>
      <c r="J590"/>
      <c r="K590" s="66"/>
    </row>
    <row r="591" spans="2:11">
      <c r="B591" s="17" t="s">
        <v>3930</v>
      </c>
      <c r="C591"/>
      <c r="D591" s="18" t="s">
        <v>3930</v>
      </c>
      <c r="E591" s="18" t="s">
        <v>3930</v>
      </c>
      <c r="F591"/>
      <c r="G591"/>
      <c r="H591"/>
      <c r="I591"/>
      <c r="J591"/>
      <c r="K591" s="66"/>
    </row>
    <row r="592" spans="2:11">
      <c r="B592" s="17" t="s">
        <v>3930</v>
      </c>
      <c r="C592"/>
      <c r="D592" s="18" t="s">
        <v>3930</v>
      </c>
      <c r="E592" s="18" t="s">
        <v>3930</v>
      </c>
      <c r="F592"/>
      <c r="G592"/>
      <c r="H592"/>
      <c r="I592"/>
      <c r="J592"/>
      <c r="K592" s="66"/>
    </row>
    <row r="593" spans="2:11">
      <c r="B593" s="17" t="s">
        <v>3930</v>
      </c>
      <c r="C593"/>
      <c r="D593" s="18" t="s">
        <v>3930</v>
      </c>
      <c r="E593" s="18" t="s">
        <v>3930</v>
      </c>
      <c r="F593"/>
      <c r="G593"/>
      <c r="H593"/>
      <c r="I593"/>
      <c r="J593"/>
      <c r="K593" s="66"/>
    </row>
    <row r="594" spans="2:11">
      <c r="B594" s="17" t="s">
        <v>3930</v>
      </c>
      <c r="C594"/>
      <c r="D594" s="18" t="s">
        <v>3930</v>
      </c>
      <c r="E594" s="18" t="s">
        <v>3930</v>
      </c>
      <c r="F594"/>
      <c r="G594"/>
      <c r="H594"/>
      <c r="I594"/>
      <c r="J594"/>
      <c r="K594" s="66"/>
    </row>
    <row r="595" spans="2:11">
      <c r="B595" s="17" t="s">
        <v>3930</v>
      </c>
      <c r="C595"/>
      <c r="D595" s="18" t="s">
        <v>3930</v>
      </c>
      <c r="E595" s="18" t="s">
        <v>3930</v>
      </c>
      <c r="F595"/>
      <c r="G595"/>
      <c r="H595"/>
      <c r="I595"/>
      <c r="J595"/>
      <c r="K595" s="66"/>
    </row>
    <row r="596" spans="2:11">
      <c r="B596" s="17" t="s">
        <v>3930</v>
      </c>
      <c r="C596"/>
      <c r="D596" s="18" t="s">
        <v>3930</v>
      </c>
      <c r="E596" s="18" t="s">
        <v>3930</v>
      </c>
      <c r="F596"/>
      <c r="G596"/>
      <c r="H596"/>
      <c r="I596"/>
      <c r="J596"/>
      <c r="K596" s="66"/>
    </row>
    <row r="597" spans="2:11">
      <c r="B597" s="17" t="s">
        <v>3930</v>
      </c>
      <c r="C597"/>
      <c r="D597" s="18" t="s">
        <v>3930</v>
      </c>
      <c r="E597" s="18" t="s">
        <v>3930</v>
      </c>
      <c r="F597"/>
      <c r="G597"/>
      <c r="H597"/>
      <c r="I597"/>
      <c r="J597"/>
      <c r="K597" s="66"/>
    </row>
    <row r="598" spans="2:11">
      <c r="B598" s="17" t="s">
        <v>3930</v>
      </c>
      <c r="C598"/>
      <c r="D598" s="18" t="s">
        <v>3930</v>
      </c>
      <c r="E598" s="18" t="s">
        <v>3930</v>
      </c>
      <c r="F598"/>
      <c r="G598"/>
      <c r="H598"/>
      <c r="I598"/>
      <c r="J598"/>
      <c r="K598" s="66"/>
    </row>
    <row r="599" spans="2:11">
      <c r="B599" s="17" t="s">
        <v>3930</v>
      </c>
      <c r="C599"/>
      <c r="D599" s="18" t="s">
        <v>3930</v>
      </c>
      <c r="E599" s="18" t="s">
        <v>3930</v>
      </c>
      <c r="F599"/>
      <c r="G599"/>
      <c r="H599"/>
      <c r="I599"/>
      <c r="J599"/>
      <c r="K599" s="66"/>
    </row>
    <row r="600" spans="2:11">
      <c r="B600" s="17" t="s">
        <v>3930</v>
      </c>
      <c r="C600"/>
      <c r="D600" s="18" t="s">
        <v>3930</v>
      </c>
      <c r="E600" s="18" t="s">
        <v>3930</v>
      </c>
      <c r="F600"/>
      <c r="G600"/>
      <c r="H600"/>
      <c r="I600"/>
      <c r="J600"/>
      <c r="K600" s="66"/>
    </row>
    <row r="601" spans="2:11">
      <c r="B601" s="17" t="s">
        <v>3930</v>
      </c>
      <c r="C601"/>
      <c r="D601" s="18" t="s">
        <v>3930</v>
      </c>
      <c r="E601" s="18" t="s">
        <v>3930</v>
      </c>
      <c r="F601"/>
      <c r="G601"/>
      <c r="H601"/>
      <c r="I601"/>
      <c r="J601"/>
      <c r="K601" s="66"/>
    </row>
    <row r="602" spans="2:11">
      <c r="B602" s="17" t="s">
        <v>3930</v>
      </c>
      <c r="C602"/>
      <c r="D602" s="18" t="s">
        <v>3930</v>
      </c>
      <c r="E602" s="18" t="s">
        <v>3930</v>
      </c>
      <c r="F602"/>
      <c r="G602"/>
      <c r="H602"/>
      <c r="I602"/>
      <c r="J602"/>
      <c r="K602" s="66"/>
    </row>
    <row r="603" spans="2:11">
      <c r="B603" s="17" t="s">
        <v>3930</v>
      </c>
      <c r="C603"/>
      <c r="D603" s="18" t="s">
        <v>3930</v>
      </c>
      <c r="E603" s="18" t="s">
        <v>3930</v>
      </c>
      <c r="F603"/>
      <c r="G603"/>
      <c r="H603"/>
      <c r="I603"/>
      <c r="J603"/>
      <c r="K603" s="66"/>
    </row>
    <row r="604" spans="2:11">
      <c r="B604" s="17" t="s">
        <v>3930</v>
      </c>
      <c r="C604"/>
      <c r="D604" s="18" t="s">
        <v>3930</v>
      </c>
      <c r="E604" s="18" t="s">
        <v>3930</v>
      </c>
      <c r="F604"/>
      <c r="G604"/>
      <c r="H604"/>
      <c r="I604"/>
      <c r="J604"/>
      <c r="K604" s="66"/>
    </row>
    <row r="605" spans="2:11">
      <c r="B605" s="17" t="s">
        <v>3930</v>
      </c>
      <c r="C605"/>
      <c r="D605" s="18" t="s">
        <v>3930</v>
      </c>
      <c r="E605" s="18" t="s">
        <v>3930</v>
      </c>
      <c r="F605"/>
      <c r="G605"/>
      <c r="H605"/>
      <c r="I605"/>
      <c r="J605"/>
      <c r="K605" s="66"/>
    </row>
    <row r="606" spans="2:11">
      <c r="B606" s="17" t="s">
        <v>3930</v>
      </c>
      <c r="C606"/>
      <c r="D606" s="18" t="s">
        <v>3930</v>
      </c>
      <c r="E606" s="18" t="s">
        <v>3930</v>
      </c>
      <c r="F606"/>
      <c r="G606"/>
      <c r="H606"/>
      <c r="I606"/>
      <c r="J606"/>
      <c r="K606" s="66"/>
    </row>
    <row r="607" spans="2:11">
      <c r="B607" s="17" t="s">
        <v>3930</v>
      </c>
      <c r="C607"/>
      <c r="D607" s="18" t="s">
        <v>3930</v>
      </c>
      <c r="E607" s="18" t="s">
        <v>3930</v>
      </c>
      <c r="F607"/>
      <c r="G607"/>
      <c r="H607"/>
      <c r="I607"/>
      <c r="J607"/>
      <c r="K607" s="66"/>
    </row>
    <row r="608" spans="2:11">
      <c r="B608" s="17" t="s">
        <v>3930</v>
      </c>
      <c r="C608"/>
      <c r="D608" s="18" t="s">
        <v>3930</v>
      </c>
      <c r="E608" s="18" t="s">
        <v>3930</v>
      </c>
      <c r="F608"/>
      <c r="G608"/>
      <c r="H608"/>
      <c r="I608"/>
      <c r="J608"/>
      <c r="K608" s="66"/>
    </row>
    <row r="609" spans="2:11">
      <c r="B609" s="17" t="s">
        <v>3930</v>
      </c>
      <c r="C609"/>
      <c r="D609" s="18" t="s">
        <v>3930</v>
      </c>
      <c r="E609" s="18" t="s">
        <v>3930</v>
      </c>
      <c r="F609"/>
      <c r="G609"/>
      <c r="H609"/>
      <c r="I609"/>
      <c r="J609"/>
      <c r="K609" s="66"/>
    </row>
    <row r="610" spans="2:11">
      <c r="B610" s="17" t="s">
        <v>3930</v>
      </c>
      <c r="C610"/>
      <c r="D610" s="18" t="s">
        <v>3930</v>
      </c>
      <c r="E610" s="18" t="s">
        <v>3930</v>
      </c>
      <c r="F610"/>
      <c r="G610"/>
      <c r="H610"/>
      <c r="I610"/>
      <c r="J610"/>
      <c r="K610" s="66"/>
    </row>
    <row r="611" spans="2:11">
      <c r="B611" s="17" t="s">
        <v>3930</v>
      </c>
      <c r="C611"/>
      <c r="D611" s="18" t="s">
        <v>3930</v>
      </c>
      <c r="E611" s="18" t="s">
        <v>3930</v>
      </c>
      <c r="F611"/>
      <c r="G611"/>
      <c r="H611"/>
      <c r="I611"/>
      <c r="J611"/>
      <c r="K611" s="66"/>
    </row>
    <row r="612" spans="2:11">
      <c r="B612" s="17" t="s">
        <v>3930</v>
      </c>
      <c r="C612"/>
      <c r="D612" s="18" t="s">
        <v>3930</v>
      </c>
      <c r="E612" s="18" t="s">
        <v>3930</v>
      </c>
      <c r="F612"/>
      <c r="G612"/>
      <c r="H612"/>
      <c r="I612"/>
      <c r="J612"/>
      <c r="K612" s="66"/>
    </row>
    <row r="613" spans="2:11">
      <c r="B613" s="17" t="s">
        <v>3930</v>
      </c>
      <c r="C613"/>
      <c r="D613" s="18" t="s">
        <v>3930</v>
      </c>
      <c r="E613" s="18" t="s">
        <v>3930</v>
      </c>
      <c r="F613"/>
      <c r="G613"/>
      <c r="H613"/>
      <c r="I613"/>
      <c r="J613"/>
      <c r="K613" s="66"/>
    </row>
    <row r="614" spans="2:11">
      <c r="B614" s="17" t="s">
        <v>3930</v>
      </c>
      <c r="C614"/>
      <c r="D614" s="18" t="s">
        <v>3930</v>
      </c>
      <c r="E614" s="18" t="s">
        <v>3930</v>
      </c>
      <c r="F614"/>
      <c r="G614"/>
      <c r="H614"/>
      <c r="I614"/>
      <c r="J614"/>
      <c r="K614" s="66"/>
    </row>
    <row r="615" spans="2:11">
      <c r="B615" s="17" t="s">
        <v>3930</v>
      </c>
      <c r="C615"/>
      <c r="D615" s="18" t="s">
        <v>3930</v>
      </c>
      <c r="E615" s="18" t="s">
        <v>3930</v>
      </c>
      <c r="F615"/>
      <c r="G615"/>
      <c r="H615"/>
      <c r="I615"/>
      <c r="J615"/>
      <c r="K615" s="66"/>
    </row>
    <row r="616" spans="2:11">
      <c r="B616" s="17" t="s">
        <v>3930</v>
      </c>
      <c r="C616"/>
      <c r="D616" s="18" t="s">
        <v>3930</v>
      </c>
      <c r="E616" s="18" t="s">
        <v>3930</v>
      </c>
      <c r="F616"/>
      <c r="G616"/>
      <c r="H616"/>
      <c r="I616"/>
      <c r="J616"/>
      <c r="K616" s="66"/>
    </row>
    <row r="617" spans="2:11">
      <c r="B617" s="17" t="s">
        <v>3930</v>
      </c>
      <c r="C617"/>
      <c r="D617" s="18" t="s">
        <v>3930</v>
      </c>
      <c r="E617" s="18" t="s">
        <v>3930</v>
      </c>
      <c r="F617"/>
      <c r="G617"/>
      <c r="H617"/>
      <c r="I617"/>
      <c r="J617"/>
      <c r="K617" s="66"/>
    </row>
    <row r="618" spans="2:11">
      <c r="B618" s="17" t="s">
        <v>3930</v>
      </c>
      <c r="C618"/>
      <c r="D618" s="18" t="s">
        <v>3930</v>
      </c>
      <c r="E618" s="18" t="s">
        <v>3930</v>
      </c>
      <c r="F618"/>
      <c r="G618"/>
      <c r="H618"/>
      <c r="I618"/>
      <c r="J618"/>
      <c r="K618" s="66"/>
    </row>
    <row r="619" spans="2:11">
      <c r="B619" s="17" t="s">
        <v>3930</v>
      </c>
      <c r="C619"/>
      <c r="D619" s="18" t="s">
        <v>3930</v>
      </c>
      <c r="E619" s="18" t="s">
        <v>3930</v>
      </c>
      <c r="F619"/>
      <c r="G619"/>
      <c r="H619"/>
      <c r="I619"/>
      <c r="J619"/>
      <c r="K619" s="66"/>
    </row>
    <row r="620" spans="2:11">
      <c r="B620" s="17" t="s">
        <v>3930</v>
      </c>
      <c r="C620"/>
      <c r="D620" s="18" t="s">
        <v>3930</v>
      </c>
      <c r="E620" s="18" t="s">
        <v>3930</v>
      </c>
      <c r="F620"/>
      <c r="G620"/>
      <c r="H620"/>
      <c r="I620"/>
      <c r="J620"/>
      <c r="K620" s="66"/>
    </row>
    <row r="621" spans="2:11">
      <c r="B621" s="17" t="s">
        <v>3930</v>
      </c>
      <c r="C621"/>
      <c r="D621" s="18" t="s">
        <v>3930</v>
      </c>
      <c r="E621" s="18" t="s">
        <v>3930</v>
      </c>
      <c r="F621"/>
      <c r="G621"/>
      <c r="H621"/>
      <c r="I621"/>
      <c r="J621"/>
      <c r="K621" s="66"/>
    </row>
    <row r="622" spans="2:11">
      <c r="B622" s="17" t="s">
        <v>3930</v>
      </c>
      <c r="C622"/>
      <c r="D622" s="18" t="s">
        <v>3930</v>
      </c>
      <c r="E622" s="18" t="s">
        <v>3930</v>
      </c>
      <c r="F622"/>
      <c r="G622"/>
      <c r="H622"/>
      <c r="I622"/>
      <c r="J622"/>
      <c r="K622" s="66"/>
    </row>
    <row r="623" spans="2:11">
      <c r="B623" s="17" t="s">
        <v>3930</v>
      </c>
      <c r="C623"/>
      <c r="D623" s="18" t="s">
        <v>3930</v>
      </c>
      <c r="E623" s="18" t="s">
        <v>3930</v>
      </c>
      <c r="F623"/>
      <c r="G623"/>
      <c r="H623"/>
      <c r="I623"/>
      <c r="J623"/>
      <c r="K623" s="66"/>
    </row>
    <row r="624" spans="2:11">
      <c r="B624" s="17" t="s">
        <v>3930</v>
      </c>
      <c r="C624"/>
      <c r="D624" s="18" t="s">
        <v>3930</v>
      </c>
      <c r="E624" s="18" t="s">
        <v>3930</v>
      </c>
      <c r="F624"/>
      <c r="G624"/>
      <c r="H624"/>
      <c r="I624"/>
      <c r="J624"/>
      <c r="K624" s="66"/>
    </row>
    <row r="625" spans="2:11">
      <c r="B625" s="17" t="s">
        <v>3930</v>
      </c>
      <c r="C625"/>
      <c r="D625" s="18" t="s">
        <v>3930</v>
      </c>
      <c r="E625" s="18" t="s">
        <v>3930</v>
      </c>
      <c r="F625"/>
      <c r="G625"/>
      <c r="H625"/>
      <c r="I625"/>
      <c r="J625"/>
      <c r="K625" s="66"/>
    </row>
    <row r="626" spans="2:11">
      <c r="B626" s="17" t="s">
        <v>3930</v>
      </c>
      <c r="C626"/>
      <c r="D626" s="18" t="s">
        <v>3930</v>
      </c>
      <c r="E626" s="18" t="s">
        <v>3930</v>
      </c>
      <c r="F626"/>
      <c r="G626"/>
      <c r="H626"/>
      <c r="I626"/>
      <c r="J626"/>
      <c r="K626" s="66"/>
    </row>
    <row r="627" spans="2:11">
      <c r="B627" s="17" t="s">
        <v>3930</v>
      </c>
      <c r="C627"/>
      <c r="D627" s="18" t="s">
        <v>3930</v>
      </c>
      <c r="E627" s="18" t="s">
        <v>3930</v>
      </c>
      <c r="F627"/>
      <c r="G627"/>
      <c r="H627"/>
      <c r="I627"/>
      <c r="J627"/>
      <c r="K627" s="66"/>
    </row>
    <row r="628" spans="2:11">
      <c r="B628" s="17" t="s">
        <v>3930</v>
      </c>
      <c r="C628"/>
      <c r="D628" s="18" t="s">
        <v>3930</v>
      </c>
      <c r="E628" s="18" t="s">
        <v>3930</v>
      </c>
      <c r="F628"/>
      <c r="G628"/>
      <c r="H628"/>
      <c r="I628"/>
      <c r="J628"/>
      <c r="K628" s="66"/>
    </row>
    <row r="629" spans="2:11">
      <c r="B629" s="17" t="s">
        <v>3930</v>
      </c>
      <c r="C629"/>
      <c r="D629" s="18" t="s">
        <v>3930</v>
      </c>
      <c r="E629" s="18" t="s">
        <v>3930</v>
      </c>
      <c r="F629"/>
      <c r="G629"/>
      <c r="H629"/>
      <c r="I629"/>
      <c r="J629"/>
      <c r="K629" s="66"/>
    </row>
    <row r="630" spans="2:11">
      <c r="B630" s="17" t="s">
        <v>3930</v>
      </c>
      <c r="C630"/>
      <c r="D630" s="18" t="s">
        <v>3930</v>
      </c>
      <c r="E630" s="18" t="s">
        <v>3930</v>
      </c>
      <c r="F630"/>
      <c r="G630"/>
      <c r="H630"/>
      <c r="I630"/>
      <c r="J630"/>
      <c r="K630" s="66"/>
    </row>
    <row r="631" spans="2:11">
      <c r="B631" s="17" t="s">
        <v>3930</v>
      </c>
      <c r="C631"/>
      <c r="D631" s="18" t="s">
        <v>3930</v>
      </c>
      <c r="E631" s="18" t="s">
        <v>3930</v>
      </c>
      <c r="F631"/>
      <c r="G631"/>
      <c r="H631"/>
      <c r="I631"/>
      <c r="J631"/>
      <c r="K631" s="66"/>
    </row>
    <row r="632" spans="2:11">
      <c r="B632" s="17" t="s">
        <v>3930</v>
      </c>
      <c r="C632"/>
      <c r="D632" s="18" t="s">
        <v>3930</v>
      </c>
      <c r="E632" s="18" t="s">
        <v>3930</v>
      </c>
      <c r="F632"/>
      <c r="G632"/>
      <c r="H632"/>
      <c r="I632"/>
      <c r="J632"/>
      <c r="K632" s="66"/>
    </row>
    <row r="633" spans="2:11">
      <c r="B633" s="17" t="s">
        <v>3930</v>
      </c>
      <c r="C633"/>
      <c r="D633" s="18" t="s">
        <v>3930</v>
      </c>
      <c r="E633" s="18" t="s">
        <v>3930</v>
      </c>
      <c r="F633"/>
      <c r="G633"/>
      <c r="H633"/>
      <c r="I633"/>
      <c r="J633"/>
      <c r="K633" s="66"/>
    </row>
    <row r="634" spans="2:11">
      <c r="B634" s="17" t="s">
        <v>3930</v>
      </c>
      <c r="C634"/>
      <c r="D634" s="18" t="s">
        <v>3930</v>
      </c>
      <c r="E634" s="18" t="s">
        <v>3930</v>
      </c>
      <c r="F634"/>
      <c r="G634"/>
      <c r="H634"/>
      <c r="I634"/>
      <c r="J634"/>
      <c r="K634" s="66"/>
    </row>
    <row r="635" spans="2:11">
      <c r="B635" s="17" t="s">
        <v>3930</v>
      </c>
      <c r="C635"/>
      <c r="D635" s="18" t="s">
        <v>3930</v>
      </c>
      <c r="E635" s="18" t="s">
        <v>3930</v>
      </c>
      <c r="F635"/>
      <c r="G635"/>
      <c r="H635"/>
      <c r="I635"/>
      <c r="J635"/>
      <c r="K635" s="66"/>
    </row>
    <row r="636" spans="2:11">
      <c r="B636" s="17" t="s">
        <v>3930</v>
      </c>
      <c r="C636"/>
      <c r="D636" s="18" t="s">
        <v>3930</v>
      </c>
      <c r="E636" s="18" t="s">
        <v>3930</v>
      </c>
      <c r="F636"/>
      <c r="G636"/>
      <c r="H636"/>
      <c r="I636"/>
      <c r="J636"/>
      <c r="K636" s="66"/>
    </row>
    <row r="637" spans="2:11">
      <c r="B637" s="17" t="s">
        <v>3930</v>
      </c>
      <c r="C637"/>
      <c r="D637" s="18" t="s">
        <v>3930</v>
      </c>
      <c r="E637" s="18" t="s">
        <v>3930</v>
      </c>
      <c r="F637"/>
      <c r="G637"/>
      <c r="H637"/>
      <c r="I637"/>
      <c r="J637"/>
      <c r="K637" s="66"/>
    </row>
    <row r="638" spans="2:11">
      <c r="B638" s="17" t="s">
        <v>3930</v>
      </c>
      <c r="C638"/>
      <c r="D638" s="18" t="s">
        <v>3930</v>
      </c>
      <c r="E638" s="18" t="s">
        <v>3930</v>
      </c>
      <c r="F638"/>
      <c r="G638"/>
      <c r="H638"/>
      <c r="I638"/>
      <c r="J638"/>
      <c r="K638" s="66"/>
    </row>
    <row r="639" spans="2:11">
      <c r="B639" s="17" t="s">
        <v>3930</v>
      </c>
      <c r="C639"/>
      <c r="D639" s="18" t="s">
        <v>3930</v>
      </c>
      <c r="E639" s="18" t="s">
        <v>3930</v>
      </c>
      <c r="F639"/>
      <c r="G639"/>
      <c r="H639"/>
      <c r="I639"/>
      <c r="J639"/>
      <c r="K639" s="66"/>
    </row>
    <row r="640" spans="2:11">
      <c r="B640" s="17" t="s">
        <v>3930</v>
      </c>
      <c r="C640"/>
      <c r="D640" s="18" t="s">
        <v>3930</v>
      </c>
      <c r="E640" s="18" t="s">
        <v>3930</v>
      </c>
      <c r="F640"/>
      <c r="G640"/>
      <c r="H640"/>
      <c r="I640"/>
      <c r="J640"/>
      <c r="K640" s="66"/>
    </row>
    <row r="641" spans="2:11">
      <c r="B641" s="17" t="s">
        <v>3930</v>
      </c>
      <c r="C641"/>
      <c r="D641" s="18" t="s">
        <v>3930</v>
      </c>
      <c r="E641" s="18" t="s">
        <v>3930</v>
      </c>
      <c r="F641"/>
      <c r="G641"/>
      <c r="H641"/>
      <c r="I641"/>
      <c r="J641"/>
      <c r="K641" s="66"/>
    </row>
    <row r="642" spans="2:11">
      <c r="B642" s="17" t="s">
        <v>3930</v>
      </c>
      <c r="C642"/>
      <c r="D642" s="18" t="s">
        <v>3930</v>
      </c>
      <c r="E642" s="18" t="s">
        <v>3930</v>
      </c>
      <c r="F642"/>
      <c r="G642"/>
      <c r="H642"/>
      <c r="I642"/>
      <c r="J642"/>
      <c r="K642" s="66"/>
    </row>
    <row r="643" spans="2:11">
      <c r="B643" s="17" t="s">
        <v>3930</v>
      </c>
      <c r="C643"/>
      <c r="D643" s="18" t="s">
        <v>3930</v>
      </c>
      <c r="E643" s="18" t="s">
        <v>3930</v>
      </c>
      <c r="F643"/>
      <c r="G643"/>
      <c r="H643"/>
      <c r="I643"/>
      <c r="J643"/>
      <c r="K643" s="66"/>
    </row>
    <row r="644" spans="2:11">
      <c r="B644" s="17" t="s">
        <v>3930</v>
      </c>
      <c r="C644"/>
      <c r="D644" s="18" t="s">
        <v>3930</v>
      </c>
      <c r="E644" s="18" t="s">
        <v>3930</v>
      </c>
      <c r="F644"/>
      <c r="G644"/>
      <c r="H644"/>
      <c r="I644"/>
      <c r="J644"/>
      <c r="K644" s="66"/>
    </row>
    <row r="645" spans="2:11">
      <c r="B645" s="17" t="s">
        <v>3930</v>
      </c>
      <c r="C645"/>
      <c r="D645" s="18" t="s">
        <v>3930</v>
      </c>
      <c r="E645" s="18" t="s">
        <v>3930</v>
      </c>
      <c r="F645"/>
      <c r="G645"/>
      <c r="H645"/>
      <c r="I645"/>
      <c r="J645"/>
      <c r="K645" s="66"/>
    </row>
    <row r="646" spans="2:11">
      <c r="B646" s="17" t="s">
        <v>3930</v>
      </c>
      <c r="C646"/>
      <c r="D646" s="18" t="s">
        <v>3930</v>
      </c>
      <c r="E646" s="18" t="s">
        <v>3930</v>
      </c>
      <c r="F646"/>
      <c r="G646"/>
      <c r="H646"/>
      <c r="I646"/>
      <c r="J646"/>
      <c r="K646" s="66"/>
    </row>
    <row r="647" spans="2:11">
      <c r="B647" s="17" t="s">
        <v>3930</v>
      </c>
      <c r="C647"/>
      <c r="D647" s="18" t="s">
        <v>3930</v>
      </c>
      <c r="E647" s="18" t="s">
        <v>3930</v>
      </c>
      <c r="F647"/>
      <c r="G647"/>
      <c r="H647"/>
      <c r="I647"/>
      <c r="J647"/>
      <c r="K647" s="66"/>
    </row>
    <row r="648" spans="2:11">
      <c r="B648" s="17" t="s">
        <v>3930</v>
      </c>
      <c r="C648"/>
      <c r="D648" s="18" t="s">
        <v>3930</v>
      </c>
      <c r="E648" s="18" t="s">
        <v>3930</v>
      </c>
      <c r="F648"/>
      <c r="G648"/>
      <c r="H648"/>
      <c r="I648"/>
      <c r="J648"/>
      <c r="K648" s="66"/>
    </row>
    <row r="649" spans="2:11">
      <c r="B649" s="17" t="s">
        <v>3930</v>
      </c>
      <c r="C649"/>
      <c r="D649" s="18" t="s">
        <v>3930</v>
      </c>
      <c r="E649" s="18" t="s">
        <v>3930</v>
      </c>
      <c r="F649"/>
      <c r="G649"/>
      <c r="H649"/>
      <c r="I649"/>
      <c r="J649"/>
      <c r="K649" s="66"/>
    </row>
    <row r="650" spans="2:11">
      <c r="B650" s="17" t="s">
        <v>3930</v>
      </c>
      <c r="C650"/>
      <c r="D650" s="18" t="s">
        <v>3930</v>
      </c>
      <c r="E650" s="18" t="s">
        <v>3930</v>
      </c>
      <c r="F650"/>
      <c r="G650"/>
      <c r="H650"/>
      <c r="I650"/>
      <c r="J650"/>
      <c r="K650" s="66"/>
    </row>
    <row r="651" spans="2:11">
      <c r="B651" s="17" t="s">
        <v>3930</v>
      </c>
      <c r="C651"/>
      <c r="D651" s="18" t="s">
        <v>3930</v>
      </c>
      <c r="E651" s="18" t="s">
        <v>3930</v>
      </c>
      <c r="F651"/>
      <c r="G651"/>
      <c r="H651"/>
      <c r="I651"/>
      <c r="J651"/>
      <c r="K651" s="66"/>
    </row>
    <row r="652" spans="2:11">
      <c r="B652" s="17" t="s">
        <v>3930</v>
      </c>
      <c r="C652"/>
      <c r="D652" s="18" t="s">
        <v>3930</v>
      </c>
      <c r="E652" s="18" t="s">
        <v>3930</v>
      </c>
      <c r="F652"/>
      <c r="G652"/>
      <c r="H652"/>
      <c r="I652"/>
      <c r="J652"/>
      <c r="K652" s="66"/>
    </row>
    <row r="653" spans="2:11">
      <c r="B653" s="17" t="s">
        <v>3930</v>
      </c>
      <c r="C653"/>
      <c r="D653" s="18" t="s">
        <v>3930</v>
      </c>
      <c r="E653" s="18" t="s">
        <v>3930</v>
      </c>
      <c r="F653"/>
      <c r="G653"/>
      <c r="H653"/>
      <c r="I653"/>
      <c r="J653"/>
      <c r="K653" s="66"/>
    </row>
    <row r="654" spans="2:11">
      <c r="B654" s="17" t="s">
        <v>3930</v>
      </c>
      <c r="C654"/>
      <c r="D654" s="18" t="s">
        <v>3930</v>
      </c>
      <c r="E654" s="18" t="s">
        <v>3930</v>
      </c>
      <c r="F654"/>
      <c r="G654"/>
      <c r="H654"/>
      <c r="I654"/>
      <c r="J654"/>
      <c r="K654" s="66"/>
    </row>
    <row r="655" spans="2:11">
      <c r="B655" s="17" t="s">
        <v>3930</v>
      </c>
      <c r="C655"/>
      <c r="D655" s="18" t="s">
        <v>3930</v>
      </c>
      <c r="E655" s="18" t="s">
        <v>3930</v>
      </c>
      <c r="F655"/>
      <c r="G655"/>
      <c r="H655"/>
      <c r="I655"/>
      <c r="J655"/>
      <c r="K655" s="66"/>
    </row>
    <row r="656" spans="2:11">
      <c r="B656" s="17" t="s">
        <v>3930</v>
      </c>
      <c r="C656"/>
      <c r="D656" s="18" t="s">
        <v>3930</v>
      </c>
      <c r="E656" s="18" t="s">
        <v>3930</v>
      </c>
      <c r="F656"/>
      <c r="G656"/>
      <c r="H656"/>
      <c r="I656"/>
      <c r="J656"/>
      <c r="K656" s="66"/>
    </row>
    <row r="657" spans="2:11">
      <c r="B657" s="17" t="s">
        <v>3930</v>
      </c>
      <c r="C657"/>
      <c r="D657" s="18" t="s">
        <v>3930</v>
      </c>
      <c r="E657" s="18" t="s">
        <v>3930</v>
      </c>
      <c r="F657"/>
      <c r="G657"/>
      <c r="H657"/>
      <c r="I657"/>
      <c r="J657"/>
      <c r="K657" s="66"/>
    </row>
    <row r="658" spans="2:11">
      <c r="B658" s="17" t="s">
        <v>3930</v>
      </c>
      <c r="C658"/>
      <c r="D658" s="18" t="s">
        <v>3930</v>
      </c>
      <c r="E658" s="18" t="s">
        <v>3930</v>
      </c>
      <c r="F658"/>
      <c r="G658"/>
      <c r="H658"/>
      <c r="I658"/>
      <c r="J658"/>
      <c r="K658" s="66"/>
    </row>
    <row r="659" spans="2:11">
      <c r="B659" s="17" t="s">
        <v>3930</v>
      </c>
      <c r="C659"/>
      <c r="D659" s="18" t="s">
        <v>3930</v>
      </c>
      <c r="E659" s="18" t="s">
        <v>3930</v>
      </c>
      <c r="F659"/>
      <c r="G659"/>
      <c r="H659"/>
      <c r="I659"/>
      <c r="J659"/>
      <c r="K659" s="66"/>
    </row>
    <row r="660" spans="2:11">
      <c r="B660" s="17" t="s">
        <v>3930</v>
      </c>
      <c r="C660"/>
      <c r="D660" s="18" t="s">
        <v>3930</v>
      </c>
      <c r="E660" s="18" t="s">
        <v>3930</v>
      </c>
      <c r="F660"/>
      <c r="G660"/>
      <c r="H660"/>
      <c r="I660"/>
      <c r="J660"/>
      <c r="K660" s="66"/>
    </row>
    <row r="661" spans="2:11">
      <c r="B661" s="17" t="s">
        <v>3930</v>
      </c>
      <c r="C661"/>
      <c r="D661" s="18" t="s">
        <v>3930</v>
      </c>
      <c r="E661" s="18" t="s">
        <v>3930</v>
      </c>
      <c r="F661"/>
      <c r="G661"/>
      <c r="H661"/>
      <c r="I661"/>
      <c r="J661"/>
      <c r="K661" s="66"/>
    </row>
    <row r="662" spans="2:11">
      <c r="B662" s="17" t="s">
        <v>3930</v>
      </c>
      <c r="C662"/>
      <c r="D662" s="18" t="s">
        <v>3930</v>
      </c>
      <c r="E662" s="18" t="s">
        <v>3930</v>
      </c>
      <c r="F662"/>
      <c r="G662"/>
      <c r="H662"/>
      <c r="I662"/>
      <c r="J662"/>
      <c r="K662" s="66"/>
    </row>
    <row r="663" spans="2:11">
      <c r="B663" s="17" t="s">
        <v>3930</v>
      </c>
      <c r="C663"/>
      <c r="D663" s="18" t="s">
        <v>3930</v>
      </c>
      <c r="E663" s="18" t="s">
        <v>3930</v>
      </c>
      <c r="F663"/>
      <c r="G663"/>
      <c r="H663"/>
      <c r="I663"/>
      <c r="J663"/>
      <c r="K663" s="66"/>
    </row>
    <row r="664" spans="2:11">
      <c r="B664" s="17" t="s">
        <v>3930</v>
      </c>
      <c r="C664"/>
      <c r="D664" s="18" t="s">
        <v>3930</v>
      </c>
      <c r="E664" s="18" t="s">
        <v>3930</v>
      </c>
      <c r="F664"/>
      <c r="G664"/>
      <c r="H664"/>
      <c r="I664"/>
      <c r="J664"/>
      <c r="K664" s="66"/>
    </row>
    <row r="665" spans="2:11">
      <c r="B665" s="17" t="s">
        <v>3930</v>
      </c>
      <c r="C665"/>
      <c r="D665" s="18" t="s">
        <v>3930</v>
      </c>
      <c r="E665" s="18" t="s">
        <v>3930</v>
      </c>
      <c r="F665"/>
      <c r="G665"/>
      <c r="H665"/>
      <c r="I665"/>
      <c r="J665"/>
      <c r="K665" s="66"/>
    </row>
    <row r="666" spans="2:11">
      <c r="B666" s="17" t="s">
        <v>3930</v>
      </c>
      <c r="C666"/>
      <c r="D666" s="18" t="s">
        <v>3930</v>
      </c>
      <c r="E666" s="18" t="s">
        <v>3930</v>
      </c>
      <c r="F666"/>
      <c r="G666"/>
      <c r="H666"/>
      <c r="I666"/>
      <c r="J666"/>
      <c r="K666" s="66"/>
    </row>
    <row r="667" spans="2:11">
      <c r="B667" s="17" t="s">
        <v>3930</v>
      </c>
      <c r="C667"/>
      <c r="D667" s="18" t="s">
        <v>3930</v>
      </c>
      <c r="E667" s="18" t="s">
        <v>3930</v>
      </c>
      <c r="F667"/>
      <c r="G667"/>
      <c r="H667"/>
      <c r="I667"/>
      <c r="J667"/>
      <c r="K667" s="66"/>
    </row>
    <row r="668" spans="2:11">
      <c r="B668" s="17" t="s">
        <v>3930</v>
      </c>
      <c r="C668"/>
      <c r="D668" s="18" t="s">
        <v>3930</v>
      </c>
      <c r="E668" s="18" t="s">
        <v>3930</v>
      </c>
      <c r="F668"/>
      <c r="G668"/>
      <c r="H668"/>
      <c r="I668"/>
      <c r="J668"/>
      <c r="K668" s="66"/>
    </row>
    <row r="669" spans="2:11">
      <c r="B669" s="17" t="s">
        <v>3930</v>
      </c>
      <c r="C669"/>
      <c r="D669" s="18" t="s">
        <v>3930</v>
      </c>
      <c r="E669" s="18" t="s">
        <v>3930</v>
      </c>
      <c r="F669"/>
      <c r="G669"/>
      <c r="H669"/>
      <c r="I669"/>
      <c r="J669"/>
      <c r="K669" s="66"/>
    </row>
    <row r="670" spans="2:11">
      <c r="B670" s="17" t="s">
        <v>3930</v>
      </c>
      <c r="C670"/>
      <c r="D670" s="18" t="s">
        <v>3930</v>
      </c>
      <c r="E670" s="18" t="s">
        <v>3930</v>
      </c>
      <c r="F670"/>
      <c r="G670"/>
      <c r="H670"/>
      <c r="I670"/>
      <c r="J670"/>
      <c r="K670" s="66"/>
    </row>
    <row r="671" spans="2:11">
      <c r="B671" s="17" t="s">
        <v>3930</v>
      </c>
      <c r="C671"/>
      <c r="D671" s="18" t="s">
        <v>3930</v>
      </c>
      <c r="E671" s="18" t="s">
        <v>3930</v>
      </c>
      <c r="F671"/>
      <c r="G671"/>
      <c r="H671"/>
      <c r="I671"/>
      <c r="J671"/>
      <c r="K671" s="66"/>
    </row>
    <row r="672" spans="2:11">
      <c r="B672" s="17" t="s">
        <v>3930</v>
      </c>
      <c r="C672"/>
      <c r="D672" s="18" t="s">
        <v>3930</v>
      </c>
      <c r="E672" s="18" t="s">
        <v>3930</v>
      </c>
      <c r="F672"/>
      <c r="G672"/>
      <c r="H672"/>
      <c r="I672"/>
      <c r="J672"/>
      <c r="K672" s="66"/>
    </row>
    <row r="673" spans="2:11">
      <c r="B673" s="17" t="s">
        <v>3930</v>
      </c>
      <c r="C673"/>
      <c r="D673" s="18" t="s">
        <v>3930</v>
      </c>
      <c r="E673" s="18" t="s">
        <v>3930</v>
      </c>
      <c r="F673"/>
      <c r="G673"/>
      <c r="H673"/>
      <c r="I673"/>
      <c r="J673"/>
      <c r="K673" s="66"/>
    </row>
    <row r="674" spans="2:11">
      <c r="B674" s="17" t="s">
        <v>3930</v>
      </c>
      <c r="C674"/>
      <c r="D674" s="18" t="s">
        <v>3930</v>
      </c>
      <c r="E674" s="18" t="s">
        <v>3930</v>
      </c>
      <c r="F674"/>
      <c r="G674"/>
      <c r="H674"/>
      <c r="I674"/>
      <c r="J674"/>
      <c r="K674" s="66"/>
    </row>
    <row r="675" spans="2:11">
      <c r="B675" s="17" t="s">
        <v>3930</v>
      </c>
      <c r="C675"/>
      <c r="D675" s="18" t="s">
        <v>3930</v>
      </c>
      <c r="E675" s="18" t="s">
        <v>3930</v>
      </c>
      <c r="F675"/>
      <c r="G675"/>
      <c r="H675"/>
      <c r="I675"/>
      <c r="J675"/>
      <c r="K675" s="66"/>
    </row>
    <row r="676" spans="2:11">
      <c r="B676" s="17" t="s">
        <v>3930</v>
      </c>
      <c r="C676"/>
      <c r="D676" s="18" t="s">
        <v>3930</v>
      </c>
      <c r="E676" s="18" t="s">
        <v>3930</v>
      </c>
      <c r="F676"/>
      <c r="G676"/>
      <c r="H676"/>
      <c r="I676"/>
      <c r="J676"/>
      <c r="K676" s="66"/>
    </row>
    <row r="677" spans="2:11">
      <c r="B677" s="17" t="s">
        <v>3930</v>
      </c>
      <c r="C677"/>
      <c r="D677" s="18" t="s">
        <v>3930</v>
      </c>
      <c r="E677" s="18" t="s">
        <v>3930</v>
      </c>
      <c r="F677"/>
      <c r="G677"/>
      <c r="H677"/>
      <c r="I677"/>
      <c r="J677"/>
      <c r="K677" s="66"/>
    </row>
    <row r="678" spans="2:11">
      <c r="B678" s="17" t="s">
        <v>3930</v>
      </c>
      <c r="C678"/>
      <c r="D678" s="18" t="s">
        <v>3930</v>
      </c>
      <c r="E678" s="18" t="s">
        <v>3930</v>
      </c>
      <c r="F678"/>
      <c r="G678"/>
      <c r="H678"/>
      <c r="I678"/>
      <c r="J678"/>
      <c r="K678" s="66"/>
    </row>
    <row r="679" spans="2:11">
      <c r="B679" s="17" t="s">
        <v>3930</v>
      </c>
      <c r="C679"/>
      <c r="D679" s="18" t="s">
        <v>3930</v>
      </c>
      <c r="E679" s="18" t="s">
        <v>3930</v>
      </c>
      <c r="F679"/>
      <c r="G679"/>
      <c r="H679"/>
      <c r="I679"/>
      <c r="J679"/>
      <c r="K679" s="66"/>
    </row>
    <row r="680" spans="2:11">
      <c r="B680" s="17" t="s">
        <v>3930</v>
      </c>
      <c r="C680"/>
      <c r="D680" s="18" t="s">
        <v>3930</v>
      </c>
      <c r="E680" s="18" t="s">
        <v>3930</v>
      </c>
      <c r="F680"/>
      <c r="G680"/>
      <c r="H680"/>
      <c r="I680"/>
      <c r="J680"/>
      <c r="K680" s="66"/>
    </row>
    <row r="681" spans="2:11">
      <c r="B681" s="17" t="s">
        <v>3930</v>
      </c>
      <c r="C681"/>
      <c r="D681" s="18" t="s">
        <v>3930</v>
      </c>
      <c r="E681" s="18" t="s">
        <v>3930</v>
      </c>
      <c r="F681"/>
      <c r="G681"/>
      <c r="H681"/>
      <c r="I681"/>
      <c r="J681"/>
      <c r="K681" s="66"/>
    </row>
    <row r="682" spans="2:11">
      <c r="B682" s="17" t="s">
        <v>3930</v>
      </c>
      <c r="C682"/>
      <c r="D682" s="18" t="s">
        <v>3930</v>
      </c>
      <c r="E682" s="18" t="s">
        <v>3930</v>
      </c>
      <c r="F682"/>
      <c r="G682"/>
      <c r="H682"/>
      <c r="I682"/>
      <c r="J682"/>
      <c r="K682" s="66"/>
    </row>
    <row r="683" spans="2:11">
      <c r="B683" s="17" t="s">
        <v>3930</v>
      </c>
      <c r="C683"/>
      <c r="D683" s="18" t="s">
        <v>3930</v>
      </c>
      <c r="E683" s="18" t="s">
        <v>3930</v>
      </c>
      <c r="F683"/>
      <c r="G683"/>
      <c r="H683"/>
      <c r="I683"/>
      <c r="J683"/>
      <c r="K683" s="66"/>
    </row>
    <row r="684" spans="2:11">
      <c r="B684" s="17" t="s">
        <v>3930</v>
      </c>
      <c r="C684"/>
      <c r="D684" s="18" t="s">
        <v>3930</v>
      </c>
      <c r="E684" s="18" t="s">
        <v>3930</v>
      </c>
      <c r="F684"/>
      <c r="G684"/>
      <c r="H684"/>
      <c r="I684"/>
      <c r="J684"/>
      <c r="K684" s="66"/>
    </row>
    <row r="685" spans="2:11">
      <c r="B685" s="17" t="s">
        <v>3930</v>
      </c>
      <c r="C685"/>
      <c r="D685" s="18" t="s">
        <v>3930</v>
      </c>
      <c r="E685" s="18" t="s">
        <v>3930</v>
      </c>
      <c r="F685"/>
      <c r="G685"/>
      <c r="H685"/>
      <c r="I685"/>
      <c r="J685"/>
      <c r="K685" s="66"/>
    </row>
    <row r="686" spans="2:11">
      <c r="B686" s="17" t="s">
        <v>3930</v>
      </c>
      <c r="C686"/>
      <c r="D686" s="18" t="s">
        <v>3930</v>
      </c>
      <c r="E686" s="18" t="s">
        <v>3930</v>
      </c>
      <c r="F686"/>
      <c r="G686"/>
      <c r="H686"/>
      <c r="I686"/>
      <c r="J686"/>
      <c r="K686" s="66"/>
    </row>
    <row r="687" spans="2:11">
      <c r="B687" s="17" t="s">
        <v>3930</v>
      </c>
      <c r="C687"/>
      <c r="D687" s="18" t="s">
        <v>3930</v>
      </c>
      <c r="E687" s="18" t="s">
        <v>3930</v>
      </c>
      <c r="F687"/>
      <c r="G687"/>
      <c r="H687"/>
      <c r="I687"/>
      <c r="J687"/>
      <c r="K687" s="66"/>
    </row>
    <row r="688" spans="2:11">
      <c r="B688" s="17" t="s">
        <v>3930</v>
      </c>
      <c r="C688"/>
      <c r="D688" s="18" t="s">
        <v>3930</v>
      </c>
      <c r="E688" s="18" t="s">
        <v>3930</v>
      </c>
      <c r="F688"/>
      <c r="G688"/>
      <c r="H688"/>
      <c r="I688"/>
      <c r="J688"/>
      <c r="K688" s="66"/>
    </row>
    <row r="689" spans="2:11">
      <c r="B689" s="17" t="s">
        <v>3930</v>
      </c>
      <c r="C689"/>
      <c r="D689" s="18" t="s">
        <v>3930</v>
      </c>
      <c r="E689" s="18" t="s">
        <v>3930</v>
      </c>
      <c r="F689"/>
      <c r="G689"/>
      <c r="H689"/>
      <c r="I689"/>
      <c r="J689"/>
      <c r="K689" s="66"/>
    </row>
    <row r="690" spans="2:11">
      <c r="B690" s="17" t="s">
        <v>3930</v>
      </c>
      <c r="C690"/>
      <c r="D690" s="18" t="s">
        <v>3930</v>
      </c>
      <c r="E690" s="18" t="s">
        <v>3930</v>
      </c>
      <c r="F690"/>
      <c r="G690"/>
      <c r="H690"/>
      <c r="I690"/>
      <c r="J690"/>
      <c r="K690" s="66"/>
    </row>
    <row r="691" spans="2:11">
      <c r="B691" s="17" t="s">
        <v>3930</v>
      </c>
      <c r="C691"/>
      <c r="D691" s="18" t="s">
        <v>3930</v>
      </c>
      <c r="E691" s="18" t="s">
        <v>3930</v>
      </c>
      <c r="F691"/>
      <c r="G691"/>
      <c r="H691"/>
      <c r="I691"/>
      <c r="J691"/>
      <c r="K691" s="66"/>
    </row>
    <row r="692" spans="2:11">
      <c r="B692" s="17" t="s">
        <v>3930</v>
      </c>
      <c r="C692"/>
      <c r="D692" s="18" t="s">
        <v>3930</v>
      </c>
      <c r="E692" s="18" t="s">
        <v>3930</v>
      </c>
      <c r="F692"/>
      <c r="G692"/>
      <c r="H692"/>
      <c r="I692"/>
      <c r="J692"/>
      <c r="K692" s="66"/>
    </row>
    <row r="693" spans="2:11">
      <c r="B693" s="17" t="s">
        <v>3930</v>
      </c>
      <c r="C693"/>
      <c r="D693" s="18" t="s">
        <v>3930</v>
      </c>
      <c r="E693" s="18" t="s">
        <v>3930</v>
      </c>
      <c r="F693"/>
      <c r="G693"/>
      <c r="H693"/>
      <c r="I693"/>
      <c r="J693"/>
      <c r="K693" s="66"/>
    </row>
    <row r="694" spans="2:11">
      <c r="B694" s="17" t="s">
        <v>3930</v>
      </c>
      <c r="C694"/>
      <c r="D694" s="18" t="s">
        <v>3930</v>
      </c>
      <c r="E694" s="18" t="s">
        <v>3930</v>
      </c>
      <c r="F694"/>
      <c r="G694"/>
      <c r="H694"/>
      <c r="I694"/>
      <c r="J694"/>
      <c r="K694" s="66"/>
    </row>
    <row r="695" spans="2:11">
      <c r="B695" s="17" t="s">
        <v>3930</v>
      </c>
      <c r="C695"/>
      <c r="D695" s="18" t="s">
        <v>3930</v>
      </c>
      <c r="E695" s="18" t="s">
        <v>3930</v>
      </c>
      <c r="F695"/>
      <c r="G695"/>
      <c r="H695"/>
      <c r="I695"/>
      <c r="J695"/>
      <c r="K695" s="66"/>
    </row>
    <row r="696" spans="2:11">
      <c r="B696" s="17" t="s">
        <v>3930</v>
      </c>
      <c r="C696"/>
      <c r="D696" s="18" t="s">
        <v>3930</v>
      </c>
      <c r="E696" s="18" t="s">
        <v>3930</v>
      </c>
      <c r="F696"/>
      <c r="G696"/>
      <c r="H696"/>
      <c r="I696"/>
      <c r="J696"/>
      <c r="K696" s="66"/>
    </row>
    <row r="697" spans="2:11">
      <c r="B697" s="17" t="s">
        <v>3930</v>
      </c>
      <c r="C697"/>
      <c r="D697" s="18" t="s">
        <v>3930</v>
      </c>
      <c r="E697" s="18" t="s">
        <v>3930</v>
      </c>
      <c r="F697"/>
      <c r="G697"/>
      <c r="H697"/>
      <c r="I697"/>
      <c r="J697"/>
      <c r="K697" s="66"/>
    </row>
    <row r="698" spans="2:11">
      <c r="B698" s="17" t="s">
        <v>3930</v>
      </c>
      <c r="C698"/>
      <c r="D698" s="18" t="s">
        <v>3930</v>
      </c>
      <c r="E698" s="18" t="s">
        <v>3930</v>
      </c>
      <c r="F698"/>
      <c r="G698"/>
      <c r="H698"/>
      <c r="I698"/>
      <c r="J698"/>
      <c r="K698" s="66"/>
    </row>
    <row r="699" spans="2:11">
      <c r="B699" s="17" t="s">
        <v>3930</v>
      </c>
      <c r="C699"/>
      <c r="D699" s="18" t="s">
        <v>3930</v>
      </c>
      <c r="E699" s="18" t="s">
        <v>3930</v>
      </c>
      <c r="F699"/>
      <c r="G699"/>
      <c r="H699"/>
      <c r="I699"/>
      <c r="J699"/>
      <c r="K699" s="66"/>
    </row>
    <row r="700" spans="2:11">
      <c r="B700" s="17" t="s">
        <v>3930</v>
      </c>
      <c r="C700"/>
      <c r="D700" s="18" t="s">
        <v>3930</v>
      </c>
      <c r="E700" s="18" t="s">
        <v>3930</v>
      </c>
      <c r="F700"/>
      <c r="G700"/>
      <c r="H700"/>
      <c r="I700"/>
      <c r="J700"/>
      <c r="K700" s="66"/>
    </row>
    <row r="701" spans="2:11">
      <c r="B701" s="17" t="s">
        <v>3930</v>
      </c>
      <c r="C701"/>
      <c r="D701" s="18" t="s">
        <v>3930</v>
      </c>
      <c r="E701" s="18" t="s">
        <v>3930</v>
      </c>
      <c r="F701"/>
      <c r="G701"/>
      <c r="H701"/>
      <c r="I701"/>
      <c r="J701"/>
      <c r="K701" s="66"/>
    </row>
    <row r="702" spans="2:11">
      <c r="B702" s="17" t="s">
        <v>3930</v>
      </c>
      <c r="C702"/>
      <c r="D702" s="18" t="s">
        <v>3930</v>
      </c>
      <c r="E702" s="18" t="s">
        <v>3930</v>
      </c>
      <c r="F702"/>
      <c r="G702"/>
      <c r="H702"/>
      <c r="I702"/>
      <c r="J702"/>
      <c r="K702" s="66"/>
    </row>
    <row r="703" spans="2:11">
      <c r="B703" s="17" t="s">
        <v>3930</v>
      </c>
      <c r="C703"/>
      <c r="D703" s="18" t="s">
        <v>3930</v>
      </c>
      <c r="E703" s="18" t="s">
        <v>3930</v>
      </c>
      <c r="F703"/>
      <c r="G703"/>
      <c r="H703"/>
      <c r="I703"/>
      <c r="J703"/>
      <c r="K703" s="66"/>
    </row>
    <row r="704" spans="2:11">
      <c r="B704" s="17" t="s">
        <v>3930</v>
      </c>
      <c r="C704"/>
      <c r="D704" s="18" t="s">
        <v>3930</v>
      </c>
      <c r="E704" s="18" t="s">
        <v>3930</v>
      </c>
      <c r="F704"/>
      <c r="G704"/>
      <c r="H704"/>
      <c r="I704"/>
      <c r="J704"/>
      <c r="K704" s="66"/>
    </row>
    <row r="705" spans="2:11">
      <c r="B705" s="17" t="s">
        <v>3930</v>
      </c>
      <c r="C705"/>
      <c r="D705" s="18" t="s">
        <v>3930</v>
      </c>
      <c r="E705" s="18" t="s">
        <v>3930</v>
      </c>
      <c r="F705"/>
      <c r="G705"/>
      <c r="H705"/>
      <c r="I705"/>
      <c r="J705"/>
      <c r="K705" s="66"/>
    </row>
    <row r="706" spans="2:11">
      <c r="B706" s="17" t="s">
        <v>3930</v>
      </c>
      <c r="C706"/>
      <c r="D706" s="18" t="s">
        <v>3930</v>
      </c>
      <c r="E706" s="18" t="s">
        <v>3930</v>
      </c>
      <c r="F706"/>
      <c r="G706"/>
      <c r="H706"/>
      <c r="I706"/>
      <c r="J706"/>
      <c r="K706" s="66"/>
    </row>
    <row r="707" spans="2:11">
      <c r="B707" s="17" t="s">
        <v>3930</v>
      </c>
      <c r="C707"/>
      <c r="D707" s="18" t="s">
        <v>3930</v>
      </c>
      <c r="E707" s="18" t="s">
        <v>3930</v>
      </c>
      <c r="F707"/>
      <c r="G707"/>
      <c r="H707"/>
      <c r="I707"/>
      <c r="J707"/>
      <c r="K707" s="66"/>
    </row>
    <row r="708" spans="2:11">
      <c r="B708" s="17" t="s">
        <v>3930</v>
      </c>
      <c r="C708"/>
      <c r="D708" s="18" t="s">
        <v>3930</v>
      </c>
      <c r="E708" s="18" t="s">
        <v>3930</v>
      </c>
      <c r="F708"/>
      <c r="G708"/>
      <c r="H708"/>
      <c r="I708"/>
      <c r="J708"/>
      <c r="K708" s="66"/>
    </row>
    <row r="709" spans="2:11">
      <c r="B709" s="17" t="s">
        <v>3930</v>
      </c>
      <c r="C709"/>
      <c r="D709" s="18" t="s">
        <v>3930</v>
      </c>
      <c r="E709" s="18" t="s">
        <v>3930</v>
      </c>
      <c r="F709"/>
      <c r="G709"/>
      <c r="H709"/>
      <c r="I709"/>
      <c r="J709"/>
      <c r="K709" s="66"/>
    </row>
    <row r="710" spans="2:11">
      <c r="B710" s="17" t="s">
        <v>3930</v>
      </c>
      <c r="C710"/>
      <c r="D710" s="18" t="s">
        <v>3930</v>
      </c>
      <c r="E710" s="18" t="s">
        <v>3930</v>
      </c>
      <c r="F710"/>
      <c r="G710"/>
      <c r="H710"/>
      <c r="I710"/>
      <c r="J710"/>
      <c r="K710" s="66"/>
    </row>
    <row r="711" spans="2:11">
      <c r="B711" s="17" t="s">
        <v>3930</v>
      </c>
      <c r="C711"/>
      <c r="D711" s="18" t="s">
        <v>3930</v>
      </c>
      <c r="E711" s="18" t="s">
        <v>3930</v>
      </c>
      <c r="F711"/>
      <c r="G711"/>
      <c r="H711"/>
      <c r="I711"/>
      <c r="J711"/>
      <c r="K711" s="66"/>
    </row>
    <row r="712" spans="2:11">
      <c r="B712" s="17" t="s">
        <v>3930</v>
      </c>
      <c r="C712"/>
      <c r="D712" s="18" t="s">
        <v>3930</v>
      </c>
      <c r="E712" s="18" t="s">
        <v>3930</v>
      </c>
      <c r="F712"/>
      <c r="G712"/>
      <c r="H712"/>
      <c r="I712"/>
      <c r="J712"/>
      <c r="K712" s="66"/>
    </row>
    <row r="713" spans="2:11">
      <c r="B713" s="17" t="s">
        <v>3930</v>
      </c>
      <c r="C713"/>
      <c r="D713" s="18" t="s">
        <v>3930</v>
      </c>
      <c r="E713" s="18" t="s">
        <v>3930</v>
      </c>
      <c r="F713"/>
      <c r="G713"/>
      <c r="H713"/>
      <c r="I713"/>
      <c r="J713"/>
      <c r="K713" s="66"/>
    </row>
    <row r="714" spans="2:11">
      <c r="B714" s="17" t="s">
        <v>3930</v>
      </c>
      <c r="C714"/>
      <c r="D714" s="18" t="s">
        <v>3930</v>
      </c>
      <c r="E714" s="18" t="s">
        <v>3930</v>
      </c>
      <c r="F714"/>
      <c r="G714"/>
      <c r="H714"/>
      <c r="I714"/>
      <c r="J714"/>
      <c r="K714" s="66"/>
    </row>
    <row r="715" spans="2:11">
      <c r="B715" s="17" t="s">
        <v>3930</v>
      </c>
      <c r="C715"/>
      <c r="D715" s="18" t="s">
        <v>3930</v>
      </c>
      <c r="E715" s="18" t="s">
        <v>3930</v>
      </c>
      <c r="F715"/>
      <c r="G715"/>
      <c r="H715"/>
      <c r="I715"/>
      <c r="J715"/>
      <c r="K715" s="66"/>
    </row>
    <row r="716" spans="2:11">
      <c r="B716" s="17" t="s">
        <v>3930</v>
      </c>
      <c r="C716"/>
      <c r="D716" s="18" t="s">
        <v>3930</v>
      </c>
      <c r="E716" s="18" t="s">
        <v>3930</v>
      </c>
      <c r="F716"/>
      <c r="G716"/>
      <c r="H716"/>
      <c r="I716"/>
      <c r="J716"/>
      <c r="K716" s="66"/>
    </row>
    <row r="717" spans="2:11">
      <c r="B717" s="17" t="s">
        <v>3930</v>
      </c>
      <c r="C717"/>
      <c r="D717" s="18" t="s">
        <v>3930</v>
      </c>
      <c r="E717" s="18" t="s">
        <v>3930</v>
      </c>
      <c r="F717"/>
      <c r="G717"/>
      <c r="H717"/>
      <c r="I717"/>
      <c r="J717"/>
      <c r="K717" s="66"/>
    </row>
    <row r="718" spans="2:11">
      <c r="B718" s="17" t="s">
        <v>3930</v>
      </c>
      <c r="C718"/>
      <c r="D718" s="18" t="s">
        <v>3930</v>
      </c>
      <c r="E718" s="18" t="s">
        <v>3930</v>
      </c>
      <c r="F718"/>
      <c r="G718"/>
      <c r="H718"/>
      <c r="I718"/>
      <c r="J718"/>
      <c r="K718" s="66"/>
    </row>
    <row r="719" spans="2:11">
      <c r="B719" s="17" t="s">
        <v>3930</v>
      </c>
      <c r="C719"/>
      <c r="D719" s="18" t="s">
        <v>3930</v>
      </c>
      <c r="E719" s="18" t="s">
        <v>3930</v>
      </c>
      <c r="F719"/>
      <c r="G719"/>
      <c r="H719"/>
      <c r="I719"/>
      <c r="J719"/>
      <c r="K719" s="66"/>
    </row>
    <row r="720" spans="2:11">
      <c r="B720" s="17" t="s">
        <v>3930</v>
      </c>
      <c r="C720"/>
      <c r="D720" s="18" t="s">
        <v>3930</v>
      </c>
      <c r="E720" s="18" t="s">
        <v>3930</v>
      </c>
      <c r="F720"/>
      <c r="G720"/>
      <c r="H720"/>
      <c r="I720"/>
      <c r="J720"/>
      <c r="K720" s="66"/>
    </row>
    <row r="721" spans="2:11">
      <c r="B721" s="17" t="s">
        <v>3930</v>
      </c>
      <c r="C721"/>
      <c r="D721" s="18" t="s">
        <v>3930</v>
      </c>
      <c r="E721" s="18" t="s">
        <v>3930</v>
      </c>
      <c r="F721"/>
      <c r="G721"/>
      <c r="H721"/>
      <c r="I721"/>
      <c r="J721"/>
      <c r="K721" s="66"/>
    </row>
    <row r="722" spans="2:11">
      <c r="B722" s="17" t="s">
        <v>3930</v>
      </c>
      <c r="C722"/>
      <c r="D722" s="18" t="s">
        <v>3930</v>
      </c>
      <c r="E722" s="18" t="s">
        <v>3930</v>
      </c>
      <c r="F722"/>
      <c r="G722"/>
      <c r="H722"/>
      <c r="I722"/>
      <c r="J722"/>
      <c r="K722" s="66"/>
    </row>
    <row r="723" spans="2:11">
      <c r="B723" s="17" t="s">
        <v>3930</v>
      </c>
      <c r="C723"/>
      <c r="D723" s="18" t="s">
        <v>3930</v>
      </c>
      <c r="E723" s="18" t="s">
        <v>3930</v>
      </c>
      <c r="F723"/>
      <c r="G723"/>
      <c r="H723"/>
      <c r="I723"/>
      <c r="J723"/>
      <c r="K723" s="66"/>
    </row>
    <row r="724" spans="2:11">
      <c r="B724" s="17" t="s">
        <v>3930</v>
      </c>
      <c r="C724"/>
      <c r="D724" s="18" t="s">
        <v>3930</v>
      </c>
      <c r="E724" s="18" t="s">
        <v>3930</v>
      </c>
      <c r="F724"/>
      <c r="G724"/>
      <c r="H724"/>
      <c r="I724"/>
      <c r="J724"/>
      <c r="K724" s="66"/>
    </row>
    <row r="725" spans="2:11">
      <c r="B725" s="17" t="s">
        <v>3930</v>
      </c>
      <c r="C725"/>
      <c r="D725" s="18" t="s">
        <v>3930</v>
      </c>
      <c r="E725" s="18" t="s">
        <v>3930</v>
      </c>
      <c r="F725"/>
      <c r="G725"/>
      <c r="H725"/>
      <c r="I725"/>
      <c r="J725"/>
      <c r="K725" s="66"/>
    </row>
    <row r="726" spans="2:11">
      <c r="B726" s="17" t="s">
        <v>3930</v>
      </c>
      <c r="C726"/>
      <c r="D726" s="18" t="s">
        <v>3930</v>
      </c>
      <c r="E726" s="18" t="s">
        <v>3930</v>
      </c>
      <c r="F726"/>
      <c r="G726"/>
      <c r="H726"/>
      <c r="I726"/>
      <c r="J726"/>
      <c r="K726" s="66"/>
    </row>
    <row r="727" spans="2:11">
      <c r="B727" s="17" t="s">
        <v>3930</v>
      </c>
      <c r="C727"/>
      <c r="D727" s="18" t="s">
        <v>3930</v>
      </c>
      <c r="E727" s="18" t="s">
        <v>3930</v>
      </c>
      <c r="F727"/>
      <c r="G727"/>
      <c r="H727"/>
      <c r="I727"/>
      <c r="J727"/>
      <c r="K727" s="66"/>
    </row>
    <row r="728" spans="2:11">
      <c r="B728" s="17" t="s">
        <v>3930</v>
      </c>
      <c r="C728"/>
      <c r="D728" s="18" t="s">
        <v>3930</v>
      </c>
      <c r="E728" s="18" t="s">
        <v>3930</v>
      </c>
      <c r="F728"/>
      <c r="G728"/>
      <c r="H728"/>
      <c r="I728"/>
      <c r="J728"/>
      <c r="K728" s="66"/>
    </row>
    <row r="729" spans="2:11">
      <c r="B729" s="17" t="s">
        <v>3930</v>
      </c>
      <c r="C729"/>
      <c r="D729" s="18" t="s">
        <v>3930</v>
      </c>
      <c r="E729" s="18" t="s">
        <v>3930</v>
      </c>
      <c r="F729"/>
      <c r="G729"/>
      <c r="H729"/>
      <c r="I729"/>
      <c r="J729"/>
      <c r="K729" s="66"/>
    </row>
    <row r="730" spans="2:11">
      <c r="B730" s="17" t="s">
        <v>3930</v>
      </c>
      <c r="C730"/>
      <c r="D730" s="18" t="s">
        <v>3930</v>
      </c>
      <c r="E730" s="18" t="s">
        <v>3930</v>
      </c>
      <c r="F730"/>
      <c r="G730"/>
      <c r="H730"/>
      <c r="I730"/>
      <c r="J730"/>
      <c r="K730" s="66"/>
    </row>
    <row r="731" spans="2:11">
      <c r="B731" s="17" t="s">
        <v>3930</v>
      </c>
      <c r="C731"/>
      <c r="D731" s="18" t="s">
        <v>3930</v>
      </c>
      <c r="E731" s="18" t="s">
        <v>3930</v>
      </c>
      <c r="F731"/>
      <c r="G731"/>
      <c r="H731"/>
      <c r="I731"/>
      <c r="J731"/>
      <c r="K731" s="66"/>
    </row>
    <row r="732" spans="2:11">
      <c r="B732" s="17" t="s">
        <v>3930</v>
      </c>
      <c r="C732"/>
      <c r="D732" s="18" t="s">
        <v>3930</v>
      </c>
      <c r="E732" s="18" t="s">
        <v>3930</v>
      </c>
      <c r="F732"/>
      <c r="G732"/>
      <c r="H732"/>
      <c r="I732"/>
      <c r="J732"/>
      <c r="K732" s="66"/>
    </row>
    <row r="733" spans="2:11">
      <c r="B733" s="17" t="s">
        <v>3930</v>
      </c>
      <c r="C733"/>
      <c r="D733" s="18" t="s">
        <v>3930</v>
      </c>
      <c r="E733" s="18" t="s">
        <v>3930</v>
      </c>
      <c r="F733"/>
      <c r="G733"/>
      <c r="H733"/>
      <c r="I733"/>
      <c r="J733"/>
      <c r="K733" s="66"/>
    </row>
    <row r="734" spans="2:11">
      <c r="B734" s="17" t="s">
        <v>3930</v>
      </c>
      <c r="C734"/>
      <c r="D734" s="18" t="s">
        <v>3930</v>
      </c>
      <c r="E734" s="18" t="s">
        <v>3930</v>
      </c>
      <c r="F734"/>
      <c r="G734"/>
      <c r="H734"/>
      <c r="I734"/>
      <c r="J734"/>
      <c r="K734" s="66"/>
    </row>
    <row r="735" spans="2:11">
      <c r="B735" s="17" t="s">
        <v>3930</v>
      </c>
      <c r="C735"/>
      <c r="D735" s="18" t="s">
        <v>3930</v>
      </c>
      <c r="E735" s="18" t="s">
        <v>3930</v>
      </c>
      <c r="F735"/>
      <c r="G735"/>
      <c r="H735"/>
      <c r="I735"/>
      <c r="J735"/>
      <c r="K735" s="66"/>
    </row>
    <row r="736" spans="2:11">
      <c r="B736" s="17" t="s">
        <v>3930</v>
      </c>
      <c r="C736"/>
      <c r="D736" s="18" t="s">
        <v>3930</v>
      </c>
      <c r="E736" s="18" t="s">
        <v>3930</v>
      </c>
      <c r="F736"/>
      <c r="G736"/>
      <c r="H736"/>
      <c r="I736"/>
      <c r="J736"/>
      <c r="K736" s="66"/>
    </row>
    <row r="737" spans="2:11">
      <c r="B737" s="17" t="s">
        <v>3930</v>
      </c>
      <c r="C737"/>
      <c r="D737" s="18" t="s">
        <v>3930</v>
      </c>
      <c r="E737" s="18" t="s">
        <v>3930</v>
      </c>
      <c r="F737"/>
      <c r="G737"/>
      <c r="H737"/>
      <c r="I737"/>
      <c r="J737"/>
      <c r="K737" s="66"/>
    </row>
    <row r="738" spans="2:11">
      <c r="B738" s="17" t="s">
        <v>3930</v>
      </c>
      <c r="C738"/>
      <c r="D738"/>
      <c r="E738"/>
      <c r="F738"/>
      <c r="G738"/>
      <c r="H738"/>
      <c r="I738"/>
      <c r="J738"/>
      <c r="K738" s="66"/>
    </row>
    <row r="739" spans="2:11">
      <c r="B739" s="17" t="s">
        <v>3930</v>
      </c>
      <c r="C739"/>
      <c r="D739"/>
      <c r="E739"/>
      <c r="F739"/>
      <c r="G739"/>
      <c r="H739"/>
      <c r="I739"/>
      <c r="J739"/>
      <c r="K739" s="66"/>
    </row>
    <row r="740" spans="2:11">
      <c r="B740" s="17" t="s">
        <v>3930</v>
      </c>
      <c r="C740"/>
      <c r="D740"/>
      <c r="E740"/>
      <c r="F740"/>
      <c r="G740"/>
      <c r="H740"/>
      <c r="I740"/>
      <c r="J740"/>
      <c r="K740" s="66"/>
    </row>
    <row r="741" spans="2:11">
      <c r="B741" s="17" t="s">
        <v>3930</v>
      </c>
      <c r="C741"/>
      <c r="D741"/>
      <c r="E741"/>
      <c r="F741"/>
      <c r="G741"/>
      <c r="H741"/>
      <c r="I741"/>
      <c r="J741"/>
      <c r="K741" s="66"/>
    </row>
    <row r="742" spans="2:11">
      <c r="B742" s="17" t="s">
        <v>3930</v>
      </c>
      <c r="C742"/>
      <c r="D742"/>
      <c r="E742"/>
      <c r="F742"/>
      <c r="G742"/>
      <c r="H742"/>
      <c r="I742"/>
      <c r="J742"/>
      <c r="K742" s="66"/>
    </row>
    <row r="743" spans="2:11">
      <c r="B743" s="17" t="s">
        <v>3930</v>
      </c>
      <c r="C743"/>
      <c r="D743"/>
      <c r="E743"/>
      <c r="F743"/>
      <c r="G743"/>
      <c r="H743"/>
      <c r="I743"/>
      <c r="J743"/>
      <c r="K743" s="66"/>
    </row>
    <row r="744" spans="2:11">
      <c r="B744" s="17" t="s">
        <v>3930</v>
      </c>
      <c r="C744"/>
      <c r="D744"/>
      <c r="E744"/>
      <c r="F744"/>
      <c r="G744"/>
      <c r="H744"/>
      <c r="I744"/>
      <c r="J744"/>
      <c r="K744" s="66"/>
    </row>
    <row r="745" spans="2:11">
      <c r="B745" s="17" t="s">
        <v>3930</v>
      </c>
      <c r="C745"/>
      <c r="D745"/>
      <c r="E745"/>
      <c r="F745"/>
      <c r="G745"/>
      <c r="H745"/>
      <c r="I745"/>
      <c r="J745"/>
      <c r="K745" s="66"/>
    </row>
    <row r="746" spans="2:11">
      <c r="B746" s="17" t="s">
        <v>3930</v>
      </c>
      <c r="C746"/>
      <c r="D746"/>
      <c r="E746"/>
      <c r="F746"/>
      <c r="G746"/>
      <c r="H746"/>
      <c r="I746"/>
      <c r="J746"/>
      <c r="K746" s="66"/>
    </row>
  </sheetData>
  <autoFilter ref="B2:V743"/>
  <mergeCells count="2">
    <mergeCell ref="K1:V1"/>
    <mergeCell ref="X1:AI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AI743"/>
  <sheetViews>
    <sheetView showGridLines="0" zoomScale="85" zoomScaleNormal="85" workbookViewId="0"/>
  </sheetViews>
  <sheetFormatPr defaultRowHeight="17" outlineLevelCol="1"/>
  <cols>
    <col min="2" max="2" width="7.08203125" style="19" bestFit="1" customWidth="1"/>
    <col min="3" max="3" width="6.5" style="20" bestFit="1" customWidth="1"/>
    <col min="4" max="4" width="7.08203125" style="21" bestFit="1" customWidth="1"/>
    <col min="5" max="5" width="22" style="21" bestFit="1" customWidth="1"/>
    <col min="6" max="6" width="22.75" style="20" bestFit="1" customWidth="1"/>
    <col min="7" max="7" width="8.08203125" style="39" bestFit="1" customWidth="1"/>
    <col min="8" max="8" width="11" style="20" hidden="1" customWidth="1" outlineLevel="1"/>
    <col min="9" max="9" width="14.83203125" style="20" hidden="1" customWidth="1" outlineLevel="1"/>
    <col min="10" max="10" width="54.25" style="20" hidden="1" customWidth="1" outlineLevel="1"/>
    <col min="11" max="11" width="9" style="32" collapsed="1"/>
    <col min="12" max="21" width="9" style="32"/>
    <col min="22" max="22" width="9" style="33"/>
    <col min="23" max="23" width="9" style="30"/>
    <col min="24" max="24" width="9" style="31"/>
    <col min="25" max="34" width="9" style="32"/>
    <col min="35" max="35" width="9" style="33"/>
  </cols>
  <sheetData>
    <row r="1" spans="2:35">
      <c r="B1" s="13"/>
      <c r="C1"/>
      <c r="D1" s="13"/>
      <c r="E1" s="13"/>
      <c r="F1"/>
      <c r="G1" s="1"/>
      <c r="H1"/>
      <c r="I1"/>
      <c r="J1"/>
      <c r="K1" s="101" t="s">
        <v>2315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/>
      <c r="X1" s="104" t="s">
        <v>2316</v>
      </c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6"/>
    </row>
    <row r="2" spans="2:35">
      <c r="B2" s="14" t="s">
        <v>1158</v>
      </c>
      <c r="C2" s="15" t="s">
        <v>0</v>
      </c>
      <c r="D2" s="16" t="s">
        <v>2313</v>
      </c>
      <c r="E2" s="16" t="s">
        <v>1</v>
      </c>
      <c r="F2" s="15" t="s">
        <v>2314</v>
      </c>
      <c r="G2" s="15" t="s">
        <v>17</v>
      </c>
      <c r="H2" s="15" t="s">
        <v>14</v>
      </c>
      <c r="I2" s="15" t="s">
        <v>15</v>
      </c>
      <c r="J2" s="22" t="s">
        <v>16</v>
      </c>
      <c r="K2" s="24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25" t="s">
        <v>7</v>
      </c>
      <c r="Q2" s="25" t="s">
        <v>8</v>
      </c>
      <c r="R2" s="25" t="s">
        <v>9</v>
      </c>
      <c r="S2" s="25" t="s">
        <v>10</v>
      </c>
      <c r="T2" s="25" t="s">
        <v>11</v>
      </c>
      <c r="U2" s="25" t="s">
        <v>12</v>
      </c>
      <c r="V2" s="26" t="s">
        <v>13</v>
      </c>
      <c r="W2"/>
      <c r="X2" s="24" t="s">
        <v>2</v>
      </c>
      <c r="Y2" s="25" t="s">
        <v>3</v>
      </c>
      <c r="Z2" s="25" t="s">
        <v>4</v>
      </c>
      <c r="AA2" s="25" t="s">
        <v>5</v>
      </c>
      <c r="AB2" s="25" t="s">
        <v>6</v>
      </c>
      <c r="AC2" s="25" t="s">
        <v>7</v>
      </c>
      <c r="AD2" s="25" t="s">
        <v>8</v>
      </c>
      <c r="AE2" s="25" t="s">
        <v>9</v>
      </c>
      <c r="AF2" s="25" t="s">
        <v>10</v>
      </c>
      <c r="AG2" s="25" t="s">
        <v>11</v>
      </c>
      <c r="AH2" s="25" t="s">
        <v>12</v>
      </c>
      <c r="AI2" s="26" t="s">
        <v>13</v>
      </c>
    </row>
    <row r="3" spans="2:35">
      <c r="B3" s="17" t="str">
        <f>IFERROR(VLOOKUP(C3,[3]Sheet2!$C$3:$F$1223,2,0),"")</f>
        <v>Daegu</v>
      </c>
      <c r="C3" s="3">
        <v>33720</v>
      </c>
      <c r="D3" s="18" t="str">
        <f>IFERROR(VLOOKUP(C3,[3]Sheet2!$C$1:$F$1223,3,0),"")</f>
        <v>김태경</v>
      </c>
      <c r="E3" s="18" t="str">
        <f>IFERROR(VLOOKUP(C3,[3]Sheet2!$C$1:$F$1223,4,0),"")</f>
        <v>평화주류(주)</v>
      </c>
      <c r="F3" s="2" t="s">
        <v>2676</v>
      </c>
      <c r="G3" s="3" t="s">
        <v>2894</v>
      </c>
      <c r="H3" s="4" t="s">
        <v>2774</v>
      </c>
      <c r="I3" s="4" t="s">
        <v>2775</v>
      </c>
      <c r="J3" s="23" t="s">
        <v>2776</v>
      </c>
      <c r="K3" s="27"/>
      <c r="L3" s="28"/>
      <c r="M3" s="28"/>
      <c r="N3" s="28">
        <v>10</v>
      </c>
      <c r="O3" s="28">
        <v>3</v>
      </c>
      <c r="P3" s="28">
        <v>5</v>
      </c>
      <c r="Q3" s="28">
        <v>8</v>
      </c>
      <c r="R3" s="28">
        <v>8</v>
      </c>
      <c r="S3" s="28">
        <v>8</v>
      </c>
      <c r="T3" s="28">
        <v>10</v>
      </c>
      <c r="U3" s="28">
        <v>5</v>
      </c>
      <c r="V3" s="29">
        <v>7</v>
      </c>
      <c r="X3" s="31">
        <v>4</v>
      </c>
      <c r="Y3" s="32">
        <v>7</v>
      </c>
    </row>
    <row r="4" spans="2:35">
      <c r="B4" s="17" t="str">
        <f>IFERROR(VLOOKUP(C4,[3]Sheet2!$C$3:$F$1223,2,0),"")</f>
        <v>Daegu</v>
      </c>
      <c r="C4" s="3">
        <v>33720</v>
      </c>
      <c r="D4" s="18" t="str">
        <f>IFERROR(VLOOKUP(C4,[3]Sheet2!$C$1:$F$1223,3,0),"")</f>
        <v>김태경</v>
      </c>
      <c r="E4" s="18" t="str">
        <f>IFERROR(VLOOKUP(C4,[3]Sheet2!$C$1:$F$1223,4,0),"")</f>
        <v>평화주류(주)</v>
      </c>
      <c r="F4" s="2" t="s">
        <v>2677</v>
      </c>
      <c r="G4" s="3" t="s">
        <v>2894</v>
      </c>
      <c r="H4" s="4" t="s">
        <v>2774</v>
      </c>
      <c r="I4" s="4" t="s">
        <v>2775</v>
      </c>
      <c r="J4" s="23" t="s">
        <v>2777</v>
      </c>
      <c r="K4" s="27"/>
      <c r="L4" s="28"/>
      <c r="M4" s="28"/>
      <c r="N4" s="28">
        <v>4</v>
      </c>
      <c r="O4" s="28">
        <v>2</v>
      </c>
      <c r="P4" s="28">
        <v>2</v>
      </c>
      <c r="Q4" s="28">
        <v>5</v>
      </c>
      <c r="R4" s="28"/>
      <c r="S4" s="28"/>
      <c r="T4" s="28"/>
      <c r="U4" s="28"/>
      <c r="V4" s="29"/>
    </row>
    <row r="5" spans="2:35">
      <c r="B5" s="17" t="str">
        <f>IFERROR(VLOOKUP(C5,[3]Sheet2!$C$3:$F$1223,2,0),"")</f>
        <v>Daegu</v>
      </c>
      <c r="C5" s="3">
        <v>33720</v>
      </c>
      <c r="D5" s="18" t="str">
        <f>IFERROR(VLOOKUP(C5,[3]Sheet2!$C$1:$F$1223,3,0),"")</f>
        <v>김태경</v>
      </c>
      <c r="E5" s="18" t="str">
        <f>IFERROR(VLOOKUP(C5,[3]Sheet2!$C$1:$F$1223,4,0),"")</f>
        <v>평화주류(주)</v>
      </c>
      <c r="F5" s="2" t="s">
        <v>2678</v>
      </c>
      <c r="G5" s="3" t="s">
        <v>2894</v>
      </c>
      <c r="H5" s="4" t="s">
        <v>2774</v>
      </c>
      <c r="I5" s="4" t="s">
        <v>2775</v>
      </c>
      <c r="J5" s="23" t="s">
        <v>2778</v>
      </c>
      <c r="K5" s="27"/>
      <c r="L5" s="28"/>
      <c r="M5" s="28"/>
      <c r="N5" s="28">
        <v>2</v>
      </c>
      <c r="O5" s="28"/>
      <c r="P5" s="28">
        <v>1</v>
      </c>
      <c r="Q5" s="28">
        <v>1</v>
      </c>
      <c r="R5" s="28"/>
      <c r="S5" s="28"/>
      <c r="T5" s="28"/>
      <c r="U5" s="28"/>
      <c r="V5" s="29"/>
    </row>
    <row r="6" spans="2:35">
      <c r="B6" s="17" t="str">
        <f>IFERROR(VLOOKUP(C6,[3]Sheet2!$C$3:$F$1223,2,0),"")</f>
        <v>Daegu</v>
      </c>
      <c r="C6" s="3">
        <v>33701</v>
      </c>
      <c r="D6" s="18" t="str">
        <f>IFERROR(VLOOKUP(C6,[3]Sheet2!$C$1:$F$1223,3,0),"")</f>
        <v>김태경</v>
      </c>
      <c r="E6" s="18" t="str">
        <f>IFERROR(VLOOKUP(C6,[3]Sheet2!$C$1:$F$1223,4,0),"")</f>
        <v>대림주류유통(주)</v>
      </c>
      <c r="F6" s="2" t="s">
        <v>2679</v>
      </c>
      <c r="G6" s="3" t="s">
        <v>2894</v>
      </c>
      <c r="H6" s="4" t="s">
        <v>2774</v>
      </c>
      <c r="I6" s="4" t="s">
        <v>2775</v>
      </c>
      <c r="J6" s="23" t="s">
        <v>2779</v>
      </c>
      <c r="K6" s="27"/>
      <c r="L6" s="28"/>
      <c r="M6" s="28"/>
      <c r="N6" s="28">
        <v>3</v>
      </c>
      <c r="O6" s="28">
        <v>1</v>
      </c>
      <c r="P6" s="28">
        <v>1</v>
      </c>
      <c r="Q6" s="28">
        <v>7</v>
      </c>
      <c r="R6" s="28">
        <v>1</v>
      </c>
      <c r="S6" s="28">
        <v>2</v>
      </c>
      <c r="T6" s="28">
        <v>1</v>
      </c>
      <c r="U6" s="28"/>
      <c r="V6" s="29"/>
    </row>
    <row r="7" spans="2:35">
      <c r="B7" s="17" t="str">
        <f>IFERROR(VLOOKUP(C7,[3]Sheet2!$C$3:$F$1223,2,0),"")</f>
        <v>Daegu</v>
      </c>
      <c r="C7" s="3">
        <v>33737</v>
      </c>
      <c r="D7" s="18" t="str">
        <f>IFERROR(VLOOKUP(C7,[3]Sheet2!$C$1:$F$1223,3,0),"")</f>
        <v>김태경</v>
      </c>
      <c r="E7" s="18" t="str">
        <f>IFERROR(VLOOKUP(C7,[3]Sheet2!$C$1:$F$1223,4,0),"")</f>
        <v>대성주류상사(주)</v>
      </c>
      <c r="F7" s="2" t="s">
        <v>2680</v>
      </c>
      <c r="G7" s="3" t="s">
        <v>2894</v>
      </c>
      <c r="H7" s="4" t="s">
        <v>2780</v>
      </c>
      <c r="I7" s="4" t="s">
        <v>2781</v>
      </c>
      <c r="J7" s="23" t="s">
        <v>2782</v>
      </c>
      <c r="K7" s="27"/>
      <c r="L7" s="28"/>
      <c r="M7" s="28"/>
      <c r="N7" s="28">
        <v>50</v>
      </c>
      <c r="O7" s="28">
        <v>20</v>
      </c>
      <c r="P7" s="28"/>
      <c r="Q7" s="28">
        <v>50</v>
      </c>
      <c r="R7" s="28"/>
      <c r="S7" s="28"/>
      <c r="T7" s="28"/>
      <c r="U7" s="28"/>
      <c r="V7" s="29"/>
    </row>
    <row r="8" spans="2:35">
      <c r="B8" s="17" t="str">
        <f>IFERROR(VLOOKUP(C8,[3]Sheet2!$C$3:$F$1223,2,0),"")</f>
        <v>Daegu</v>
      </c>
      <c r="C8" s="3">
        <v>33692</v>
      </c>
      <c r="D8" s="18" t="str">
        <f>IFERROR(VLOOKUP(C8,[3]Sheet2!$C$1:$F$1223,3,0),"")</f>
        <v>김태경</v>
      </c>
      <c r="E8" s="18" t="str">
        <f>IFERROR(VLOOKUP(C8,[3]Sheet2!$C$1:$F$1223,4,0),"")</f>
        <v>오성주류판매(주)</v>
      </c>
      <c r="F8" s="2" t="s">
        <v>2681</v>
      </c>
      <c r="G8" s="3" t="s">
        <v>2894</v>
      </c>
      <c r="H8" s="4" t="s">
        <v>2774</v>
      </c>
      <c r="I8" s="4" t="s">
        <v>878</v>
      </c>
      <c r="J8" s="23" t="s">
        <v>2783</v>
      </c>
      <c r="K8" s="27"/>
      <c r="L8" s="28"/>
      <c r="M8" s="28"/>
      <c r="N8" s="28">
        <v>1</v>
      </c>
      <c r="O8" s="28"/>
      <c r="P8" s="28">
        <v>1</v>
      </c>
      <c r="Q8" s="28"/>
      <c r="R8" s="28"/>
      <c r="S8" s="28"/>
      <c r="T8" s="28"/>
      <c r="U8" s="28"/>
      <c r="V8" s="29"/>
    </row>
    <row r="9" spans="2:35">
      <c r="B9" s="17" t="str">
        <f>IFERROR(VLOOKUP(C9,[3]Sheet2!$C$3:$F$1223,2,0),"")</f>
        <v>Daegu</v>
      </c>
      <c r="C9" s="3">
        <v>36773</v>
      </c>
      <c r="D9" s="18" t="str">
        <f>IFERROR(VLOOKUP(C9,[3]Sheet2!$C$1:$F$1223,3,0),"")</f>
        <v>김태경</v>
      </c>
      <c r="E9" s="18" t="str">
        <f>IFERROR(VLOOKUP(C9,[3]Sheet2!$C$1:$F$1223,4,0),"")</f>
        <v>화산세계주류주식회사</v>
      </c>
      <c r="F9" s="2" t="s">
        <v>2682</v>
      </c>
      <c r="G9" s="3" t="s">
        <v>2894</v>
      </c>
      <c r="H9" s="4" t="s">
        <v>2774</v>
      </c>
      <c r="I9" s="4" t="s">
        <v>2784</v>
      </c>
      <c r="J9" s="23" t="s">
        <v>2785</v>
      </c>
      <c r="K9" s="27"/>
      <c r="L9" s="28"/>
      <c r="M9" s="28"/>
      <c r="N9" s="28">
        <v>5</v>
      </c>
      <c r="O9" s="28"/>
      <c r="P9" s="28">
        <v>4</v>
      </c>
      <c r="Q9" s="28"/>
      <c r="R9" s="28"/>
      <c r="S9" s="28"/>
      <c r="T9" s="28"/>
      <c r="U9" s="28"/>
      <c r="V9" s="29"/>
    </row>
    <row r="10" spans="2:35">
      <c r="B10" s="17" t="str">
        <f>IFERROR(VLOOKUP(C10,[3]Sheet2!$C$3:$F$1223,2,0),"")</f>
        <v>Daegu</v>
      </c>
      <c r="C10" s="3">
        <v>33692</v>
      </c>
      <c r="D10" s="18" t="str">
        <f>IFERROR(VLOOKUP(C10,[3]Sheet2!$C$1:$F$1223,3,0),"")</f>
        <v>김태경</v>
      </c>
      <c r="E10" s="18" t="str">
        <f>IFERROR(VLOOKUP(C10,[3]Sheet2!$C$1:$F$1223,4,0),"")</f>
        <v>오성주류판매(주)</v>
      </c>
      <c r="F10" s="2" t="s">
        <v>2683</v>
      </c>
      <c r="G10" s="3" t="s">
        <v>2894</v>
      </c>
      <c r="H10" s="4" t="s">
        <v>2774</v>
      </c>
      <c r="I10" s="4" t="s">
        <v>2775</v>
      </c>
      <c r="J10" s="23" t="s">
        <v>2786</v>
      </c>
      <c r="K10" s="27"/>
      <c r="L10" s="28"/>
      <c r="M10" s="28"/>
      <c r="N10" s="28">
        <v>1</v>
      </c>
      <c r="O10" s="28"/>
      <c r="P10" s="28">
        <v>1</v>
      </c>
      <c r="Q10" s="28"/>
      <c r="R10" s="28"/>
      <c r="S10" s="28"/>
      <c r="T10" s="28"/>
      <c r="U10" s="28"/>
      <c r="V10" s="29"/>
    </row>
    <row r="11" spans="2:35">
      <c r="B11" s="17" t="str">
        <f>IFERROR(VLOOKUP(C11,[3]Sheet2!$C$3:$F$1223,2,0),"")</f>
        <v>Daegu</v>
      </c>
      <c r="C11" s="3">
        <v>33692</v>
      </c>
      <c r="D11" s="18" t="str">
        <f>IFERROR(VLOOKUP(C11,[3]Sheet2!$C$1:$F$1223,3,0),"")</f>
        <v>김태경</v>
      </c>
      <c r="E11" s="18" t="str">
        <f>IFERROR(VLOOKUP(C11,[3]Sheet2!$C$1:$F$1223,4,0),"")</f>
        <v>오성주류판매(주)</v>
      </c>
      <c r="F11" s="2" t="s">
        <v>2684</v>
      </c>
      <c r="G11" s="3" t="s">
        <v>2894</v>
      </c>
      <c r="H11" s="4" t="s">
        <v>2774</v>
      </c>
      <c r="I11" s="4" t="s">
        <v>2507</v>
      </c>
      <c r="J11" s="23" t="s">
        <v>2787</v>
      </c>
      <c r="K11" s="27"/>
      <c r="L11" s="28"/>
      <c r="M11" s="28"/>
      <c r="N11" s="28">
        <v>1</v>
      </c>
      <c r="O11" s="28"/>
      <c r="P11" s="28">
        <v>1</v>
      </c>
      <c r="Q11" s="28"/>
      <c r="R11" s="28"/>
      <c r="S11" s="28"/>
      <c r="T11" s="28"/>
      <c r="U11" s="28"/>
      <c r="V11" s="29"/>
    </row>
    <row r="12" spans="2:35">
      <c r="B12" s="17" t="str">
        <f>IFERROR(VLOOKUP(C12,[3]Sheet2!$C$3:$F$1223,2,0),"")</f>
        <v>Daegu</v>
      </c>
      <c r="C12" s="3">
        <v>33737</v>
      </c>
      <c r="D12" s="18" t="str">
        <f>IFERROR(VLOOKUP(C12,[3]Sheet2!$C$1:$F$1223,3,0),"")</f>
        <v>김태경</v>
      </c>
      <c r="E12" s="18" t="str">
        <f>IFERROR(VLOOKUP(C12,[3]Sheet2!$C$1:$F$1223,4,0),"")</f>
        <v>대성주류상사(주)</v>
      </c>
      <c r="F12" s="2" t="s">
        <v>2685</v>
      </c>
      <c r="G12" s="3" t="s">
        <v>2894</v>
      </c>
      <c r="H12" s="4" t="s">
        <v>2780</v>
      </c>
      <c r="I12" s="4" t="s">
        <v>2781</v>
      </c>
      <c r="J12" s="23" t="s">
        <v>2788</v>
      </c>
      <c r="K12" s="27"/>
      <c r="L12" s="28"/>
      <c r="M12" s="28"/>
      <c r="N12" s="28">
        <v>1</v>
      </c>
      <c r="O12" s="28"/>
      <c r="P12" s="28"/>
      <c r="Q12" s="28">
        <v>2</v>
      </c>
      <c r="R12" s="28"/>
      <c r="S12" s="28">
        <v>2</v>
      </c>
      <c r="T12" s="28"/>
      <c r="U12" s="28"/>
      <c r="V12" s="29"/>
    </row>
    <row r="13" spans="2:35">
      <c r="B13" s="17" t="str">
        <f>IFERROR(VLOOKUP(C13,[3]Sheet2!$C$3:$F$1223,2,0),"")</f>
        <v>Daegu</v>
      </c>
      <c r="C13" s="3">
        <v>33692</v>
      </c>
      <c r="D13" s="18" t="str">
        <f>IFERROR(VLOOKUP(C13,[3]Sheet2!$C$1:$F$1223,3,0),"")</f>
        <v>김태경</v>
      </c>
      <c r="E13" s="18" t="str">
        <f>IFERROR(VLOOKUP(C13,[3]Sheet2!$C$1:$F$1223,4,0),"")</f>
        <v>오성주류판매(주)</v>
      </c>
      <c r="F13" s="2" t="s">
        <v>2686</v>
      </c>
      <c r="G13" s="3" t="s">
        <v>2894</v>
      </c>
      <c r="H13" s="4" t="s">
        <v>2780</v>
      </c>
      <c r="I13" s="4" t="s">
        <v>2789</v>
      </c>
      <c r="J13" s="23" t="s">
        <v>2790</v>
      </c>
      <c r="K13" s="27"/>
      <c r="L13" s="28"/>
      <c r="M13" s="28"/>
      <c r="N13" s="28">
        <v>1</v>
      </c>
      <c r="O13" s="28"/>
      <c r="P13" s="28">
        <v>1</v>
      </c>
      <c r="Q13" s="28"/>
      <c r="R13" s="28"/>
      <c r="S13" s="28"/>
      <c r="T13" s="28"/>
      <c r="U13" s="28"/>
      <c r="V13" s="29"/>
    </row>
    <row r="14" spans="2:35">
      <c r="B14" s="17" t="str">
        <f>IFERROR(VLOOKUP(C14,[3]Sheet2!$C$3:$F$1223,2,0),"")</f>
        <v>Daegu</v>
      </c>
      <c r="C14" s="3">
        <v>33753</v>
      </c>
      <c r="D14" s="18" t="str">
        <f>IFERROR(VLOOKUP(C14,[3]Sheet2!$C$1:$F$1223,3,0),"")</f>
        <v>김태경</v>
      </c>
      <c r="E14" s="18" t="str">
        <f>IFERROR(VLOOKUP(C14,[3]Sheet2!$C$1:$F$1223,4,0),"")</f>
        <v>풍산주류(주)</v>
      </c>
      <c r="F14" s="2" t="s">
        <v>2687</v>
      </c>
      <c r="G14" s="3" t="s">
        <v>2894</v>
      </c>
      <c r="H14" s="4" t="s">
        <v>2780</v>
      </c>
      <c r="I14" s="4" t="s">
        <v>2791</v>
      </c>
      <c r="J14" s="23" t="s">
        <v>2792</v>
      </c>
      <c r="K14" s="27"/>
      <c r="L14" s="28"/>
      <c r="M14" s="28"/>
      <c r="N14" s="28">
        <v>3</v>
      </c>
      <c r="O14" s="28">
        <v>2</v>
      </c>
      <c r="P14" s="28"/>
      <c r="Q14" s="28"/>
      <c r="R14" s="28"/>
      <c r="S14" s="28"/>
      <c r="T14" s="28"/>
      <c r="U14" s="28"/>
      <c r="V14" s="29"/>
    </row>
    <row r="15" spans="2:35">
      <c r="B15" s="17" t="str">
        <f>IFERROR(VLOOKUP(C15,[3]Sheet2!$C$3:$F$1223,2,0),"")</f>
        <v>Daegu</v>
      </c>
      <c r="C15" s="3">
        <v>33753</v>
      </c>
      <c r="D15" s="18" t="str">
        <f>IFERROR(VLOOKUP(C15,[3]Sheet2!$C$1:$F$1223,3,0),"")</f>
        <v>김태경</v>
      </c>
      <c r="E15" s="18" t="str">
        <f>IFERROR(VLOOKUP(C15,[3]Sheet2!$C$1:$F$1223,4,0),"")</f>
        <v>풍산주류(주)</v>
      </c>
      <c r="F15" s="2" t="s">
        <v>2688</v>
      </c>
      <c r="G15" s="3" t="s">
        <v>2894</v>
      </c>
      <c r="H15" s="4" t="s">
        <v>2780</v>
      </c>
      <c r="I15" s="4" t="s">
        <v>2791</v>
      </c>
      <c r="J15" s="23" t="s">
        <v>2793</v>
      </c>
      <c r="K15" s="27"/>
      <c r="L15" s="28"/>
      <c r="M15" s="28"/>
      <c r="N15" s="28">
        <v>1</v>
      </c>
      <c r="O15" s="28"/>
      <c r="P15" s="28">
        <v>1</v>
      </c>
      <c r="Q15" s="28"/>
      <c r="R15" s="28">
        <v>1</v>
      </c>
      <c r="S15" s="28"/>
      <c r="T15" s="28">
        <v>4</v>
      </c>
      <c r="U15" s="28">
        <v>2</v>
      </c>
      <c r="V15" s="29"/>
      <c r="X15" s="31">
        <v>2</v>
      </c>
      <c r="Y15" s="32">
        <v>1</v>
      </c>
    </row>
    <row r="16" spans="2:35">
      <c r="B16" s="17" t="str">
        <f>IFERROR(VLOOKUP(C16,[3]Sheet2!$C$3:$F$1223,2,0),"")</f>
        <v>Daegu</v>
      </c>
      <c r="C16" s="3">
        <v>33753</v>
      </c>
      <c r="D16" s="18" t="str">
        <f>IFERROR(VLOOKUP(C16,[3]Sheet2!$C$1:$F$1223,3,0),"")</f>
        <v>김태경</v>
      </c>
      <c r="E16" s="18" t="str">
        <f>IFERROR(VLOOKUP(C16,[3]Sheet2!$C$1:$F$1223,4,0),"")</f>
        <v>풍산주류(주)</v>
      </c>
      <c r="F16" s="2" t="s">
        <v>2689</v>
      </c>
      <c r="G16" s="3" t="s">
        <v>2894</v>
      </c>
      <c r="H16" s="4" t="s">
        <v>2780</v>
      </c>
      <c r="I16" s="4" t="s">
        <v>2791</v>
      </c>
      <c r="J16" s="23" t="s">
        <v>2794</v>
      </c>
      <c r="K16" s="27"/>
      <c r="L16" s="28"/>
      <c r="M16" s="28"/>
      <c r="N16" s="28">
        <v>3</v>
      </c>
      <c r="O16" s="28"/>
      <c r="P16" s="28"/>
      <c r="Q16" s="28"/>
      <c r="R16" s="28"/>
      <c r="S16" s="28"/>
      <c r="T16" s="28"/>
      <c r="U16" s="28"/>
      <c r="V16" s="29"/>
    </row>
    <row r="17" spans="2:25">
      <c r="B17" s="17" t="str">
        <f>IFERROR(VLOOKUP(C17,[3]Sheet2!$C$3:$F$1223,2,0),"")</f>
        <v>Daegu</v>
      </c>
      <c r="C17" s="3">
        <v>33690</v>
      </c>
      <c r="D17" s="18" t="str">
        <f>IFERROR(VLOOKUP(C17,[3]Sheet2!$C$1:$F$1223,3,0),"")</f>
        <v>김태경</v>
      </c>
      <c r="E17" s="18" t="str">
        <f>IFERROR(VLOOKUP(C17,[3]Sheet2!$C$1:$F$1223,4,0),"")</f>
        <v>삼화산업(주)</v>
      </c>
      <c r="F17" s="2" t="s">
        <v>2690</v>
      </c>
      <c r="G17" s="3" t="s">
        <v>2894</v>
      </c>
      <c r="H17" s="4" t="s">
        <v>2774</v>
      </c>
      <c r="I17" s="4" t="s">
        <v>878</v>
      </c>
      <c r="J17" s="23" t="s">
        <v>2795</v>
      </c>
      <c r="K17" s="27"/>
      <c r="L17" s="28"/>
      <c r="M17" s="28"/>
      <c r="N17" s="28">
        <v>10</v>
      </c>
      <c r="O17" s="28">
        <v>4</v>
      </c>
      <c r="P17" s="28">
        <v>4</v>
      </c>
      <c r="Q17" s="28">
        <v>3</v>
      </c>
      <c r="R17" s="28">
        <v>2</v>
      </c>
      <c r="S17" s="28">
        <v>4</v>
      </c>
      <c r="T17" s="28">
        <v>3</v>
      </c>
      <c r="U17" s="28">
        <v>2</v>
      </c>
      <c r="V17" s="29">
        <v>3</v>
      </c>
      <c r="X17" s="31">
        <v>3</v>
      </c>
      <c r="Y17" s="32">
        <v>3</v>
      </c>
    </row>
    <row r="18" spans="2:25">
      <c r="B18" s="17" t="str">
        <f>IFERROR(VLOOKUP(C18,[3]Sheet2!$C$3:$F$1223,2,0),"")</f>
        <v>Daegu</v>
      </c>
      <c r="C18" s="3">
        <v>33719</v>
      </c>
      <c r="D18" s="18" t="str">
        <f>IFERROR(VLOOKUP(C18,[3]Sheet2!$C$1:$F$1223,3,0),"")</f>
        <v>김태경</v>
      </c>
      <c r="E18" s="18" t="str">
        <f>IFERROR(VLOOKUP(C18,[3]Sheet2!$C$1:$F$1223,4,0),"")</f>
        <v>국제주류판매(주)</v>
      </c>
      <c r="F18" s="2" t="s">
        <v>2691</v>
      </c>
      <c r="G18" s="3" t="s">
        <v>2894</v>
      </c>
      <c r="H18" s="4" t="s">
        <v>2780</v>
      </c>
      <c r="I18" s="4" t="s">
        <v>2781</v>
      </c>
      <c r="J18" s="23" t="s">
        <v>2796</v>
      </c>
      <c r="K18" s="27"/>
      <c r="L18" s="28"/>
      <c r="M18" s="28"/>
      <c r="N18" s="28"/>
      <c r="O18" s="28">
        <v>6</v>
      </c>
      <c r="P18" s="28"/>
      <c r="Q18" s="28"/>
      <c r="R18" s="28"/>
      <c r="S18" s="28"/>
      <c r="T18" s="28"/>
      <c r="U18" s="28"/>
      <c r="V18" s="29"/>
    </row>
    <row r="19" spans="2:25">
      <c r="B19" s="17" t="str">
        <f>IFERROR(VLOOKUP(C19,[3]Sheet2!$C$3:$F$1223,2,0),"")</f>
        <v>Daegu</v>
      </c>
      <c r="C19" s="3">
        <v>33719</v>
      </c>
      <c r="D19" s="18" t="str">
        <f>IFERROR(VLOOKUP(C19,[3]Sheet2!$C$1:$F$1223,3,0),"")</f>
        <v>김태경</v>
      </c>
      <c r="E19" s="18" t="str">
        <f>IFERROR(VLOOKUP(C19,[3]Sheet2!$C$1:$F$1223,4,0),"")</f>
        <v>국제주류판매(주)</v>
      </c>
      <c r="F19" s="2" t="s">
        <v>2692</v>
      </c>
      <c r="G19" s="3" t="s">
        <v>2894</v>
      </c>
      <c r="H19" s="4" t="s">
        <v>2780</v>
      </c>
      <c r="I19" s="4" t="s">
        <v>2781</v>
      </c>
      <c r="J19" s="23" t="s">
        <v>2797</v>
      </c>
      <c r="K19" s="27"/>
      <c r="L19" s="28"/>
      <c r="M19" s="28"/>
      <c r="N19" s="28"/>
      <c r="O19" s="28">
        <v>1</v>
      </c>
      <c r="P19" s="28"/>
      <c r="Q19" s="28"/>
      <c r="R19" s="28"/>
      <c r="S19" s="28">
        <v>2</v>
      </c>
      <c r="T19" s="28"/>
      <c r="U19" s="28"/>
      <c r="V19" s="29"/>
    </row>
    <row r="20" spans="2:25">
      <c r="B20" s="17" t="str">
        <f>IFERROR(VLOOKUP(C20,[3]Sheet2!$C$3:$F$1223,2,0),"")</f>
        <v>Daegu</v>
      </c>
      <c r="C20" s="3">
        <v>33719</v>
      </c>
      <c r="D20" s="18" t="str">
        <f>IFERROR(VLOOKUP(C20,[3]Sheet2!$C$1:$F$1223,3,0),"")</f>
        <v>김태경</v>
      </c>
      <c r="E20" s="18" t="str">
        <f>IFERROR(VLOOKUP(C20,[3]Sheet2!$C$1:$F$1223,4,0),"")</f>
        <v>국제주류판매(주)</v>
      </c>
      <c r="F20" s="2" t="s">
        <v>2693</v>
      </c>
      <c r="G20" s="3" t="s">
        <v>2894</v>
      </c>
      <c r="H20" s="4" t="s">
        <v>2780</v>
      </c>
      <c r="I20" s="4" t="s">
        <v>2781</v>
      </c>
      <c r="J20" s="23" t="s">
        <v>2798</v>
      </c>
      <c r="K20" s="27"/>
      <c r="L20" s="28"/>
      <c r="M20" s="28"/>
      <c r="N20" s="28"/>
      <c r="O20" s="28">
        <v>1</v>
      </c>
      <c r="P20" s="28"/>
      <c r="Q20" s="28"/>
      <c r="R20" s="28"/>
      <c r="S20" s="28"/>
      <c r="T20" s="28"/>
      <c r="U20" s="28"/>
      <c r="V20" s="29"/>
    </row>
    <row r="21" spans="2:25">
      <c r="B21" s="17" t="str">
        <f>IFERROR(VLOOKUP(C21,[3]Sheet2!$C$3:$F$1223,2,0),"")</f>
        <v>Daegu</v>
      </c>
      <c r="C21" s="3">
        <v>33737</v>
      </c>
      <c r="D21" s="18" t="str">
        <f>IFERROR(VLOOKUP(C21,[3]Sheet2!$C$1:$F$1223,3,0),"")</f>
        <v>김태경</v>
      </c>
      <c r="E21" s="18" t="str">
        <f>IFERROR(VLOOKUP(C21,[3]Sheet2!$C$1:$F$1223,4,0),"")</f>
        <v>대성주류상사(주)</v>
      </c>
      <c r="F21" s="2" t="s">
        <v>2694</v>
      </c>
      <c r="G21" s="3" t="s">
        <v>2894</v>
      </c>
      <c r="H21" s="4" t="s">
        <v>2780</v>
      </c>
      <c r="I21" s="4" t="s">
        <v>2781</v>
      </c>
      <c r="J21" s="23" t="s">
        <v>2799</v>
      </c>
      <c r="K21" s="27"/>
      <c r="L21" s="28"/>
      <c r="M21" s="28"/>
      <c r="N21" s="28"/>
      <c r="O21" s="28">
        <v>1</v>
      </c>
      <c r="P21" s="28"/>
      <c r="Q21" s="28"/>
      <c r="R21" s="28"/>
      <c r="S21" s="28"/>
      <c r="T21" s="28"/>
      <c r="U21" s="28"/>
      <c r="V21" s="29"/>
    </row>
    <row r="22" spans="2:25">
      <c r="B22" s="17" t="str">
        <f>IFERROR(VLOOKUP(C22,[3]Sheet2!$C$3:$F$1223,2,0),"")</f>
        <v>Daegu</v>
      </c>
      <c r="C22" s="3">
        <v>33692</v>
      </c>
      <c r="D22" s="18" t="str">
        <f>IFERROR(VLOOKUP(C22,[3]Sheet2!$C$1:$F$1223,3,0),"")</f>
        <v>김태경</v>
      </c>
      <c r="E22" s="18" t="str">
        <f>IFERROR(VLOOKUP(C22,[3]Sheet2!$C$1:$F$1223,4,0),"")</f>
        <v>오성주류판매(주)</v>
      </c>
      <c r="F22" s="2" t="s">
        <v>2695</v>
      </c>
      <c r="G22" s="3" t="s">
        <v>2894</v>
      </c>
      <c r="H22" s="4" t="s">
        <v>2774</v>
      </c>
      <c r="I22" s="4" t="s">
        <v>2775</v>
      </c>
      <c r="J22" s="23" t="s">
        <v>2786</v>
      </c>
      <c r="K22" s="27"/>
      <c r="L22" s="28"/>
      <c r="M22" s="28"/>
      <c r="N22" s="28">
        <v>1</v>
      </c>
      <c r="O22" s="28"/>
      <c r="P22" s="28"/>
      <c r="Q22" s="28"/>
      <c r="R22" s="28"/>
      <c r="S22" s="28"/>
      <c r="T22" s="28"/>
      <c r="U22" s="28"/>
      <c r="V22" s="29"/>
    </row>
    <row r="23" spans="2:25">
      <c r="B23" s="17" t="str">
        <f>IFERROR(VLOOKUP(C23,[3]Sheet2!$C$3:$F$1223,2,0),"")</f>
        <v>Daegu</v>
      </c>
      <c r="C23" s="3">
        <v>33719</v>
      </c>
      <c r="D23" s="18" t="str">
        <f>IFERROR(VLOOKUP(C23,[3]Sheet2!$C$1:$F$1223,3,0),"")</f>
        <v>김태경</v>
      </c>
      <c r="E23" s="18" t="str">
        <f>IFERROR(VLOOKUP(C23,[3]Sheet2!$C$1:$F$1223,4,0),"")</f>
        <v>국제주류판매(주)</v>
      </c>
      <c r="F23" s="2" t="s">
        <v>2696</v>
      </c>
      <c r="G23" s="3" t="s">
        <v>2894</v>
      </c>
      <c r="H23" s="4" t="s">
        <v>2780</v>
      </c>
      <c r="I23" s="4" t="s">
        <v>2781</v>
      </c>
      <c r="J23" s="23" t="s">
        <v>2800</v>
      </c>
      <c r="K23" s="27"/>
      <c r="L23" s="28"/>
      <c r="M23" s="28"/>
      <c r="N23" s="28"/>
      <c r="O23" s="28">
        <v>6</v>
      </c>
      <c r="P23" s="28"/>
      <c r="Q23" s="28"/>
      <c r="R23" s="28"/>
      <c r="S23" s="28"/>
      <c r="T23" s="28"/>
      <c r="U23" s="28"/>
      <c r="V23" s="29"/>
    </row>
    <row r="24" spans="2:25">
      <c r="B24" s="17" t="str">
        <f>IFERROR(VLOOKUP(C24,[3]Sheet2!$C$3:$F$1223,2,0),"")</f>
        <v>Daegu</v>
      </c>
      <c r="C24" s="3">
        <v>38210</v>
      </c>
      <c r="D24" s="18" t="str">
        <f>IFERROR(VLOOKUP(C24,[3]Sheet2!$C$1:$F$1223,3,0),"")</f>
        <v>김태경</v>
      </c>
      <c r="E24" s="18" t="str">
        <f>IFERROR(VLOOKUP(C24,[3]Sheet2!$C$1:$F$1223,4,0),"")</f>
        <v>금오주류(합)</v>
      </c>
      <c r="F24" s="2" t="s">
        <v>2697</v>
      </c>
      <c r="G24" s="3" t="s">
        <v>2894</v>
      </c>
      <c r="H24" s="4" t="s">
        <v>2774</v>
      </c>
      <c r="I24" s="4" t="s">
        <v>2801</v>
      </c>
      <c r="J24" s="23" t="s">
        <v>2802</v>
      </c>
      <c r="K24" s="27"/>
      <c r="L24" s="28"/>
      <c r="M24" s="28"/>
      <c r="N24" s="28"/>
      <c r="O24" s="28">
        <v>3</v>
      </c>
      <c r="P24" s="28"/>
      <c r="Q24" s="28"/>
      <c r="R24" s="28"/>
      <c r="S24" s="28"/>
      <c r="T24" s="28"/>
      <c r="U24" s="28"/>
      <c r="V24" s="29"/>
    </row>
    <row r="25" spans="2:25">
      <c r="B25" s="17" t="str">
        <f>IFERROR(VLOOKUP(C25,[3]Sheet2!$C$3:$F$1223,2,0),"")</f>
        <v>Daegu</v>
      </c>
      <c r="C25" s="3">
        <v>38210</v>
      </c>
      <c r="D25" s="18" t="str">
        <f>IFERROR(VLOOKUP(C25,[3]Sheet2!$C$1:$F$1223,3,0),"")</f>
        <v>김태경</v>
      </c>
      <c r="E25" s="18" t="str">
        <f>IFERROR(VLOOKUP(C25,[3]Sheet2!$C$1:$F$1223,4,0),"")</f>
        <v>금오주류(합)</v>
      </c>
      <c r="F25" s="2" t="s">
        <v>2698</v>
      </c>
      <c r="G25" s="3" t="s">
        <v>2894</v>
      </c>
      <c r="H25" s="4" t="s">
        <v>2780</v>
      </c>
      <c r="I25" s="4" t="s">
        <v>2803</v>
      </c>
      <c r="J25" s="23" t="s">
        <v>2804</v>
      </c>
      <c r="K25" s="27"/>
      <c r="L25" s="28"/>
      <c r="M25" s="28"/>
      <c r="N25" s="28"/>
      <c r="O25" s="28">
        <v>1</v>
      </c>
      <c r="P25" s="28"/>
      <c r="Q25" s="28"/>
      <c r="R25" s="28"/>
      <c r="S25" s="28"/>
      <c r="T25" s="28"/>
      <c r="U25" s="28"/>
      <c r="V25" s="29"/>
    </row>
    <row r="26" spans="2:25">
      <c r="B26" s="17" t="str">
        <f>IFERROR(VLOOKUP(C26,[3]Sheet2!$C$3:$F$1223,2,0),"")</f>
        <v>Daegu</v>
      </c>
      <c r="C26" s="3">
        <v>33701</v>
      </c>
      <c r="D26" s="18" t="str">
        <f>IFERROR(VLOOKUP(C26,[3]Sheet2!$C$1:$F$1223,3,0),"")</f>
        <v>김태경</v>
      </c>
      <c r="E26" s="18" t="str">
        <f>IFERROR(VLOOKUP(C26,[3]Sheet2!$C$1:$F$1223,4,0),"")</f>
        <v>대림주류유통(주)</v>
      </c>
      <c r="F26" s="2" t="s">
        <v>2699</v>
      </c>
      <c r="G26" s="3" t="s">
        <v>2894</v>
      </c>
      <c r="H26" s="4" t="s">
        <v>2774</v>
      </c>
      <c r="I26" s="4" t="s">
        <v>2775</v>
      </c>
      <c r="J26" s="23" t="s">
        <v>2805</v>
      </c>
      <c r="K26" s="27"/>
      <c r="L26" s="28"/>
      <c r="M26" s="28"/>
      <c r="N26" s="28"/>
      <c r="O26" s="28">
        <v>7</v>
      </c>
      <c r="P26" s="28">
        <v>3</v>
      </c>
      <c r="Q26" s="28">
        <v>7</v>
      </c>
      <c r="R26" s="28">
        <v>5</v>
      </c>
      <c r="S26" s="28"/>
      <c r="T26" s="28"/>
      <c r="U26" s="28"/>
      <c r="V26" s="29"/>
    </row>
    <row r="27" spans="2:25">
      <c r="B27" s="17" t="str">
        <f>IFERROR(VLOOKUP(C27,[3]Sheet2!$C$3:$F$1223,2,0),"")</f>
        <v>Daegu</v>
      </c>
      <c r="C27" s="3">
        <v>33701</v>
      </c>
      <c r="D27" s="18" t="str">
        <f>IFERROR(VLOOKUP(C27,[3]Sheet2!$C$1:$F$1223,3,0),"")</f>
        <v>김태경</v>
      </c>
      <c r="E27" s="18" t="str">
        <f>IFERROR(VLOOKUP(C27,[3]Sheet2!$C$1:$F$1223,4,0),"")</f>
        <v>대림주류유통(주)</v>
      </c>
      <c r="F27" s="2" t="s">
        <v>2700</v>
      </c>
      <c r="G27" s="3" t="s">
        <v>2894</v>
      </c>
      <c r="H27" s="4" t="s">
        <v>2780</v>
      </c>
      <c r="I27" s="4" t="s">
        <v>2781</v>
      </c>
      <c r="J27" s="23" t="s">
        <v>2806</v>
      </c>
      <c r="K27" s="27"/>
      <c r="L27" s="28"/>
      <c r="M27" s="28"/>
      <c r="N27" s="28"/>
      <c r="O27" s="28">
        <v>5</v>
      </c>
      <c r="P27" s="28">
        <v>6</v>
      </c>
      <c r="Q27" s="28">
        <v>5</v>
      </c>
      <c r="R27" s="28">
        <v>7</v>
      </c>
      <c r="S27" s="28">
        <v>4</v>
      </c>
      <c r="T27" s="28">
        <v>7</v>
      </c>
      <c r="U27" s="28">
        <v>5</v>
      </c>
      <c r="V27" s="29">
        <v>8</v>
      </c>
      <c r="X27" s="31">
        <v>5</v>
      </c>
      <c r="Y27" s="32">
        <v>5</v>
      </c>
    </row>
    <row r="28" spans="2:25">
      <c r="B28" s="17" t="str">
        <f>IFERROR(VLOOKUP(C28,[3]Sheet2!$C$3:$F$1223,2,0),"")</f>
        <v>Daegu</v>
      </c>
      <c r="C28" s="3">
        <v>33701</v>
      </c>
      <c r="D28" s="18" t="str">
        <f>IFERROR(VLOOKUP(C28,[3]Sheet2!$C$1:$F$1223,3,0),"")</f>
        <v>김태경</v>
      </c>
      <c r="E28" s="18" t="str">
        <f>IFERROR(VLOOKUP(C28,[3]Sheet2!$C$1:$F$1223,4,0),"")</f>
        <v>대림주류유통(주)</v>
      </c>
      <c r="F28" s="2" t="s">
        <v>2701</v>
      </c>
      <c r="G28" s="3" t="s">
        <v>2894</v>
      </c>
      <c r="H28" s="4" t="s">
        <v>2780</v>
      </c>
      <c r="I28" s="4" t="s">
        <v>2807</v>
      </c>
      <c r="J28" s="23" t="s">
        <v>2808</v>
      </c>
      <c r="K28" s="27"/>
      <c r="L28" s="28"/>
      <c r="M28" s="28"/>
      <c r="N28" s="28"/>
      <c r="O28" s="28">
        <v>6</v>
      </c>
      <c r="P28" s="28">
        <v>2</v>
      </c>
      <c r="Q28" s="28">
        <v>3</v>
      </c>
      <c r="R28" s="28">
        <v>3</v>
      </c>
      <c r="S28" s="28">
        <v>1</v>
      </c>
      <c r="T28" s="28">
        <v>2</v>
      </c>
      <c r="U28" s="28">
        <v>2</v>
      </c>
      <c r="V28" s="29">
        <v>3</v>
      </c>
      <c r="X28" s="31">
        <v>2</v>
      </c>
      <c r="Y28" s="32">
        <v>1</v>
      </c>
    </row>
    <row r="29" spans="2:25">
      <c r="B29" s="17" t="str">
        <f>IFERROR(VLOOKUP(C29,[3]Sheet2!$C$3:$F$1223,2,0),"")</f>
        <v>Daegu</v>
      </c>
      <c r="C29" s="3">
        <v>33701</v>
      </c>
      <c r="D29" s="18" t="str">
        <f>IFERROR(VLOOKUP(C29,[3]Sheet2!$C$1:$F$1223,3,0),"")</f>
        <v>김태경</v>
      </c>
      <c r="E29" s="18" t="str">
        <f>IFERROR(VLOOKUP(C29,[3]Sheet2!$C$1:$F$1223,4,0),"")</f>
        <v>대림주류유통(주)</v>
      </c>
      <c r="F29" s="2" t="s">
        <v>2702</v>
      </c>
      <c r="G29" s="3" t="s">
        <v>2894</v>
      </c>
      <c r="H29" s="4" t="s">
        <v>2780</v>
      </c>
      <c r="I29" s="4" t="s">
        <v>2809</v>
      </c>
      <c r="J29" s="23" t="s">
        <v>2810</v>
      </c>
      <c r="K29" s="27"/>
      <c r="L29" s="28"/>
      <c r="M29" s="28"/>
      <c r="N29" s="28">
        <v>1</v>
      </c>
      <c r="O29" s="28">
        <v>3</v>
      </c>
      <c r="P29" s="28">
        <v>2</v>
      </c>
      <c r="Q29" s="28">
        <v>4</v>
      </c>
      <c r="R29" s="28">
        <v>3</v>
      </c>
      <c r="S29" s="28">
        <v>5</v>
      </c>
      <c r="T29" s="28">
        <v>3</v>
      </c>
      <c r="U29" s="28">
        <v>3</v>
      </c>
      <c r="V29" s="29">
        <v>3</v>
      </c>
      <c r="X29" s="31">
        <v>3</v>
      </c>
      <c r="Y29" s="32">
        <v>4</v>
      </c>
    </row>
    <row r="30" spans="2:25">
      <c r="B30" s="17" t="str">
        <f>IFERROR(VLOOKUP(C30,[3]Sheet2!$C$3:$F$1223,2,0),"")</f>
        <v>Daegu</v>
      </c>
      <c r="C30" s="3">
        <v>33719</v>
      </c>
      <c r="D30" s="18" t="str">
        <f>IFERROR(VLOOKUP(C30,[3]Sheet2!$C$1:$F$1223,3,0),"")</f>
        <v>김태경</v>
      </c>
      <c r="E30" s="18" t="str">
        <f>IFERROR(VLOOKUP(C30,[3]Sheet2!$C$1:$F$1223,4,0),"")</f>
        <v>국제주류판매(주)</v>
      </c>
      <c r="F30" s="2" t="s">
        <v>2703</v>
      </c>
      <c r="G30" s="3" t="s">
        <v>2894</v>
      </c>
      <c r="H30" s="4" t="s">
        <v>2780</v>
      </c>
      <c r="I30" s="4" t="s">
        <v>2781</v>
      </c>
      <c r="J30" s="23" t="s">
        <v>2811</v>
      </c>
      <c r="K30" s="27"/>
      <c r="L30" s="28"/>
      <c r="M30" s="28"/>
      <c r="N30" s="28"/>
      <c r="O30" s="28"/>
      <c r="P30" s="28">
        <v>6</v>
      </c>
      <c r="Q30" s="28">
        <v>12</v>
      </c>
      <c r="R30" s="28">
        <v>24</v>
      </c>
      <c r="S30" s="28">
        <v>36</v>
      </c>
      <c r="T30" s="28"/>
      <c r="U30" s="28"/>
      <c r="V30" s="29"/>
      <c r="X30" s="31">
        <v>36</v>
      </c>
    </row>
    <row r="31" spans="2:25">
      <c r="B31" s="17" t="str">
        <f>IFERROR(VLOOKUP(C31,[3]Sheet2!$C$3:$F$1223,2,0),"")</f>
        <v>Daegu</v>
      </c>
      <c r="C31" s="3">
        <v>33719</v>
      </c>
      <c r="D31" s="18" t="str">
        <f>IFERROR(VLOOKUP(C31,[3]Sheet2!$C$1:$F$1223,3,0),"")</f>
        <v>김태경</v>
      </c>
      <c r="E31" s="18" t="str">
        <f>IFERROR(VLOOKUP(C31,[3]Sheet2!$C$1:$F$1223,4,0),"")</f>
        <v>국제주류판매(주)</v>
      </c>
      <c r="F31" s="2" t="s">
        <v>2704</v>
      </c>
      <c r="G31" s="3" t="s">
        <v>2894</v>
      </c>
      <c r="H31" s="4" t="s">
        <v>2780</v>
      </c>
      <c r="I31" s="4" t="s">
        <v>2781</v>
      </c>
      <c r="J31" s="23" t="s">
        <v>2812</v>
      </c>
      <c r="K31" s="27"/>
      <c r="L31" s="28"/>
      <c r="M31" s="28"/>
      <c r="N31" s="28"/>
      <c r="O31" s="28"/>
      <c r="P31" s="28"/>
      <c r="Q31" s="28">
        <v>3</v>
      </c>
      <c r="R31" s="28">
        <v>6</v>
      </c>
      <c r="S31" s="28"/>
      <c r="T31" s="28"/>
      <c r="U31" s="28"/>
      <c r="V31" s="29"/>
    </row>
    <row r="32" spans="2:25">
      <c r="B32" s="17" t="str">
        <f>IFERROR(VLOOKUP(C32,[3]Sheet2!$C$3:$F$1223,2,0),"")</f>
        <v>Daegu</v>
      </c>
      <c r="C32" s="3">
        <v>33737</v>
      </c>
      <c r="D32" s="18" t="str">
        <f>IFERROR(VLOOKUP(C32,[3]Sheet2!$C$1:$F$1223,3,0),"")</f>
        <v>김태경</v>
      </c>
      <c r="E32" s="18" t="str">
        <f>IFERROR(VLOOKUP(C32,[3]Sheet2!$C$1:$F$1223,4,0),"")</f>
        <v>대성주류상사(주)</v>
      </c>
      <c r="F32" s="2" t="s">
        <v>2705</v>
      </c>
      <c r="G32" s="3" t="s">
        <v>2894</v>
      </c>
      <c r="H32" s="4" t="s">
        <v>2780</v>
      </c>
      <c r="I32" s="4" t="s">
        <v>2781</v>
      </c>
      <c r="J32" s="23" t="s">
        <v>2813</v>
      </c>
      <c r="K32" s="27"/>
      <c r="L32" s="28"/>
      <c r="M32" s="28"/>
      <c r="N32" s="28"/>
      <c r="O32" s="28"/>
      <c r="P32" s="28"/>
      <c r="Q32" s="28">
        <v>12</v>
      </c>
      <c r="R32" s="28">
        <v>6</v>
      </c>
      <c r="S32" s="28">
        <v>5</v>
      </c>
      <c r="T32" s="28">
        <v>10</v>
      </c>
      <c r="U32" s="28">
        <v>5</v>
      </c>
      <c r="V32" s="29">
        <v>5</v>
      </c>
      <c r="X32" s="31">
        <v>10</v>
      </c>
    </row>
    <row r="33" spans="2:25">
      <c r="B33" s="17" t="str">
        <f>IFERROR(VLOOKUP(C33,[3]Sheet2!$C$3:$F$1223,2,0),"")</f>
        <v>Daegu</v>
      </c>
      <c r="C33" s="3">
        <v>33692</v>
      </c>
      <c r="D33" s="18" t="str">
        <f>IFERROR(VLOOKUP(C33,[3]Sheet2!$C$1:$F$1223,3,0),"")</f>
        <v>김태경</v>
      </c>
      <c r="E33" s="18" t="str">
        <f>IFERROR(VLOOKUP(C33,[3]Sheet2!$C$1:$F$1223,4,0),"")</f>
        <v>오성주류판매(주)</v>
      </c>
      <c r="F33" s="2" t="s">
        <v>2706</v>
      </c>
      <c r="G33" s="3" t="s">
        <v>2894</v>
      </c>
      <c r="H33" s="4" t="s">
        <v>2780</v>
      </c>
      <c r="I33" s="4" t="s">
        <v>2814</v>
      </c>
      <c r="J33" s="23" t="s">
        <v>2815</v>
      </c>
      <c r="K33" s="27"/>
      <c r="L33" s="28"/>
      <c r="M33" s="28"/>
      <c r="N33" s="28"/>
      <c r="O33" s="28"/>
      <c r="P33" s="28"/>
      <c r="Q33" s="28">
        <v>1</v>
      </c>
      <c r="R33" s="28"/>
      <c r="S33" s="28"/>
      <c r="T33" s="28"/>
      <c r="U33" s="28"/>
      <c r="V33" s="29"/>
    </row>
    <row r="34" spans="2:25">
      <c r="B34" s="17" t="str">
        <f>IFERROR(VLOOKUP(C34,[3]Sheet2!$C$3:$F$1223,2,0),"")</f>
        <v>Daegu</v>
      </c>
      <c r="C34" s="3">
        <v>33723</v>
      </c>
      <c r="D34" s="18" t="str">
        <f>IFERROR(VLOOKUP(C34,[3]Sheet2!$C$1:$F$1223,3,0),"")</f>
        <v>김태경</v>
      </c>
      <c r="E34" s="18" t="str">
        <f>IFERROR(VLOOKUP(C34,[3]Sheet2!$C$1:$F$1223,4,0),"")</f>
        <v>대명상사(주)</v>
      </c>
      <c r="F34" s="2" t="s">
        <v>2707</v>
      </c>
      <c r="G34" s="3" t="s">
        <v>2894</v>
      </c>
      <c r="H34" s="4" t="s">
        <v>2816</v>
      </c>
      <c r="I34" s="4" t="s">
        <v>878</v>
      </c>
      <c r="J34" s="23" t="s">
        <v>2817</v>
      </c>
      <c r="K34" s="27"/>
      <c r="L34" s="28"/>
      <c r="M34" s="28"/>
      <c r="N34" s="28"/>
      <c r="O34" s="28"/>
      <c r="P34" s="28"/>
      <c r="Q34" s="28">
        <v>1</v>
      </c>
      <c r="R34" s="28"/>
      <c r="S34" s="28"/>
      <c r="T34" s="28"/>
      <c r="U34" s="28"/>
      <c r="V34" s="29"/>
    </row>
    <row r="35" spans="2:25">
      <c r="B35" s="17" t="str">
        <f>IFERROR(VLOOKUP(C35,[3]Sheet2!$C$3:$F$1223,2,0),"")</f>
        <v>Daegu</v>
      </c>
      <c r="C35" s="3">
        <v>33690</v>
      </c>
      <c r="D35" s="18" t="str">
        <f>IFERROR(VLOOKUP(C35,[3]Sheet2!$C$1:$F$1223,3,0),"")</f>
        <v>김태경</v>
      </c>
      <c r="E35" s="18" t="str">
        <f>IFERROR(VLOOKUP(C35,[3]Sheet2!$C$1:$F$1223,4,0),"")</f>
        <v>삼화산업(주)</v>
      </c>
      <c r="F35" s="2" t="s">
        <v>2708</v>
      </c>
      <c r="G35" s="3" t="s">
        <v>2894</v>
      </c>
      <c r="H35" s="4" t="s">
        <v>2816</v>
      </c>
      <c r="I35" s="4" t="s">
        <v>878</v>
      </c>
      <c r="J35" s="23" t="s">
        <v>2818</v>
      </c>
      <c r="K35" s="27"/>
      <c r="L35" s="28"/>
      <c r="M35" s="28"/>
      <c r="N35" s="28"/>
      <c r="O35" s="28"/>
      <c r="P35" s="28"/>
      <c r="Q35" s="28">
        <v>1</v>
      </c>
      <c r="R35" s="28"/>
      <c r="S35" s="28"/>
      <c r="T35" s="28"/>
      <c r="U35" s="28"/>
      <c r="V35" s="29"/>
    </row>
    <row r="36" spans="2:25">
      <c r="B36" s="17" t="str">
        <f>IFERROR(VLOOKUP(C36,[3]Sheet2!$C$3:$F$1223,2,0),"")</f>
        <v>Daegu</v>
      </c>
      <c r="C36" s="3">
        <v>80200</v>
      </c>
      <c r="D36" s="18" t="str">
        <f>IFERROR(VLOOKUP(C36,[3]Sheet2!$C$1:$F$1223,3,0),"")</f>
        <v>김태경</v>
      </c>
      <c r="E36" s="18" t="str">
        <f>IFERROR(VLOOKUP(C36,[3]Sheet2!$C$1:$F$1223,4,0),"")</f>
        <v>에이리커컴퍼니</v>
      </c>
      <c r="F36" s="2" t="s">
        <v>2709</v>
      </c>
      <c r="G36" s="3" t="s">
        <v>2894</v>
      </c>
      <c r="H36" s="4" t="s">
        <v>2816</v>
      </c>
      <c r="I36" s="4" t="s">
        <v>132</v>
      </c>
      <c r="J36" s="23" t="s">
        <v>2819</v>
      </c>
      <c r="K36" s="27"/>
      <c r="L36" s="28"/>
      <c r="M36" s="28"/>
      <c r="N36" s="28"/>
      <c r="O36" s="28"/>
      <c r="P36" s="28">
        <v>10</v>
      </c>
      <c r="Q36" s="28">
        <v>20</v>
      </c>
      <c r="R36" s="28"/>
      <c r="S36" s="28">
        <v>10</v>
      </c>
      <c r="T36" s="28">
        <v>10</v>
      </c>
      <c r="U36" s="28"/>
      <c r="V36" s="29"/>
    </row>
    <row r="37" spans="2:25">
      <c r="B37" s="17" t="str">
        <f>IFERROR(VLOOKUP(C37,[3]Sheet2!$C$3:$F$1223,2,0),"")</f>
        <v>Daegu</v>
      </c>
      <c r="C37" s="3">
        <v>86425</v>
      </c>
      <c r="D37" s="18" t="str">
        <f>IFERROR(VLOOKUP(C37,[3]Sheet2!$C$1:$F$1223,3,0),"")</f>
        <v>김태경</v>
      </c>
      <c r="E37" s="18" t="str">
        <f>IFERROR(VLOOKUP(C37,[3]Sheet2!$C$1:$F$1223,4,0),"")</f>
        <v>주식회사 태양수입주류</v>
      </c>
      <c r="F37" s="2" t="s">
        <v>2710</v>
      </c>
      <c r="G37" s="3" t="s">
        <v>2894</v>
      </c>
      <c r="H37" s="4" t="s">
        <v>2774</v>
      </c>
      <c r="I37" s="4" t="s">
        <v>878</v>
      </c>
      <c r="J37" s="23" t="s">
        <v>2820</v>
      </c>
      <c r="K37" s="27"/>
      <c r="L37" s="28"/>
      <c r="M37" s="28"/>
      <c r="N37" s="28"/>
      <c r="O37" s="28"/>
      <c r="P37" s="28"/>
      <c r="Q37" s="28"/>
      <c r="R37" s="28">
        <v>10</v>
      </c>
      <c r="S37" s="28"/>
      <c r="T37" s="28"/>
      <c r="U37" s="28"/>
      <c r="V37" s="29"/>
    </row>
    <row r="38" spans="2:25">
      <c r="B38" s="17" t="str">
        <f>IFERROR(VLOOKUP(C38,[3]Sheet2!$C$3:$F$1223,2,0),"")</f>
        <v>Daegu</v>
      </c>
      <c r="C38" s="3">
        <v>86425</v>
      </c>
      <c r="D38" s="18" t="str">
        <f>IFERROR(VLOOKUP(C38,[3]Sheet2!$C$1:$F$1223,3,0),"")</f>
        <v>김태경</v>
      </c>
      <c r="E38" s="18" t="str">
        <f>IFERROR(VLOOKUP(C38,[3]Sheet2!$C$1:$F$1223,4,0),"")</f>
        <v>주식회사 태양수입주류</v>
      </c>
      <c r="F38" s="2" t="s">
        <v>2711</v>
      </c>
      <c r="G38" s="3" t="s">
        <v>2894</v>
      </c>
      <c r="H38" s="4" t="s">
        <v>2821</v>
      </c>
      <c r="I38" s="4" t="s">
        <v>2781</v>
      </c>
      <c r="J38" s="23" t="s">
        <v>2822</v>
      </c>
      <c r="K38" s="27"/>
      <c r="L38" s="28"/>
      <c r="M38" s="28"/>
      <c r="N38" s="28"/>
      <c r="O38" s="28"/>
      <c r="P38" s="28"/>
      <c r="Q38" s="28"/>
      <c r="R38" s="28">
        <v>2</v>
      </c>
      <c r="S38" s="28">
        <v>6</v>
      </c>
      <c r="T38" s="28">
        <v>5</v>
      </c>
      <c r="U38" s="28"/>
      <c r="V38" s="29"/>
      <c r="Y38" s="32">
        <v>3</v>
      </c>
    </row>
    <row r="39" spans="2:25">
      <c r="B39" s="17" t="str">
        <f>IFERROR(VLOOKUP(C39,[3]Sheet2!$C$3:$F$1223,2,0),"")</f>
        <v>Daegu</v>
      </c>
      <c r="C39" s="3">
        <v>33719</v>
      </c>
      <c r="D39" s="18" t="str">
        <f>IFERROR(VLOOKUP(C39,[3]Sheet2!$C$1:$F$1223,3,0),"")</f>
        <v>김태경</v>
      </c>
      <c r="E39" s="18" t="str">
        <f>IFERROR(VLOOKUP(C39,[3]Sheet2!$C$1:$F$1223,4,0),"")</f>
        <v>국제주류판매(주)</v>
      </c>
      <c r="F39" s="2" t="s">
        <v>2712</v>
      </c>
      <c r="G39" s="3" t="s">
        <v>2894</v>
      </c>
      <c r="H39" s="4" t="s">
        <v>2821</v>
      </c>
      <c r="I39" s="4" t="s">
        <v>2781</v>
      </c>
      <c r="J39" s="23" t="s">
        <v>2823</v>
      </c>
      <c r="K39" s="27"/>
      <c r="L39" s="28"/>
      <c r="M39" s="28"/>
      <c r="N39" s="28"/>
      <c r="O39" s="28"/>
      <c r="P39" s="28"/>
      <c r="Q39" s="28"/>
      <c r="R39" s="28">
        <v>6</v>
      </c>
      <c r="S39" s="28"/>
      <c r="T39" s="28"/>
      <c r="U39" s="28"/>
      <c r="V39" s="29"/>
    </row>
    <row r="40" spans="2:25">
      <c r="B40" s="17" t="str">
        <f>IFERROR(VLOOKUP(C40,[3]Sheet2!$C$3:$F$1223,2,0),"")</f>
        <v>Daegu</v>
      </c>
      <c r="C40" s="3">
        <v>86425</v>
      </c>
      <c r="D40" s="18" t="str">
        <f>IFERROR(VLOOKUP(C40,[3]Sheet2!$C$1:$F$1223,3,0),"")</f>
        <v>김태경</v>
      </c>
      <c r="E40" s="18" t="str">
        <f>IFERROR(VLOOKUP(C40,[3]Sheet2!$C$1:$F$1223,4,0),"")</f>
        <v>주식회사 태양수입주류</v>
      </c>
      <c r="F40" s="2" t="s">
        <v>2713</v>
      </c>
      <c r="G40" s="3" t="s">
        <v>2894</v>
      </c>
      <c r="H40" s="4" t="s">
        <v>2821</v>
      </c>
      <c r="I40" s="4" t="s">
        <v>2807</v>
      </c>
      <c r="J40" s="23" t="s">
        <v>2824</v>
      </c>
      <c r="K40" s="27"/>
      <c r="L40" s="28"/>
      <c r="M40" s="28"/>
      <c r="N40" s="28"/>
      <c r="O40" s="28"/>
      <c r="P40" s="28"/>
      <c r="Q40" s="28"/>
      <c r="R40" s="28">
        <v>5</v>
      </c>
      <c r="S40" s="28">
        <v>5</v>
      </c>
      <c r="T40" s="28"/>
      <c r="U40" s="28"/>
      <c r="V40" s="29"/>
    </row>
    <row r="41" spans="2:25">
      <c r="B41" s="17" t="str">
        <f>IFERROR(VLOOKUP(C41,[3]Sheet2!$C$3:$F$1223,2,0),"")</f>
        <v>Daegu</v>
      </c>
      <c r="C41" s="3">
        <v>86425</v>
      </c>
      <c r="D41" s="18" t="str">
        <f>IFERROR(VLOOKUP(C41,[3]Sheet2!$C$1:$F$1223,3,0),"")</f>
        <v>김태경</v>
      </c>
      <c r="E41" s="18" t="str">
        <f>IFERROR(VLOOKUP(C41,[3]Sheet2!$C$1:$F$1223,4,0),"")</f>
        <v>주식회사 태양수입주류</v>
      </c>
      <c r="F41" s="2" t="s">
        <v>2714</v>
      </c>
      <c r="G41" s="3" t="s">
        <v>2894</v>
      </c>
      <c r="H41" s="4" t="s">
        <v>2774</v>
      </c>
      <c r="I41" s="4" t="s">
        <v>878</v>
      </c>
      <c r="J41" s="23" t="s">
        <v>2825</v>
      </c>
      <c r="K41" s="27"/>
      <c r="L41" s="28"/>
      <c r="M41" s="28"/>
      <c r="N41" s="28"/>
      <c r="O41" s="28"/>
      <c r="P41" s="28"/>
      <c r="Q41" s="28"/>
      <c r="R41" s="28">
        <v>10</v>
      </c>
      <c r="S41" s="28">
        <v>4</v>
      </c>
      <c r="T41" s="28">
        <v>6</v>
      </c>
      <c r="U41" s="28">
        <v>2</v>
      </c>
      <c r="V41" s="29">
        <v>5</v>
      </c>
      <c r="Y41" s="32">
        <v>2</v>
      </c>
    </row>
    <row r="42" spans="2:25">
      <c r="B42" s="17" t="str">
        <f>IFERROR(VLOOKUP(C42,[3]Sheet2!$C$3:$F$1223,2,0),"")</f>
        <v>Daegu</v>
      </c>
      <c r="C42" s="3">
        <v>86425</v>
      </c>
      <c r="D42" s="18" t="str">
        <f>IFERROR(VLOOKUP(C42,[3]Sheet2!$C$1:$F$1223,3,0),"")</f>
        <v>김태경</v>
      </c>
      <c r="E42" s="18" t="str">
        <f>IFERROR(VLOOKUP(C42,[3]Sheet2!$C$1:$F$1223,4,0),"")</f>
        <v>주식회사 태양수입주류</v>
      </c>
      <c r="F42" s="2" t="s">
        <v>2715</v>
      </c>
      <c r="G42" s="3" t="s">
        <v>2894</v>
      </c>
      <c r="H42" s="4" t="s">
        <v>2821</v>
      </c>
      <c r="I42" s="4" t="s">
        <v>2803</v>
      </c>
      <c r="J42" s="23" t="s">
        <v>2826</v>
      </c>
      <c r="K42" s="27"/>
      <c r="L42" s="28"/>
      <c r="M42" s="28"/>
      <c r="N42" s="28"/>
      <c r="O42" s="28"/>
      <c r="P42" s="28"/>
      <c r="Q42" s="28"/>
      <c r="R42" s="28">
        <v>3</v>
      </c>
      <c r="S42" s="28">
        <v>3</v>
      </c>
      <c r="T42" s="28">
        <v>1</v>
      </c>
      <c r="U42" s="28"/>
      <c r="V42" s="29">
        <v>1</v>
      </c>
    </row>
    <row r="43" spans="2:25">
      <c r="B43" s="17" t="str">
        <f>IFERROR(VLOOKUP(C43,[3]Sheet2!$C$3:$F$1223,2,0),"")</f>
        <v>Daegu</v>
      </c>
      <c r="C43" s="3">
        <v>86425</v>
      </c>
      <c r="D43" s="18" t="str">
        <f>IFERROR(VLOOKUP(C43,[3]Sheet2!$C$1:$F$1223,3,0),"")</f>
        <v>김태경</v>
      </c>
      <c r="E43" s="18" t="str">
        <f>IFERROR(VLOOKUP(C43,[3]Sheet2!$C$1:$F$1223,4,0),"")</f>
        <v>주식회사 태양수입주류</v>
      </c>
      <c r="F43" s="2" t="s">
        <v>2716</v>
      </c>
      <c r="G43" s="3" t="s">
        <v>2894</v>
      </c>
      <c r="H43" s="4" t="s">
        <v>2827</v>
      </c>
      <c r="I43" s="4" t="s">
        <v>2828</v>
      </c>
      <c r="J43" s="23" t="s">
        <v>2829</v>
      </c>
      <c r="K43" s="27"/>
      <c r="L43" s="28"/>
      <c r="M43" s="28"/>
      <c r="N43" s="28"/>
      <c r="O43" s="28"/>
      <c r="P43" s="28"/>
      <c r="Q43" s="28"/>
      <c r="R43" s="28">
        <v>3</v>
      </c>
      <c r="S43" s="28">
        <v>3</v>
      </c>
      <c r="T43" s="28"/>
      <c r="U43" s="28"/>
      <c r="V43" s="29"/>
    </row>
    <row r="44" spans="2:25">
      <c r="B44" s="17" t="str">
        <f>IFERROR(VLOOKUP(C44,[3]Sheet2!$C$3:$F$1223,2,0),"")</f>
        <v>Daegu</v>
      </c>
      <c r="C44" s="3">
        <v>86425</v>
      </c>
      <c r="D44" s="18" t="str">
        <f>IFERROR(VLOOKUP(C44,[3]Sheet2!$C$1:$F$1223,3,0),"")</f>
        <v>김태경</v>
      </c>
      <c r="E44" s="18" t="str">
        <f>IFERROR(VLOOKUP(C44,[3]Sheet2!$C$1:$F$1223,4,0),"")</f>
        <v>주식회사 태양수입주류</v>
      </c>
      <c r="F44" s="2" t="s">
        <v>2717</v>
      </c>
      <c r="G44" s="3" t="s">
        <v>2894</v>
      </c>
      <c r="H44" s="4" t="s">
        <v>2830</v>
      </c>
      <c r="I44" s="4" t="s">
        <v>132</v>
      </c>
      <c r="J44" s="23" t="s">
        <v>2831</v>
      </c>
      <c r="K44" s="27"/>
      <c r="L44" s="28"/>
      <c r="M44" s="28"/>
      <c r="N44" s="28"/>
      <c r="O44" s="28"/>
      <c r="P44" s="28"/>
      <c r="Q44" s="28"/>
      <c r="R44" s="28">
        <v>3</v>
      </c>
      <c r="S44" s="28"/>
      <c r="T44" s="28"/>
      <c r="U44" s="28">
        <v>2</v>
      </c>
      <c r="V44" s="29">
        <v>3</v>
      </c>
    </row>
    <row r="45" spans="2:25">
      <c r="B45" s="17" t="str">
        <f>IFERROR(VLOOKUP(C45,[3]Sheet2!$C$3:$F$1223,2,0),"")</f>
        <v>Daegu</v>
      </c>
      <c r="C45" s="3">
        <v>86425</v>
      </c>
      <c r="D45" s="18" t="str">
        <f>IFERROR(VLOOKUP(C45,[3]Sheet2!$C$1:$F$1223,3,0),"")</f>
        <v>김태경</v>
      </c>
      <c r="E45" s="18" t="str">
        <f>IFERROR(VLOOKUP(C45,[3]Sheet2!$C$1:$F$1223,4,0),"")</f>
        <v>주식회사 태양수입주류</v>
      </c>
      <c r="F45" s="2" t="s">
        <v>2718</v>
      </c>
      <c r="G45" s="3" t="s">
        <v>2894</v>
      </c>
      <c r="H45" s="4" t="s">
        <v>2830</v>
      </c>
      <c r="I45" s="4" t="s">
        <v>132</v>
      </c>
      <c r="J45" s="23" t="s">
        <v>2832</v>
      </c>
      <c r="K45" s="27"/>
      <c r="L45" s="28"/>
      <c r="M45" s="28"/>
      <c r="N45" s="28"/>
      <c r="O45" s="28"/>
      <c r="P45" s="28"/>
      <c r="Q45" s="28"/>
      <c r="R45" s="28">
        <v>1</v>
      </c>
      <c r="S45" s="28"/>
      <c r="T45" s="28"/>
      <c r="U45" s="28"/>
      <c r="V45" s="29"/>
    </row>
    <row r="46" spans="2:25">
      <c r="B46" s="17" t="str">
        <f>IFERROR(VLOOKUP(C46,[3]Sheet2!$C$3:$F$1223,2,0),"")</f>
        <v>Daegu</v>
      </c>
      <c r="C46" s="3">
        <v>86425</v>
      </c>
      <c r="D46" s="18" t="str">
        <f>IFERROR(VLOOKUP(C46,[3]Sheet2!$C$1:$F$1223,3,0),"")</f>
        <v>김태경</v>
      </c>
      <c r="E46" s="18" t="str">
        <f>IFERROR(VLOOKUP(C46,[3]Sheet2!$C$1:$F$1223,4,0),"")</f>
        <v>주식회사 태양수입주류</v>
      </c>
      <c r="F46" s="2" t="s">
        <v>2719</v>
      </c>
      <c r="G46" s="3" t="s">
        <v>2894</v>
      </c>
      <c r="H46" s="4" t="s">
        <v>2833</v>
      </c>
      <c r="I46" s="4" t="s">
        <v>2828</v>
      </c>
      <c r="J46" s="23" t="s">
        <v>2834</v>
      </c>
      <c r="K46" s="27"/>
      <c r="L46" s="28"/>
      <c r="M46" s="28"/>
      <c r="N46" s="28"/>
      <c r="O46" s="28"/>
      <c r="P46" s="28"/>
      <c r="Q46" s="28"/>
      <c r="R46" s="28">
        <v>2</v>
      </c>
      <c r="S46" s="28">
        <v>5</v>
      </c>
      <c r="T46" s="28"/>
      <c r="U46" s="28"/>
      <c r="V46" s="29"/>
      <c r="Y46" s="32">
        <v>3</v>
      </c>
    </row>
    <row r="47" spans="2:25">
      <c r="B47" s="17" t="str">
        <f>IFERROR(VLOOKUP(C47,[3]Sheet2!$C$3:$F$1223,2,0),"")</f>
        <v>Daegu</v>
      </c>
      <c r="C47" s="3">
        <v>86425</v>
      </c>
      <c r="D47" s="18" t="str">
        <f>IFERROR(VLOOKUP(C47,[3]Sheet2!$C$1:$F$1223,3,0),"")</f>
        <v>김태경</v>
      </c>
      <c r="E47" s="18" t="str">
        <f>IFERROR(VLOOKUP(C47,[3]Sheet2!$C$1:$F$1223,4,0),"")</f>
        <v>주식회사 태양수입주류</v>
      </c>
      <c r="F47" s="2" t="s">
        <v>2720</v>
      </c>
      <c r="G47" s="3" t="s">
        <v>2894</v>
      </c>
      <c r="H47" s="4" t="s">
        <v>2835</v>
      </c>
      <c r="I47" s="4" t="s">
        <v>2828</v>
      </c>
      <c r="J47" s="23" t="s">
        <v>2836</v>
      </c>
      <c r="K47" s="27"/>
      <c r="L47" s="28"/>
      <c r="M47" s="28"/>
      <c r="N47" s="28"/>
      <c r="O47" s="28"/>
      <c r="P47" s="28"/>
      <c r="Q47" s="28"/>
      <c r="R47" s="28">
        <v>5</v>
      </c>
      <c r="S47" s="28"/>
      <c r="T47" s="28">
        <v>10</v>
      </c>
      <c r="U47" s="28">
        <v>10</v>
      </c>
      <c r="V47" s="29"/>
      <c r="Y47" s="32">
        <v>5</v>
      </c>
    </row>
    <row r="48" spans="2:25">
      <c r="B48" s="17" t="str">
        <f>IFERROR(VLOOKUP(C48,[3]Sheet2!$C$3:$F$1223,2,0),"")</f>
        <v>Daegu</v>
      </c>
      <c r="C48" s="3">
        <v>33765</v>
      </c>
      <c r="D48" s="18" t="str">
        <f>IFERROR(VLOOKUP(C48,[3]Sheet2!$C$1:$F$1223,3,0),"")</f>
        <v>김태경</v>
      </c>
      <c r="E48" s="18" t="str">
        <f>IFERROR(VLOOKUP(C48,[3]Sheet2!$C$1:$F$1223,4,0),"")</f>
        <v>국제주류(주)</v>
      </c>
      <c r="F48" s="2" t="s">
        <v>2721</v>
      </c>
      <c r="G48" s="3" t="s">
        <v>2894</v>
      </c>
      <c r="H48" s="4" t="s">
        <v>2837</v>
      </c>
      <c r="I48" s="4" t="s">
        <v>2828</v>
      </c>
      <c r="J48" s="23" t="s">
        <v>2838</v>
      </c>
      <c r="K48" s="27"/>
      <c r="L48" s="28"/>
      <c r="M48" s="28"/>
      <c r="N48" s="28"/>
      <c r="O48" s="28"/>
      <c r="P48" s="28"/>
      <c r="Q48" s="28"/>
      <c r="R48" s="28">
        <v>1</v>
      </c>
      <c r="S48" s="28"/>
      <c r="T48" s="28"/>
      <c r="U48" s="28"/>
      <c r="V48" s="29"/>
    </row>
    <row r="49" spans="2:25">
      <c r="B49" s="17" t="str">
        <f>IFERROR(VLOOKUP(C49,[3]Sheet2!$C$3:$F$1223,2,0),"")</f>
        <v>Daegu</v>
      </c>
      <c r="C49" s="3">
        <v>86360</v>
      </c>
      <c r="D49" s="18" t="str">
        <f>IFERROR(VLOOKUP(C49,[3]Sheet2!$C$1:$F$1223,3,0),"")</f>
        <v>김태경</v>
      </c>
      <c r="E49" s="18" t="str">
        <f>IFERROR(VLOOKUP(C49,[3]Sheet2!$C$1:$F$1223,4,0),"")</f>
        <v>유한회사 에이스주류</v>
      </c>
      <c r="F49" s="2" t="s">
        <v>2722</v>
      </c>
      <c r="G49" s="3" t="s">
        <v>2894</v>
      </c>
      <c r="H49" s="4" t="s">
        <v>2816</v>
      </c>
      <c r="I49" s="4" t="s">
        <v>2775</v>
      </c>
      <c r="J49" s="23" t="s">
        <v>2839</v>
      </c>
      <c r="K49" s="27"/>
      <c r="L49" s="28"/>
      <c r="M49" s="28"/>
      <c r="N49" s="28"/>
      <c r="O49" s="28"/>
      <c r="P49" s="28"/>
      <c r="Q49" s="28">
        <v>1</v>
      </c>
      <c r="R49" s="28">
        <v>1</v>
      </c>
      <c r="S49" s="28">
        <v>1</v>
      </c>
      <c r="T49" s="28">
        <v>1</v>
      </c>
      <c r="U49" s="28"/>
      <c r="V49" s="29"/>
    </row>
    <row r="50" spans="2:25">
      <c r="B50" s="17" t="str">
        <f>IFERROR(VLOOKUP(C50,[3]Sheet2!$C$3:$F$1223,2,0),"")</f>
        <v>Daegu</v>
      </c>
      <c r="C50" s="3">
        <v>86360</v>
      </c>
      <c r="D50" s="18" t="str">
        <f>IFERROR(VLOOKUP(C50,[3]Sheet2!$C$1:$F$1223,3,0),"")</f>
        <v>김태경</v>
      </c>
      <c r="E50" s="18" t="str">
        <f>IFERROR(VLOOKUP(C50,[3]Sheet2!$C$1:$F$1223,4,0),"")</f>
        <v>유한회사 에이스주류</v>
      </c>
      <c r="F50" s="2" t="s">
        <v>2723</v>
      </c>
      <c r="G50" s="3" t="s">
        <v>2894</v>
      </c>
      <c r="H50" s="4" t="s">
        <v>2835</v>
      </c>
      <c r="I50" s="4" t="s">
        <v>2828</v>
      </c>
      <c r="J50" s="23" t="s">
        <v>2840</v>
      </c>
      <c r="K50" s="27"/>
      <c r="L50" s="28"/>
      <c r="M50" s="28"/>
      <c r="N50" s="28"/>
      <c r="O50" s="28"/>
      <c r="P50" s="28"/>
      <c r="Q50" s="28"/>
      <c r="R50" s="28"/>
      <c r="S50" s="28">
        <v>1</v>
      </c>
      <c r="T50" s="28"/>
      <c r="U50" s="28"/>
      <c r="V50" s="29"/>
    </row>
    <row r="51" spans="2:25">
      <c r="B51" s="17" t="str">
        <f>IFERROR(VLOOKUP(C51,[3]Sheet2!$C$3:$F$1223,2,0),"")</f>
        <v>Daegu</v>
      </c>
      <c r="C51" s="3">
        <v>86425</v>
      </c>
      <c r="D51" s="18" t="str">
        <f>IFERROR(VLOOKUP(C51,[3]Sheet2!$C$1:$F$1223,3,0),"")</f>
        <v>김태경</v>
      </c>
      <c r="E51" s="18" t="str">
        <f>IFERROR(VLOOKUP(C51,[3]Sheet2!$C$1:$F$1223,4,0),"")</f>
        <v>주식회사 태양수입주류</v>
      </c>
      <c r="F51" s="2" t="s">
        <v>2724</v>
      </c>
      <c r="G51" s="3" t="s">
        <v>2894</v>
      </c>
      <c r="H51" s="4" t="s">
        <v>2816</v>
      </c>
      <c r="I51" s="4" t="s">
        <v>2784</v>
      </c>
      <c r="J51" s="23" t="s">
        <v>2841</v>
      </c>
      <c r="K51" s="27"/>
      <c r="L51" s="28"/>
      <c r="M51" s="28"/>
      <c r="N51" s="28"/>
      <c r="O51" s="28"/>
      <c r="P51" s="28"/>
      <c r="Q51" s="28"/>
      <c r="R51" s="28"/>
      <c r="S51" s="28">
        <v>2</v>
      </c>
      <c r="T51" s="28"/>
      <c r="U51" s="28">
        <v>5</v>
      </c>
      <c r="V51" s="29"/>
      <c r="Y51" s="32">
        <v>4</v>
      </c>
    </row>
    <row r="52" spans="2:25">
      <c r="B52" s="17" t="str">
        <f>IFERROR(VLOOKUP(C52,[3]Sheet2!$C$3:$F$1223,2,0),"")</f>
        <v>Daegu</v>
      </c>
      <c r="C52" s="3">
        <v>86425</v>
      </c>
      <c r="D52" s="18" t="str">
        <f>IFERROR(VLOOKUP(C52,[3]Sheet2!$C$1:$F$1223,3,0),"")</f>
        <v>김태경</v>
      </c>
      <c r="E52" s="18" t="str">
        <f>IFERROR(VLOOKUP(C52,[3]Sheet2!$C$1:$F$1223,4,0),"")</f>
        <v>주식회사 태양수입주류</v>
      </c>
      <c r="F52" s="2" t="s">
        <v>2418</v>
      </c>
      <c r="G52" s="3" t="s">
        <v>2894</v>
      </c>
      <c r="H52" s="4" t="s">
        <v>2816</v>
      </c>
      <c r="I52" s="4" t="s">
        <v>2519</v>
      </c>
      <c r="J52" s="23" t="s">
        <v>2842</v>
      </c>
      <c r="K52" s="27"/>
      <c r="L52" s="28"/>
      <c r="M52" s="28"/>
      <c r="N52" s="28"/>
      <c r="O52" s="28"/>
      <c r="P52" s="28"/>
      <c r="Q52" s="28"/>
      <c r="R52" s="28"/>
      <c r="S52" s="28">
        <v>2</v>
      </c>
      <c r="T52" s="28"/>
      <c r="U52" s="28"/>
      <c r="V52" s="29">
        <v>2</v>
      </c>
      <c r="Y52" s="32">
        <v>2</v>
      </c>
    </row>
    <row r="53" spans="2:25">
      <c r="B53" s="17" t="str">
        <f>IFERROR(VLOOKUP(C53,[3]Sheet2!$C$3:$F$1223,2,0),"")</f>
        <v>Daegu</v>
      </c>
      <c r="C53" s="3">
        <v>86425</v>
      </c>
      <c r="D53" s="18" t="str">
        <f>IFERROR(VLOOKUP(C53,[3]Sheet2!$C$1:$F$1223,3,0),"")</f>
        <v>김태경</v>
      </c>
      <c r="E53" s="18" t="str">
        <f>IFERROR(VLOOKUP(C53,[3]Sheet2!$C$1:$F$1223,4,0),"")</f>
        <v>주식회사 태양수입주류</v>
      </c>
      <c r="F53" s="2" t="s">
        <v>2725</v>
      </c>
      <c r="G53" s="3" t="s">
        <v>2894</v>
      </c>
      <c r="H53" s="4" t="s">
        <v>2816</v>
      </c>
      <c r="I53" s="4" t="s">
        <v>2519</v>
      </c>
      <c r="J53" s="23" t="s">
        <v>2843</v>
      </c>
      <c r="K53" s="27"/>
      <c r="L53" s="28"/>
      <c r="M53" s="28"/>
      <c r="N53" s="28"/>
      <c r="O53" s="28"/>
      <c r="P53" s="28"/>
      <c r="Q53" s="28"/>
      <c r="R53" s="28"/>
      <c r="S53" s="28">
        <v>4</v>
      </c>
      <c r="T53" s="28">
        <v>4</v>
      </c>
      <c r="U53" s="28">
        <v>6</v>
      </c>
      <c r="V53" s="29"/>
      <c r="Y53" s="32">
        <v>6</v>
      </c>
    </row>
    <row r="54" spans="2:25">
      <c r="B54" s="17" t="str">
        <f>IFERROR(VLOOKUP(C54,[3]Sheet2!$C$3:$F$1223,2,0),"")</f>
        <v>Daegu</v>
      </c>
      <c r="C54" s="3">
        <v>86425</v>
      </c>
      <c r="D54" s="18" t="str">
        <f>IFERROR(VLOOKUP(C54,[3]Sheet2!$C$1:$F$1223,3,0),"")</f>
        <v>김태경</v>
      </c>
      <c r="E54" s="18" t="str">
        <f>IFERROR(VLOOKUP(C54,[3]Sheet2!$C$1:$F$1223,4,0),"")</f>
        <v>주식회사 태양수입주류</v>
      </c>
      <c r="F54" s="2" t="s">
        <v>2726</v>
      </c>
      <c r="G54" s="3" t="s">
        <v>2894</v>
      </c>
      <c r="H54" s="4" t="s">
        <v>2816</v>
      </c>
      <c r="I54" s="4" t="s">
        <v>2775</v>
      </c>
      <c r="J54" s="23" t="s">
        <v>2844</v>
      </c>
      <c r="K54" s="27"/>
      <c r="L54" s="28"/>
      <c r="M54" s="28"/>
      <c r="N54" s="28"/>
      <c r="O54" s="28"/>
      <c r="P54" s="28"/>
      <c r="Q54" s="28"/>
      <c r="R54" s="28"/>
      <c r="S54" s="28">
        <v>2</v>
      </c>
      <c r="T54" s="28"/>
      <c r="U54" s="28"/>
      <c r="V54" s="29"/>
    </row>
    <row r="55" spans="2:25">
      <c r="B55" s="17" t="str">
        <f>IFERROR(VLOOKUP(C55,[3]Sheet2!$C$3:$F$1223,2,0),"")</f>
        <v>Daegu</v>
      </c>
      <c r="C55" s="3">
        <v>35141</v>
      </c>
      <c r="D55" s="18" t="str">
        <f>IFERROR(VLOOKUP(C55,[3]Sheet2!$C$1:$F$1223,3,0),"")</f>
        <v>김태경</v>
      </c>
      <c r="E55" s="18" t="str">
        <f>IFERROR(VLOOKUP(C55,[3]Sheet2!$C$1:$F$1223,4,0),"")</f>
        <v>남부주류(주)</v>
      </c>
      <c r="F55" s="2" t="s">
        <v>2727</v>
      </c>
      <c r="G55" s="3" t="s">
        <v>2894</v>
      </c>
      <c r="H55" s="4" t="s">
        <v>2816</v>
      </c>
      <c r="I55" s="4" t="s">
        <v>878</v>
      </c>
      <c r="J55" s="23" t="s">
        <v>2845</v>
      </c>
      <c r="K55" s="27"/>
      <c r="L55" s="28"/>
      <c r="M55" s="28"/>
      <c r="N55" s="28"/>
      <c r="O55" s="28"/>
      <c r="P55" s="28"/>
      <c r="Q55" s="28"/>
      <c r="R55" s="28"/>
      <c r="S55" s="28">
        <v>2</v>
      </c>
      <c r="T55" s="28"/>
      <c r="U55" s="28"/>
      <c r="V55" s="29"/>
    </row>
    <row r="56" spans="2:25">
      <c r="B56" s="17" t="str">
        <f>IFERROR(VLOOKUP(C56,[3]Sheet2!$C$3:$F$1223,2,0),"")</f>
        <v>Daegu</v>
      </c>
      <c r="C56" s="3">
        <v>33701</v>
      </c>
      <c r="D56" s="18" t="str">
        <f>IFERROR(VLOOKUP(C56,[3]Sheet2!$C$1:$F$1223,3,0),"")</f>
        <v>김태경</v>
      </c>
      <c r="E56" s="18" t="str">
        <f>IFERROR(VLOOKUP(C56,[3]Sheet2!$C$1:$F$1223,4,0),"")</f>
        <v>대림주류유통(주)</v>
      </c>
      <c r="F56" s="2" t="s">
        <v>2728</v>
      </c>
      <c r="G56" s="3" t="s">
        <v>2894</v>
      </c>
      <c r="H56" s="4" t="s">
        <v>2816</v>
      </c>
      <c r="I56" s="4" t="s">
        <v>2775</v>
      </c>
      <c r="J56" s="23" t="s">
        <v>2846</v>
      </c>
      <c r="K56" s="27"/>
      <c r="L56" s="28"/>
      <c r="M56" s="28"/>
      <c r="N56" s="28"/>
      <c r="O56" s="28"/>
      <c r="P56" s="28"/>
      <c r="Q56" s="28"/>
      <c r="R56" s="28"/>
      <c r="S56" s="28">
        <v>2</v>
      </c>
      <c r="T56" s="28"/>
      <c r="U56" s="28"/>
      <c r="V56" s="29"/>
    </row>
    <row r="57" spans="2:25">
      <c r="B57" s="17" t="str">
        <f>IFERROR(VLOOKUP(C57,[3]Sheet2!$C$3:$F$1223,2,0),"")</f>
        <v>Daegu</v>
      </c>
      <c r="C57" s="3">
        <v>38210</v>
      </c>
      <c r="D57" s="18" t="str">
        <f>IFERROR(VLOOKUP(C57,[3]Sheet2!$C$1:$F$1223,3,0),"")</f>
        <v>김태경</v>
      </c>
      <c r="E57" s="18" t="str">
        <f>IFERROR(VLOOKUP(C57,[3]Sheet2!$C$1:$F$1223,4,0),"")</f>
        <v>금오주류(합)</v>
      </c>
      <c r="F57" s="2" t="s">
        <v>2729</v>
      </c>
      <c r="G57" s="3" t="s">
        <v>2894</v>
      </c>
      <c r="H57" s="4" t="s">
        <v>2847</v>
      </c>
      <c r="I57" s="4" t="s">
        <v>2519</v>
      </c>
      <c r="J57" s="23" t="s">
        <v>2848</v>
      </c>
      <c r="K57" s="27"/>
      <c r="L57" s="28"/>
      <c r="M57" s="28"/>
      <c r="N57" s="28"/>
      <c r="O57" s="28"/>
      <c r="P57" s="28"/>
      <c r="Q57" s="28"/>
      <c r="R57" s="28"/>
      <c r="S57" s="28">
        <v>1</v>
      </c>
      <c r="T57" s="28"/>
      <c r="U57" s="28"/>
      <c r="V57" s="29"/>
    </row>
    <row r="58" spans="2:25">
      <c r="B58" s="17" t="str">
        <f>IFERROR(VLOOKUP(C58,[3]Sheet2!$C$3:$F$1223,2,0),"")</f>
        <v>Daegu</v>
      </c>
      <c r="C58" s="3">
        <v>33765</v>
      </c>
      <c r="D58" s="18" t="str">
        <f>IFERROR(VLOOKUP(C58,[3]Sheet2!$C$1:$F$1223,3,0),"")</f>
        <v>김태경</v>
      </c>
      <c r="E58" s="18" t="str">
        <f>IFERROR(VLOOKUP(C58,[3]Sheet2!$C$1:$F$1223,4,0),"")</f>
        <v>국제주류(주)</v>
      </c>
      <c r="F58" s="2" t="s">
        <v>2730</v>
      </c>
      <c r="G58" s="3" t="s">
        <v>2894</v>
      </c>
      <c r="H58" s="4" t="s">
        <v>2847</v>
      </c>
      <c r="I58" s="4" t="s">
        <v>2507</v>
      </c>
      <c r="J58" s="23" t="s">
        <v>2849</v>
      </c>
      <c r="K58" s="27"/>
      <c r="L58" s="28"/>
      <c r="M58" s="28"/>
      <c r="N58" s="28"/>
      <c r="O58" s="28"/>
      <c r="P58" s="28"/>
      <c r="Q58" s="28"/>
      <c r="R58" s="28"/>
      <c r="S58" s="28"/>
      <c r="T58" s="28">
        <v>6</v>
      </c>
      <c r="U58" s="28"/>
      <c r="V58" s="29"/>
      <c r="X58" s="31">
        <v>6</v>
      </c>
    </row>
    <row r="59" spans="2:25">
      <c r="B59" s="17" t="str">
        <f>IFERROR(VLOOKUP(C59,[3]Sheet2!$C$3:$F$1223,2,0),"")</f>
        <v>Daegu</v>
      </c>
      <c r="C59" s="3">
        <v>86425</v>
      </c>
      <c r="D59" s="18" t="str">
        <f>IFERROR(VLOOKUP(C59,[3]Sheet2!$C$1:$F$1223,3,0),"")</f>
        <v>김태경</v>
      </c>
      <c r="E59" s="18" t="str">
        <f>IFERROR(VLOOKUP(C59,[3]Sheet2!$C$1:$F$1223,4,0),"")</f>
        <v>주식회사 태양수입주류</v>
      </c>
      <c r="F59" s="2" t="s">
        <v>2731</v>
      </c>
      <c r="G59" s="3" t="s">
        <v>2894</v>
      </c>
      <c r="H59" s="4" t="s">
        <v>2827</v>
      </c>
      <c r="I59" s="4"/>
      <c r="J59" s="23" t="s">
        <v>2850</v>
      </c>
      <c r="K59" s="27"/>
      <c r="L59" s="28"/>
      <c r="M59" s="28"/>
      <c r="N59" s="28"/>
      <c r="O59" s="28"/>
      <c r="P59" s="28"/>
      <c r="Q59" s="28"/>
      <c r="R59" s="28"/>
      <c r="S59" s="28"/>
      <c r="T59" s="28">
        <v>2</v>
      </c>
      <c r="U59" s="28">
        <v>1</v>
      </c>
      <c r="V59" s="29"/>
    </row>
    <row r="60" spans="2:25">
      <c r="B60" s="17" t="str">
        <f>IFERROR(VLOOKUP(C60,[3]Sheet2!$C$3:$F$1223,2,0),"")</f>
        <v>Daegu</v>
      </c>
      <c r="C60" s="3">
        <v>33766</v>
      </c>
      <c r="D60" s="18" t="str">
        <f>IFERROR(VLOOKUP(C60,[3]Sheet2!$C$1:$F$1223,3,0),"")</f>
        <v>김태경</v>
      </c>
      <c r="E60" s="18" t="str">
        <f>IFERROR(VLOOKUP(C60,[3]Sheet2!$C$1:$F$1223,4,0),"")</f>
        <v>삼풍기업(주)</v>
      </c>
      <c r="F60" s="2" t="s">
        <v>2732</v>
      </c>
      <c r="G60" s="3" t="s">
        <v>2894</v>
      </c>
      <c r="H60" s="4" t="s">
        <v>2847</v>
      </c>
      <c r="I60" s="4" t="s">
        <v>2507</v>
      </c>
      <c r="J60" s="23" t="s">
        <v>2851</v>
      </c>
      <c r="K60" s="27"/>
      <c r="L60" s="28"/>
      <c r="M60" s="28"/>
      <c r="N60" s="28"/>
      <c r="O60" s="28"/>
      <c r="P60" s="28"/>
      <c r="Q60" s="28"/>
      <c r="R60" s="28"/>
      <c r="S60" s="28"/>
      <c r="T60" s="28">
        <v>3</v>
      </c>
      <c r="U60" s="28"/>
      <c r="V60" s="29"/>
    </row>
    <row r="61" spans="2:25">
      <c r="B61" s="17" t="str">
        <f>IFERROR(VLOOKUP(C61,[3]Sheet2!$C$3:$F$1223,2,0),"")</f>
        <v>Daegu</v>
      </c>
      <c r="C61" s="3">
        <v>33765</v>
      </c>
      <c r="D61" s="18" t="str">
        <f>IFERROR(VLOOKUP(C61,[3]Sheet2!$C$1:$F$1223,3,0),"")</f>
        <v>김태경</v>
      </c>
      <c r="E61" s="18" t="str">
        <f>IFERROR(VLOOKUP(C61,[3]Sheet2!$C$1:$F$1223,4,0),"")</f>
        <v>국제주류(주)</v>
      </c>
      <c r="F61" s="2" t="s">
        <v>2733</v>
      </c>
      <c r="G61" s="3" t="s">
        <v>2894</v>
      </c>
      <c r="H61" s="4" t="s">
        <v>2847</v>
      </c>
      <c r="I61" s="4" t="s">
        <v>2507</v>
      </c>
      <c r="J61" s="23" t="s">
        <v>2852</v>
      </c>
      <c r="K61" s="27"/>
      <c r="L61" s="28"/>
      <c r="M61" s="28"/>
      <c r="N61" s="28"/>
      <c r="O61" s="28"/>
      <c r="P61" s="28"/>
      <c r="Q61" s="28"/>
      <c r="R61" s="28"/>
      <c r="S61" s="28"/>
      <c r="T61" s="28">
        <v>1</v>
      </c>
      <c r="U61" s="28">
        <v>1</v>
      </c>
      <c r="V61" s="29"/>
    </row>
    <row r="62" spans="2:25">
      <c r="B62" s="17" t="str">
        <f>IFERROR(VLOOKUP(C62,[3]Sheet2!$C$3:$F$1223,2,0),"")</f>
        <v>Daegu</v>
      </c>
      <c r="C62" s="3">
        <v>33737</v>
      </c>
      <c r="D62" s="18" t="str">
        <f>IFERROR(VLOOKUP(C62,[3]Sheet2!$C$1:$F$1223,3,0),"")</f>
        <v>김태경</v>
      </c>
      <c r="E62" s="18" t="str">
        <f>IFERROR(VLOOKUP(C62,[3]Sheet2!$C$1:$F$1223,4,0),"")</f>
        <v>대성주류상사(주)</v>
      </c>
      <c r="F62" s="2" t="s">
        <v>2734</v>
      </c>
      <c r="G62" s="3" t="s">
        <v>2894</v>
      </c>
      <c r="H62" s="4" t="s">
        <v>2780</v>
      </c>
      <c r="I62" s="4" t="s">
        <v>2781</v>
      </c>
      <c r="J62" s="23" t="s">
        <v>2853</v>
      </c>
      <c r="K62" s="27"/>
      <c r="L62" s="28"/>
      <c r="M62" s="28"/>
      <c r="N62" s="28"/>
      <c r="O62" s="28"/>
      <c r="P62" s="28"/>
      <c r="Q62" s="28"/>
      <c r="R62" s="28"/>
      <c r="S62" s="28"/>
      <c r="T62" s="28"/>
      <c r="U62" s="28">
        <v>1</v>
      </c>
      <c r="V62" s="29"/>
    </row>
    <row r="63" spans="2:25">
      <c r="B63" s="17" t="str">
        <f>IFERROR(VLOOKUP(C63,[4]Sheet2!$C$3:$F$1223,2,0),"")</f>
        <v>Daegu</v>
      </c>
      <c r="C63" s="3">
        <v>33698</v>
      </c>
      <c r="D63" s="18" t="str">
        <f>IFERROR(VLOOKUP(C63,[4]Sheet2!$C$1:$F$1223,3,0),"")</f>
        <v>김태경</v>
      </c>
      <c r="E63" s="18" t="str">
        <f>IFERROR(VLOOKUP(C63,[4]Sheet2!$C$1:$F$1223,4,0),"")</f>
        <v>부국(주)</v>
      </c>
      <c r="F63" s="2" t="s">
        <v>2735</v>
      </c>
      <c r="G63" s="3" t="s">
        <v>2895</v>
      </c>
      <c r="H63" s="4" t="s">
        <v>2774</v>
      </c>
      <c r="I63" s="4" t="s">
        <v>2784</v>
      </c>
      <c r="J63" s="23" t="s">
        <v>2854</v>
      </c>
      <c r="K63" s="27"/>
      <c r="L63" s="28"/>
      <c r="M63" s="28"/>
      <c r="N63" s="28">
        <v>3</v>
      </c>
      <c r="O63" s="28"/>
      <c r="P63" s="28"/>
      <c r="Q63" s="28"/>
      <c r="R63" s="28"/>
      <c r="S63" s="28"/>
      <c r="T63" s="28"/>
      <c r="U63" s="28"/>
      <c r="V63" s="29"/>
    </row>
    <row r="64" spans="2:25">
      <c r="B64" s="17" t="str">
        <f>IFERROR(VLOOKUP(C64,[4]Sheet2!$C$3:$F$1223,2,0),"")</f>
        <v>Daegu</v>
      </c>
      <c r="C64" s="3">
        <v>34426</v>
      </c>
      <c r="D64" s="18" t="str">
        <f>IFERROR(VLOOKUP(C64,[4]Sheet2!$C$1:$F$1223,3,0),"")</f>
        <v>김태경</v>
      </c>
      <c r="E64" s="18" t="str">
        <f>IFERROR(VLOOKUP(C64,[4]Sheet2!$C$1:$F$1223,4,0),"")</f>
        <v>두성주류(주)</v>
      </c>
      <c r="F64" s="2" t="s">
        <v>2736</v>
      </c>
      <c r="G64" s="3" t="s">
        <v>2895</v>
      </c>
      <c r="H64" s="4" t="s">
        <v>2774</v>
      </c>
      <c r="I64" s="4" t="s">
        <v>2775</v>
      </c>
      <c r="J64" s="23" t="s">
        <v>2855</v>
      </c>
      <c r="K64" s="27"/>
      <c r="L64" s="28"/>
      <c r="M64" s="28"/>
      <c r="N64" s="28">
        <v>2</v>
      </c>
      <c r="O64" s="28">
        <v>2</v>
      </c>
      <c r="P64" s="28">
        <v>2</v>
      </c>
      <c r="Q64" s="28"/>
      <c r="R64" s="28"/>
      <c r="S64" s="28"/>
      <c r="T64" s="28"/>
      <c r="U64" s="28"/>
      <c r="V64" s="29"/>
    </row>
    <row r="65" spans="2:25">
      <c r="B65" s="17" t="str">
        <f>IFERROR(VLOOKUP(C65,[4]Sheet2!$C$3:$F$1223,2,0),"")</f>
        <v>Daegu</v>
      </c>
      <c r="C65" s="3">
        <v>34426</v>
      </c>
      <c r="D65" s="18" t="str">
        <f>IFERROR(VLOOKUP(C65,[4]Sheet2!$C$1:$F$1223,3,0),"")</f>
        <v>김태경</v>
      </c>
      <c r="E65" s="18" t="str">
        <f>IFERROR(VLOOKUP(C65,[4]Sheet2!$C$1:$F$1223,4,0),"")</f>
        <v>두성주류(주)</v>
      </c>
      <c r="F65" s="2" t="s">
        <v>2737</v>
      </c>
      <c r="G65" s="3" t="s">
        <v>2895</v>
      </c>
      <c r="H65" s="4" t="s">
        <v>2774</v>
      </c>
      <c r="I65" s="4" t="s">
        <v>2775</v>
      </c>
      <c r="J65" s="23" t="s">
        <v>2856</v>
      </c>
      <c r="K65" s="27"/>
      <c r="L65" s="28"/>
      <c r="M65" s="28"/>
      <c r="N65" s="28">
        <v>1</v>
      </c>
      <c r="O65" s="28">
        <v>2</v>
      </c>
      <c r="P65" s="28"/>
      <c r="Q65" s="28"/>
      <c r="R65" s="28"/>
      <c r="S65" s="28"/>
      <c r="T65" s="28"/>
      <c r="U65" s="28"/>
      <c r="V65" s="29"/>
    </row>
    <row r="66" spans="2:25">
      <c r="B66" s="17" t="str">
        <f>IFERROR(VLOOKUP(C66,[4]Sheet2!$C$3:$F$1223,2,0),"")</f>
        <v>Daegu</v>
      </c>
      <c r="C66" s="3">
        <v>34426</v>
      </c>
      <c r="D66" s="18" t="str">
        <f>IFERROR(VLOOKUP(C66,[4]Sheet2!$C$1:$F$1223,3,0),"")</f>
        <v>김태경</v>
      </c>
      <c r="E66" s="18" t="str">
        <f>IFERROR(VLOOKUP(C66,[4]Sheet2!$C$1:$F$1223,4,0),"")</f>
        <v>두성주류(주)</v>
      </c>
      <c r="F66" s="2" t="s">
        <v>2738</v>
      </c>
      <c r="G66" s="3" t="s">
        <v>2895</v>
      </c>
      <c r="H66" s="4" t="s">
        <v>2774</v>
      </c>
      <c r="I66" s="4" t="s">
        <v>2507</v>
      </c>
      <c r="J66" s="23" t="s">
        <v>2857</v>
      </c>
      <c r="K66" s="27"/>
      <c r="L66" s="28"/>
      <c r="M66" s="28"/>
      <c r="N66" s="28">
        <v>1</v>
      </c>
      <c r="O66" s="28"/>
      <c r="P66" s="28"/>
      <c r="Q66" s="28"/>
      <c r="R66" s="28"/>
      <c r="S66" s="28"/>
      <c r="T66" s="28"/>
      <c r="U66" s="28"/>
      <c r="V66" s="29"/>
    </row>
    <row r="67" spans="2:25">
      <c r="B67" s="17" t="str">
        <f>IFERROR(VLOOKUP(C67,[4]Sheet2!$C$3:$F$1223,2,0),"")</f>
        <v>Daegu</v>
      </c>
      <c r="C67" s="3">
        <v>33698</v>
      </c>
      <c r="D67" s="18" t="str">
        <f>IFERROR(VLOOKUP(C67,[4]Sheet2!$C$1:$F$1223,3,0),"")</f>
        <v>김태경</v>
      </c>
      <c r="E67" s="18" t="str">
        <f>IFERROR(VLOOKUP(C67,[4]Sheet2!$C$1:$F$1223,4,0),"")</f>
        <v>부국(주)</v>
      </c>
      <c r="F67" s="2" t="s">
        <v>2739</v>
      </c>
      <c r="G67" s="3" t="s">
        <v>2895</v>
      </c>
      <c r="H67" s="4" t="s">
        <v>2774</v>
      </c>
      <c r="I67" s="4" t="s">
        <v>2507</v>
      </c>
      <c r="J67" s="23" t="s">
        <v>2858</v>
      </c>
      <c r="K67" s="27"/>
      <c r="L67" s="28"/>
      <c r="M67" s="28"/>
      <c r="N67" s="28">
        <v>5</v>
      </c>
      <c r="O67" s="28">
        <v>5</v>
      </c>
      <c r="P67" s="28"/>
      <c r="Q67" s="28"/>
      <c r="R67" s="28"/>
      <c r="S67" s="28"/>
      <c r="T67" s="28"/>
      <c r="U67" s="28"/>
      <c r="V67" s="29"/>
    </row>
    <row r="68" spans="2:25">
      <c r="B68" s="17" t="str">
        <f>IFERROR(VLOOKUP(C68,[4]Sheet2!$C$3:$F$1223,2,0),"")</f>
        <v>Daegu</v>
      </c>
      <c r="C68" s="3">
        <v>33698</v>
      </c>
      <c r="D68" s="18" t="str">
        <f>IFERROR(VLOOKUP(C68,[4]Sheet2!$C$1:$F$1223,3,0),"")</f>
        <v>김태경</v>
      </c>
      <c r="E68" s="18" t="str">
        <f>IFERROR(VLOOKUP(C68,[4]Sheet2!$C$1:$F$1223,4,0),"")</f>
        <v>부국(주)</v>
      </c>
      <c r="F68" s="2" t="s">
        <v>2740</v>
      </c>
      <c r="G68" s="3" t="s">
        <v>2895</v>
      </c>
      <c r="H68" s="4" t="s">
        <v>2774</v>
      </c>
      <c r="I68" s="4" t="s">
        <v>2784</v>
      </c>
      <c r="J68" s="23" t="s">
        <v>2859</v>
      </c>
      <c r="K68" s="27"/>
      <c r="L68" s="28"/>
      <c r="M68" s="28"/>
      <c r="N68" s="28">
        <v>5</v>
      </c>
      <c r="O68" s="28">
        <v>5</v>
      </c>
      <c r="P68" s="28"/>
      <c r="Q68" s="28"/>
      <c r="R68" s="28"/>
      <c r="S68" s="28"/>
      <c r="T68" s="28"/>
      <c r="U68" s="28"/>
      <c r="V68" s="29"/>
    </row>
    <row r="69" spans="2:25">
      <c r="B69" s="17" t="str">
        <f>IFERROR(VLOOKUP(C69,[4]Sheet2!$C$3:$F$1223,2,0),"")</f>
        <v>Daegu</v>
      </c>
      <c r="C69" s="3">
        <v>33723</v>
      </c>
      <c r="D69" s="18" t="str">
        <f>IFERROR(VLOOKUP(C69,[4]Sheet2!$C$1:$F$1223,3,0),"")</f>
        <v>김태경</v>
      </c>
      <c r="E69" s="18" t="str">
        <f>IFERROR(VLOOKUP(C69,[4]Sheet2!$C$1:$F$1223,4,0),"")</f>
        <v>대명상사(주)</v>
      </c>
      <c r="F69" s="2" t="s">
        <v>2741</v>
      </c>
      <c r="G69" s="3" t="s">
        <v>2895</v>
      </c>
      <c r="H69" s="4" t="s">
        <v>2774</v>
      </c>
      <c r="I69" s="4" t="s">
        <v>2507</v>
      </c>
      <c r="J69" s="23" t="s">
        <v>2860</v>
      </c>
      <c r="K69" s="27"/>
      <c r="L69" s="28"/>
      <c r="M69" s="28"/>
      <c r="N69" s="28">
        <v>1</v>
      </c>
      <c r="O69" s="28"/>
      <c r="P69" s="28"/>
      <c r="Q69" s="28"/>
      <c r="R69" s="28"/>
      <c r="S69" s="28"/>
      <c r="T69" s="28"/>
      <c r="U69" s="28"/>
      <c r="V69" s="29"/>
    </row>
    <row r="70" spans="2:25">
      <c r="B70" s="17" t="str">
        <f>IFERROR(VLOOKUP(C70,[4]Sheet2!$C$3:$F$1223,2,0),"")</f>
        <v>Daegu</v>
      </c>
      <c r="C70" s="3">
        <v>33719</v>
      </c>
      <c r="D70" s="18" t="str">
        <f>IFERROR(VLOOKUP(C70,[4]Sheet2!$C$1:$F$1223,3,0),"")</f>
        <v>김태경</v>
      </c>
      <c r="E70" s="18" t="str">
        <f>IFERROR(VLOOKUP(C70,[4]Sheet2!$C$1:$F$1223,4,0),"")</f>
        <v>국제주류판매(주)</v>
      </c>
      <c r="F70" s="2" t="s">
        <v>2742</v>
      </c>
      <c r="G70" s="3" t="s">
        <v>2895</v>
      </c>
      <c r="H70" s="4" t="s">
        <v>2780</v>
      </c>
      <c r="I70" s="4" t="s">
        <v>2861</v>
      </c>
      <c r="J70" s="23" t="s">
        <v>2862</v>
      </c>
      <c r="K70" s="27"/>
      <c r="L70" s="28"/>
      <c r="M70" s="28"/>
      <c r="N70" s="28"/>
      <c r="O70" s="28">
        <v>12</v>
      </c>
      <c r="P70" s="28"/>
      <c r="Q70" s="28">
        <v>6</v>
      </c>
      <c r="R70" s="28"/>
      <c r="S70" s="28">
        <v>6</v>
      </c>
      <c r="T70" s="28"/>
      <c r="U70" s="28"/>
      <c r="V70" s="29"/>
      <c r="X70" s="31">
        <v>6</v>
      </c>
    </row>
    <row r="71" spans="2:25">
      <c r="B71" s="17" t="str">
        <f>IFERROR(VLOOKUP(C71,[4]Sheet2!$C$3:$F$1223,2,0),"")</f>
        <v>Daegu</v>
      </c>
      <c r="C71" s="3">
        <v>33719</v>
      </c>
      <c r="D71" s="18" t="str">
        <f>IFERROR(VLOOKUP(C71,[4]Sheet2!$C$1:$F$1223,3,0),"")</f>
        <v>김태경</v>
      </c>
      <c r="E71" s="18" t="str">
        <f>IFERROR(VLOOKUP(C71,[4]Sheet2!$C$1:$F$1223,4,0),"")</f>
        <v>국제주류판매(주)</v>
      </c>
      <c r="F71" s="2" t="s">
        <v>2743</v>
      </c>
      <c r="G71" s="3" t="s">
        <v>2895</v>
      </c>
      <c r="H71" s="4" t="s">
        <v>2780</v>
      </c>
      <c r="I71" s="4" t="s">
        <v>2861</v>
      </c>
      <c r="J71" s="23" t="s">
        <v>2863</v>
      </c>
      <c r="K71" s="27"/>
      <c r="L71" s="28"/>
      <c r="M71" s="28"/>
      <c r="N71" s="28"/>
      <c r="O71" s="28">
        <v>6</v>
      </c>
      <c r="P71" s="28"/>
      <c r="Q71" s="28"/>
      <c r="R71" s="28"/>
      <c r="S71" s="28"/>
      <c r="T71" s="28"/>
      <c r="U71" s="28"/>
      <c r="V71" s="29"/>
    </row>
    <row r="72" spans="2:25">
      <c r="B72" s="17" t="str">
        <f>IFERROR(VLOOKUP(C72,[4]Sheet2!$C$3:$F$1223,2,0),"")</f>
        <v>Daegu</v>
      </c>
      <c r="C72" s="3">
        <v>33737</v>
      </c>
      <c r="D72" s="18" t="str">
        <f>IFERROR(VLOOKUP(C72,[4]Sheet2!$C$1:$F$1223,3,0),"")</f>
        <v>김태경</v>
      </c>
      <c r="E72" s="18" t="str">
        <f>IFERROR(VLOOKUP(C72,[4]Sheet2!$C$1:$F$1223,4,0),"")</f>
        <v>대성주류상사(주)</v>
      </c>
      <c r="F72" s="2" t="s">
        <v>2744</v>
      </c>
      <c r="G72" s="3" t="s">
        <v>2895</v>
      </c>
      <c r="H72" s="4" t="s">
        <v>2780</v>
      </c>
      <c r="I72" s="4" t="s">
        <v>2861</v>
      </c>
      <c r="J72" s="23" t="s">
        <v>2864</v>
      </c>
      <c r="K72" s="27"/>
      <c r="L72" s="28"/>
      <c r="M72" s="28"/>
      <c r="N72" s="28"/>
      <c r="O72" s="28">
        <v>5</v>
      </c>
      <c r="P72" s="28"/>
      <c r="Q72" s="28"/>
      <c r="R72" s="28"/>
      <c r="S72" s="28"/>
      <c r="T72" s="28"/>
      <c r="U72" s="28"/>
      <c r="V72" s="29"/>
    </row>
    <row r="73" spans="2:25">
      <c r="B73" s="17" t="str">
        <f>IFERROR(VLOOKUP(C73,[4]Sheet2!$C$3:$F$1223,2,0),"")</f>
        <v>Daegu</v>
      </c>
      <c r="C73" s="3">
        <v>33701</v>
      </c>
      <c r="D73" s="18" t="str">
        <f>IFERROR(VLOOKUP(C73,[4]Sheet2!$C$1:$F$1223,3,0),"")</f>
        <v>김태경</v>
      </c>
      <c r="E73" s="18" t="str">
        <f>IFERROR(VLOOKUP(C73,[4]Sheet2!$C$1:$F$1223,4,0),"")</f>
        <v>대림주류유통(주)</v>
      </c>
      <c r="F73" s="2" t="s">
        <v>2745</v>
      </c>
      <c r="G73" s="3" t="s">
        <v>2895</v>
      </c>
      <c r="H73" s="4" t="s">
        <v>2774</v>
      </c>
      <c r="I73" s="4" t="s">
        <v>2784</v>
      </c>
      <c r="J73" s="23" t="s">
        <v>2865</v>
      </c>
      <c r="K73" s="27"/>
      <c r="L73" s="28"/>
      <c r="M73" s="28"/>
      <c r="N73" s="28">
        <v>2</v>
      </c>
      <c r="O73" s="28">
        <v>1</v>
      </c>
      <c r="P73" s="28">
        <v>1</v>
      </c>
      <c r="Q73" s="28">
        <v>2</v>
      </c>
      <c r="R73" s="28">
        <v>2</v>
      </c>
      <c r="S73" s="28">
        <v>2</v>
      </c>
      <c r="T73" s="28"/>
      <c r="U73" s="28"/>
      <c r="V73" s="29"/>
    </row>
    <row r="74" spans="2:25">
      <c r="B74" s="17" t="str">
        <f>IFERROR(VLOOKUP(C74,[4]Sheet2!$C$3:$F$1223,2,0),"")</f>
        <v>Daegu</v>
      </c>
      <c r="C74" s="3">
        <v>33692</v>
      </c>
      <c r="D74" s="18" t="str">
        <f>IFERROR(VLOOKUP(C74,[4]Sheet2!$C$1:$F$1223,3,0),"")</f>
        <v>김태경</v>
      </c>
      <c r="E74" s="18" t="str">
        <f>IFERROR(VLOOKUP(C74,[4]Sheet2!$C$1:$F$1223,4,0),"")</f>
        <v>오성주류판매(주)</v>
      </c>
      <c r="F74" s="2" t="s">
        <v>2746</v>
      </c>
      <c r="G74" s="3" t="s">
        <v>2895</v>
      </c>
      <c r="H74" s="4" t="s">
        <v>2774</v>
      </c>
      <c r="I74" s="4" t="s">
        <v>2784</v>
      </c>
      <c r="J74" s="23" t="s">
        <v>2866</v>
      </c>
      <c r="K74" s="27"/>
      <c r="L74" s="28"/>
      <c r="M74" s="28"/>
      <c r="N74" s="28">
        <v>1</v>
      </c>
      <c r="O74" s="28"/>
      <c r="P74" s="28"/>
      <c r="Q74" s="28"/>
      <c r="R74" s="28"/>
      <c r="S74" s="28"/>
      <c r="T74" s="28"/>
      <c r="U74" s="28"/>
      <c r="V74" s="34"/>
      <c r="Y74" s="32">
        <v>1</v>
      </c>
    </row>
    <row r="75" spans="2:25">
      <c r="B75" s="17" t="str">
        <f>IFERROR(VLOOKUP(C75,[4]Sheet2!$C$3:$F$1223,2,0),"")</f>
        <v>Daegu</v>
      </c>
      <c r="C75" s="3">
        <v>33692</v>
      </c>
      <c r="D75" s="18" t="str">
        <f>IFERROR(VLOOKUP(C75,[4]Sheet2!$C$1:$F$1223,3,0),"")</f>
        <v>김태경</v>
      </c>
      <c r="E75" s="18" t="str">
        <f>IFERROR(VLOOKUP(C75,[4]Sheet2!$C$1:$F$1223,4,0),"")</f>
        <v>오성주류판매(주)</v>
      </c>
      <c r="F75" s="2" t="s">
        <v>2747</v>
      </c>
      <c r="G75" s="3" t="s">
        <v>2895</v>
      </c>
      <c r="H75" s="4" t="s">
        <v>2774</v>
      </c>
      <c r="I75" s="4" t="s">
        <v>2507</v>
      </c>
      <c r="J75" s="23" t="s">
        <v>2867</v>
      </c>
      <c r="K75" s="27"/>
      <c r="L75" s="28"/>
      <c r="M75" s="28"/>
      <c r="N75" s="28">
        <v>1</v>
      </c>
      <c r="O75" s="28"/>
      <c r="P75" s="28"/>
      <c r="Q75" s="28"/>
      <c r="R75" s="28"/>
      <c r="S75" s="28"/>
      <c r="T75" s="28"/>
      <c r="U75" s="28"/>
      <c r="V75" s="34"/>
    </row>
    <row r="76" spans="2:25">
      <c r="B76" s="17" t="str">
        <f>IFERROR(VLOOKUP(C76,[4]Sheet2!$C$3:$F$1223,2,0),"")</f>
        <v>Daegu</v>
      </c>
      <c r="C76" s="3">
        <v>33712</v>
      </c>
      <c r="D76" s="18" t="str">
        <f>IFERROR(VLOOKUP(C76,[4]Sheet2!$C$1:$F$1223,3,0),"")</f>
        <v>김태경</v>
      </c>
      <c r="E76" s="18" t="str">
        <f>IFERROR(VLOOKUP(C76,[4]Sheet2!$C$1:$F$1223,4,0),"")</f>
        <v>한성상사(주)</v>
      </c>
      <c r="F76" s="2" t="s">
        <v>2748</v>
      </c>
      <c r="G76" s="3" t="s">
        <v>2895</v>
      </c>
      <c r="H76" s="4" t="s">
        <v>2774</v>
      </c>
      <c r="I76" s="4" t="s">
        <v>119</v>
      </c>
      <c r="J76" s="23" t="s">
        <v>2868</v>
      </c>
      <c r="K76" s="27"/>
      <c r="L76" s="28"/>
      <c r="M76" s="28"/>
      <c r="N76" s="28"/>
      <c r="O76" s="28">
        <v>7</v>
      </c>
      <c r="P76" s="28">
        <v>2</v>
      </c>
      <c r="Q76" s="28">
        <v>6</v>
      </c>
      <c r="R76" s="28">
        <v>8</v>
      </c>
      <c r="S76" s="28">
        <v>5</v>
      </c>
      <c r="T76" s="28">
        <v>6</v>
      </c>
      <c r="U76" s="28">
        <v>5</v>
      </c>
      <c r="V76" s="34">
        <v>5</v>
      </c>
      <c r="X76" s="31">
        <v>7</v>
      </c>
      <c r="Y76" s="32">
        <v>6</v>
      </c>
    </row>
    <row r="77" spans="2:25">
      <c r="B77" s="17" t="str">
        <f>IFERROR(VLOOKUP(C77,[4]Sheet2!$C$3:$F$1223,2,0),"")</f>
        <v>Daegu</v>
      </c>
      <c r="C77" s="3">
        <v>33698</v>
      </c>
      <c r="D77" s="18" t="str">
        <f>IFERROR(VLOOKUP(C77,[4]Sheet2!$C$1:$F$1223,3,0),"")</f>
        <v>김태경</v>
      </c>
      <c r="E77" s="18" t="str">
        <f>IFERROR(VLOOKUP(C77,[4]Sheet2!$C$1:$F$1223,4,0),"")</f>
        <v>부국(주)</v>
      </c>
      <c r="F77" s="2" t="s">
        <v>2749</v>
      </c>
      <c r="G77" s="3" t="s">
        <v>2895</v>
      </c>
      <c r="H77" s="4" t="s">
        <v>2774</v>
      </c>
      <c r="I77" s="4" t="s">
        <v>2784</v>
      </c>
      <c r="J77" s="23" t="s">
        <v>2869</v>
      </c>
      <c r="K77" s="27"/>
      <c r="L77" s="28"/>
      <c r="M77" s="28"/>
      <c r="N77" s="28"/>
      <c r="O77" s="28">
        <v>10</v>
      </c>
      <c r="P77" s="28"/>
      <c r="Q77" s="28"/>
      <c r="R77" s="28"/>
      <c r="S77" s="28"/>
      <c r="T77" s="28"/>
      <c r="U77" s="28"/>
      <c r="V77" s="34"/>
    </row>
    <row r="78" spans="2:25">
      <c r="B78" s="17" t="str">
        <f>IFERROR(VLOOKUP(C78,[4]Sheet2!$C$3:$F$1223,2,0),"")</f>
        <v>Daegu</v>
      </c>
      <c r="C78" s="3">
        <v>33703</v>
      </c>
      <c r="D78" s="18" t="str">
        <f>IFERROR(VLOOKUP(C78,[4]Sheet2!$C$1:$F$1223,3,0),"")</f>
        <v>김태경</v>
      </c>
      <c r="E78" s="18" t="str">
        <f>IFERROR(VLOOKUP(C78,[4]Sheet2!$C$1:$F$1223,4,0),"")</f>
        <v>대흥주류(주)</v>
      </c>
      <c r="F78" s="2" t="s">
        <v>2750</v>
      </c>
      <c r="G78" s="3" t="s">
        <v>2895</v>
      </c>
      <c r="H78" s="4" t="s">
        <v>2774</v>
      </c>
      <c r="I78" s="4" t="s">
        <v>119</v>
      </c>
      <c r="J78" s="23" t="s">
        <v>2870</v>
      </c>
      <c r="K78" s="27"/>
      <c r="L78" s="28"/>
      <c r="M78" s="28"/>
      <c r="N78" s="28"/>
      <c r="O78" s="28"/>
      <c r="P78" s="28">
        <v>6</v>
      </c>
      <c r="Q78" s="28"/>
      <c r="R78" s="28"/>
      <c r="S78" s="28"/>
      <c r="T78" s="28"/>
      <c r="U78" s="28"/>
      <c r="V78" s="34"/>
    </row>
    <row r="79" spans="2:25">
      <c r="B79" s="17" t="str">
        <f>IFERROR(VLOOKUP(C79,[4]Sheet2!$C$3:$F$1223,2,0),"")</f>
        <v>Daegu</v>
      </c>
      <c r="C79" s="3">
        <v>33703</v>
      </c>
      <c r="D79" s="18" t="str">
        <f>IFERROR(VLOOKUP(C79,[4]Sheet2!$C$1:$F$1223,3,0),"")</f>
        <v>김태경</v>
      </c>
      <c r="E79" s="18" t="str">
        <f>IFERROR(VLOOKUP(C79,[4]Sheet2!$C$1:$F$1223,4,0),"")</f>
        <v>대흥주류(주)</v>
      </c>
      <c r="F79" s="2" t="s">
        <v>2751</v>
      </c>
      <c r="G79" s="3" t="s">
        <v>2895</v>
      </c>
      <c r="H79" s="4" t="s">
        <v>2774</v>
      </c>
      <c r="I79" s="4" t="s">
        <v>119</v>
      </c>
      <c r="J79" s="23" t="s">
        <v>2871</v>
      </c>
      <c r="K79" s="27"/>
      <c r="L79" s="28"/>
      <c r="M79" s="28"/>
      <c r="N79" s="28"/>
      <c r="O79" s="28"/>
      <c r="P79" s="28">
        <v>6</v>
      </c>
      <c r="Q79" s="28"/>
      <c r="R79" s="28"/>
      <c r="S79" s="28"/>
      <c r="T79" s="28"/>
      <c r="U79" s="28"/>
      <c r="V79" s="34"/>
    </row>
    <row r="80" spans="2:25">
      <c r="B80" s="17" t="str">
        <f>IFERROR(VLOOKUP(C80,[4]Sheet2!$C$3:$F$1223,2,0),"")</f>
        <v>Daegu</v>
      </c>
      <c r="C80" s="3">
        <v>33701</v>
      </c>
      <c r="D80" s="18" t="str">
        <f>IFERROR(VLOOKUP(C80,[4]Sheet2!$C$1:$F$1223,3,0),"")</f>
        <v>김태경</v>
      </c>
      <c r="E80" s="18" t="str">
        <f>IFERROR(VLOOKUP(C80,[4]Sheet2!$C$1:$F$1223,4,0),"")</f>
        <v>대림주류유통(주)</v>
      </c>
      <c r="F80" s="2" t="s">
        <v>2752</v>
      </c>
      <c r="G80" s="3" t="s">
        <v>2895</v>
      </c>
      <c r="H80" s="4" t="s">
        <v>2774</v>
      </c>
      <c r="I80" s="4" t="s">
        <v>2784</v>
      </c>
      <c r="J80" s="23" t="s">
        <v>2872</v>
      </c>
      <c r="K80" s="27"/>
      <c r="L80" s="28"/>
      <c r="M80" s="28"/>
      <c r="N80" s="28"/>
      <c r="O80" s="28">
        <v>5</v>
      </c>
      <c r="P80" s="28">
        <v>4</v>
      </c>
      <c r="Q80" s="28">
        <v>2</v>
      </c>
      <c r="R80" s="28">
        <v>4</v>
      </c>
      <c r="S80" s="28">
        <v>4</v>
      </c>
      <c r="T80" s="28"/>
      <c r="U80" s="28"/>
      <c r="V80" s="34"/>
      <c r="X80" s="31">
        <v>1</v>
      </c>
    </row>
    <row r="81" spans="2:25">
      <c r="B81" s="17" t="str">
        <f>IFERROR(VLOOKUP(C81,[4]Sheet2!$C$3:$F$1223,2,0),"")</f>
        <v>Daegu</v>
      </c>
      <c r="C81" s="3">
        <v>33701</v>
      </c>
      <c r="D81" s="18" t="str">
        <f>IFERROR(VLOOKUP(C81,[4]Sheet2!$C$1:$F$1223,3,0),"")</f>
        <v>김태경</v>
      </c>
      <c r="E81" s="18" t="str">
        <f>IFERROR(VLOOKUP(C81,[4]Sheet2!$C$1:$F$1223,4,0),"")</f>
        <v>대림주류유통(주)</v>
      </c>
      <c r="F81" s="2" t="s">
        <v>2753</v>
      </c>
      <c r="G81" s="3" t="s">
        <v>2895</v>
      </c>
      <c r="H81" s="4" t="s">
        <v>2774</v>
      </c>
      <c r="I81" s="4" t="s">
        <v>2507</v>
      </c>
      <c r="J81" s="23" t="s">
        <v>2873</v>
      </c>
      <c r="K81" s="27"/>
      <c r="L81" s="28"/>
      <c r="M81" s="28"/>
      <c r="N81" s="28"/>
      <c r="O81" s="28">
        <v>3</v>
      </c>
      <c r="P81" s="28">
        <v>1</v>
      </c>
      <c r="Q81" s="28">
        <v>4</v>
      </c>
      <c r="R81" s="28">
        <v>3</v>
      </c>
      <c r="S81" s="28">
        <v>1</v>
      </c>
      <c r="T81" s="28"/>
      <c r="U81" s="28"/>
      <c r="V81" s="34"/>
      <c r="X81" s="31">
        <v>2</v>
      </c>
    </row>
    <row r="82" spans="2:25">
      <c r="B82" s="17" t="str">
        <f>IFERROR(VLOOKUP(C82,[4]Sheet2!$C$3:$F$1223,2,0),"")</f>
        <v>Daegu</v>
      </c>
      <c r="C82" s="3">
        <v>33706</v>
      </c>
      <c r="D82" s="18" t="str">
        <f>IFERROR(VLOOKUP(C82,[4]Sheet2!$C$1:$F$1223,3,0),"")</f>
        <v>김태경</v>
      </c>
      <c r="E82" s="18" t="str">
        <f>IFERROR(VLOOKUP(C82,[4]Sheet2!$C$1:$F$1223,4,0),"")</f>
        <v>호담주류</v>
      </c>
      <c r="F82" s="2" t="s">
        <v>2754</v>
      </c>
      <c r="G82" s="3" t="s">
        <v>2895</v>
      </c>
      <c r="H82" s="4" t="s">
        <v>2774</v>
      </c>
      <c r="I82" s="4" t="s">
        <v>2507</v>
      </c>
      <c r="J82" s="23" t="s">
        <v>2874</v>
      </c>
      <c r="K82" s="27"/>
      <c r="L82" s="28"/>
      <c r="M82" s="28"/>
      <c r="N82" s="28"/>
      <c r="O82" s="28">
        <v>10</v>
      </c>
      <c r="P82" s="28"/>
      <c r="Q82" s="28"/>
      <c r="R82" s="28"/>
      <c r="S82" s="28"/>
      <c r="T82" s="28"/>
      <c r="U82" s="28"/>
      <c r="V82" s="34"/>
    </row>
    <row r="83" spans="2:25">
      <c r="B83" s="17" t="str">
        <f>IFERROR(VLOOKUP(C83,[4]Sheet2!$C$3:$F$1223,2,0),"")</f>
        <v>Daegu</v>
      </c>
      <c r="C83" s="3">
        <v>86360</v>
      </c>
      <c r="D83" s="18" t="str">
        <f>IFERROR(VLOOKUP(C83,[4]Sheet2!$C$1:$F$1223,3,0),"")</f>
        <v>김태경</v>
      </c>
      <c r="E83" s="18" t="str">
        <f>IFERROR(VLOOKUP(C83,[4]Sheet2!$C$1:$F$1223,4,0),"")</f>
        <v>유한회사 에이스주류</v>
      </c>
      <c r="F83" s="2" t="s">
        <v>2755</v>
      </c>
      <c r="G83" s="3" t="s">
        <v>2895</v>
      </c>
      <c r="H83" s="4" t="s">
        <v>2774</v>
      </c>
      <c r="I83" s="4" t="s">
        <v>119</v>
      </c>
      <c r="J83" s="23" t="s">
        <v>2875</v>
      </c>
      <c r="K83" s="27"/>
      <c r="L83" s="28"/>
      <c r="M83" s="28"/>
      <c r="N83" s="28"/>
      <c r="O83" s="28"/>
      <c r="P83" s="28">
        <v>5</v>
      </c>
      <c r="Q83" s="28">
        <v>3</v>
      </c>
      <c r="R83" s="28"/>
      <c r="S83" s="28">
        <v>3</v>
      </c>
      <c r="T83" s="28">
        <v>4</v>
      </c>
      <c r="U83" s="28">
        <v>3</v>
      </c>
      <c r="V83" s="34">
        <v>4</v>
      </c>
      <c r="X83" s="31">
        <v>4</v>
      </c>
      <c r="Y83" s="32">
        <v>4</v>
      </c>
    </row>
    <row r="84" spans="2:25">
      <c r="B84" s="17" t="str">
        <f>IFERROR(VLOOKUP(C84,[4]Sheet2!$C$3:$F$1223,2,0),"")</f>
        <v>Daegu</v>
      </c>
      <c r="C84" s="3">
        <v>86360</v>
      </c>
      <c r="D84" s="18" t="str">
        <f>IFERROR(VLOOKUP(C84,[4]Sheet2!$C$1:$F$1223,3,0),"")</f>
        <v>김태경</v>
      </c>
      <c r="E84" s="18" t="str">
        <f>IFERROR(VLOOKUP(C84,[4]Sheet2!$C$1:$F$1223,4,0),"")</f>
        <v>유한회사 에이스주류</v>
      </c>
      <c r="F84" s="2" t="s">
        <v>2756</v>
      </c>
      <c r="G84" s="3" t="s">
        <v>2895</v>
      </c>
      <c r="H84" s="4" t="s">
        <v>2774</v>
      </c>
      <c r="I84" s="4" t="s">
        <v>119</v>
      </c>
      <c r="J84" s="23" t="s">
        <v>2876</v>
      </c>
      <c r="K84" s="27"/>
      <c r="L84" s="28"/>
      <c r="M84" s="28"/>
      <c r="N84" s="28"/>
      <c r="O84" s="28"/>
      <c r="P84" s="28">
        <v>3</v>
      </c>
      <c r="Q84" s="28"/>
      <c r="R84" s="28"/>
      <c r="S84" s="28"/>
      <c r="T84" s="28"/>
      <c r="U84" s="28"/>
      <c r="V84" s="34"/>
    </row>
    <row r="85" spans="2:25">
      <c r="B85" s="17" t="str">
        <f>IFERROR(VLOOKUP(C85,[4]Sheet2!$C$3:$F$1223,2,0),"")</f>
        <v>Daegu</v>
      </c>
      <c r="C85" s="3">
        <v>33690</v>
      </c>
      <c r="D85" s="18" t="str">
        <f>IFERROR(VLOOKUP(C85,[4]Sheet2!$C$1:$F$1223,3,0),"")</f>
        <v>김태경</v>
      </c>
      <c r="E85" s="18" t="str">
        <f>IFERROR(VLOOKUP(C85,[4]Sheet2!$C$1:$F$1223,4,0),"")</f>
        <v>삼화산업(주)</v>
      </c>
      <c r="F85" s="2" t="s">
        <v>2757</v>
      </c>
      <c r="G85" s="3" t="s">
        <v>2895</v>
      </c>
      <c r="H85" s="4" t="s">
        <v>2774</v>
      </c>
      <c r="I85" s="4" t="s">
        <v>119</v>
      </c>
      <c r="J85" s="23" t="s">
        <v>2877</v>
      </c>
      <c r="K85" s="27"/>
      <c r="L85" s="28"/>
      <c r="M85" s="28"/>
      <c r="N85" s="28"/>
      <c r="O85" s="28"/>
      <c r="P85" s="28"/>
      <c r="Q85" s="28">
        <v>2</v>
      </c>
      <c r="R85" s="28">
        <v>3</v>
      </c>
      <c r="S85" s="28">
        <v>4</v>
      </c>
      <c r="T85" s="28"/>
      <c r="U85" s="28">
        <v>4</v>
      </c>
      <c r="V85" s="34">
        <v>4</v>
      </c>
      <c r="X85" s="31">
        <v>3</v>
      </c>
      <c r="Y85" s="32">
        <v>3</v>
      </c>
    </row>
    <row r="86" spans="2:25">
      <c r="B86" s="17" t="str">
        <f>IFERROR(VLOOKUP(C86,[4]Sheet2!$C$3:$F$1223,2,0),"")</f>
        <v>Daegu</v>
      </c>
      <c r="C86" s="3">
        <v>33690</v>
      </c>
      <c r="D86" s="18" t="str">
        <f>IFERROR(VLOOKUP(C86,[4]Sheet2!$C$1:$F$1223,3,0),"")</f>
        <v>김태경</v>
      </c>
      <c r="E86" s="18" t="str">
        <f>IFERROR(VLOOKUP(C86,[4]Sheet2!$C$1:$F$1223,4,0),"")</f>
        <v>삼화산업(주)</v>
      </c>
      <c r="F86" s="2" t="s">
        <v>2758</v>
      </c>
      <c r="G86" s="3" t="s">
        <v>2895</v>
      </c>
      <c r="H86" s="4" t="s">
        <v>2774</v>
      </c>
      <c r="I86" s="4" t="s">
        <v>119</v>
      </c>
      <c r="J86" s="23" t="s">
        <v>2878</v>
      </c>
      <c r="K86" s="27"/>
      <c r="L86" s="28"/>
      <c r="M86" s="28"/>
      <c r="N86" s="28"/>
      <c r="O86" s="28"/>
      <c r="P86" s="28"/>
      <c r="Q86" s="28">
        <v>1</v>
      </c>
      <c r="R86" s="28"/>
      <c r="S86" s="28"/>
      <c r="T86" s="28"/>
      <c r="U86" s="28"/>
      <c r="V86" s="34"/>
    </row>
    <row r="87" spans="2:25">
      <c r="B87" s="17" t="str">
        <f>IFERROR(VLOOKUP(C87,[4]Sheet2!$C$3:$F$1223,2,0),"")</f>
        <v>Daegu</v>
      </c>
      <c r="C87" s="3">
        <v>33777</v>
      </c>
      <c r="D87" s="18" t="str">
        <f>IFERROR(VLOOKUP(C87,[4]Sheet2!$C$1:$F$1223,3,0),"")</f>
        <v>김태경</v>
      </c>
      <c r="E87" s="18" t="str">
        <f>IFERROR(VLOOKUP(C87,[4]Sheet2!$C$1:$F$1223,4,0),"")</f>
        <v>황재주류(주)</v>
      </c>
      <c r="F87" s="2" t="s">
        <v>2759</v>
      </c>
      <c r="G87" s="3" t="s">
        <v>2895</v>
      </c>
      <c r="H87" s="4" t="s">
        <v>2774</v>
      </c>
      <c r="I87" s="4" t="s">
        <v>119</v>
      </c>
      <c r="J87" s="23" t="s">
        <v>2879</v>
      </c>
      <c r="K87" s="27"/>
      <c r="L87" s="28"/>
      <c r="M87" s="28"/>
      <c r="N87" s="28"/>
      <c r="O87" s="28"/>
      <c r="P87" s="28"/>
      <c r="Q87" s="28">
        <v>1</v>
      </c>
      <c r="R87" s="28"/>
      <c r="S87" s="28"/>
      <c r="T87" s="28"/>
      <c r="U87" s="28"/>
      <c r="V87" s="34"/>
    </row>
    <row r="88" spans="2:25">
      <c r="B88" s="17" t="str">
        <f>IFERROR(VLOOKUP(C88,[4]Sheet2!$C$3:$F$1223,2,0),"")</f>
        <v>Daegu</v>
      </c>
      <c r="C88" s="3">
        <v>33708</v>
      </c>
      <c r="D88" s="18" t="str">
        <f>IFERROR(VLOOKUP(C88,[4]Sheet2!$C$1:$F$1223,3,0),"")</f>
        <v>김태경</v>
      </c>
      <c r="E88" s="18" t="str">
        <f>IFERROR(VLOOKUP(C88,[4]Sheet2!$C$1:$F$1223,4,0),"")</f>
        <v>한일주류판매(주)</v>
      </c>
      <c r="F88" s="2" t="s">
        <v>2760</v>
      </c>
      <c r="G88" s="3" t="s">
        <v>2895</v>
      </c>
      <c r="H88" s="4" t="s">
        <v>2774</v>
      </c>
      <c r="I88" s="4" t="s">
        <v>2507</v>
      </c>
      <c r="J88" s="23" t="s">
        <v>2880</v>
      </c>
      <c r="K88" s="27"/>
      <c r="L88" s="28"/>
      <c r="M88" s="28"/>
      <c r="N88" s="28"/>
      <c r="O88" s="28"/>
      <c r="P88" s="28"/>
      <c r="Q88" s="28">
        <v>10</v>
      </c>
      <c r="R88" s="28"/>
      <c r="S88" s="28"/>
      <c r="T88" s="28"/>
      <c r="U88" s="28"/>
      <c r="V88" s="34"/>
    </row>
    <row r="89" spans="2:25">
      <c r="B89" s="17" t="str">
        <f>IFERROR(VLOOKUP(C89,[4]Sheet2!$C$3:$F$1223,2,0),"")</f>
        <v>Daegu</v>
      </c>
      <c r="C89" s="3">
        <v>86360</v>
      </c>
      <c r="D89" s="18" t="str">
        <f>IFERROR(VLOOKUP(C89,[4]Sheet2!$C$1:$F$1223,3,0),"")</f>
        <v>김태경</v>
      </c>
      <c r="E89" s="18" t="str">
        <f>IFERROR(VLOOKUP(C89,[4]Sheet2!$C$1:$F$1223,4,0),"")</f>
        <v>유한회사 에이스주류</v>
      </c>
      <c r="F89" s="2" t="s">
        <v>2761</v>
      </c>
      <c r="G89" s="3" t="s">
        <v>2895</v>
      </c>
      <c r="H89" s="4" t="s">
        <v>2774</v>
      </c>
      <c r="I89" s="4" t="s">
        <v>119</v>
      </c>
      <c r="J89" s="23" t="s">
        <v>2881</v>
      </c>
      <c r="K89" s="27"/>
      <c r="L89" s="28"/>
      <c r="M89" s="28"/>
      <c r="N89" s="28"/>
      <c r="O89" s="28"/>
      <c r="P89" s="28"/>
      <c r="Q89" s="28"/>
      <c r="R89" s="28">
        <v>9</v>
      </c>
      <c r="S89" s="28">
        <v>8</v>
      </c>
      <c r="T89" s="28"/>
      <c r="U89" s="28">
        <v>5</v>
      </c>
      <c r="V89" s="34">
        <v>6</v>
      </c>
      <c r="X89" s="31">
        <v>5</v>
      </c>
      <c r="Y89" s="32">
        <v>4</v>
      </c>
    </row>
    <row r="90" spans="2:25">
      <c r="B90" s="17" t="str">
        <f>IFERROR(VLOOKUP(C90,[4]Sheet2!$C$3:$F$1223,2,0),"")</f>
        <v>Daegu</v>
      </c>
      <c r="C90" s="3">
        <v>86425</v>
      </c>
      <c r="D90" s="18" t="str">
        <f>IFERROR(VLOOKUP(C90,[4]Sheet2!$C$1:$F$1223,3,0),"")</f>
        <v>김태경</v>
      </c>
      <c r="E90" s="18" t="str">
        <f>IFERROR(VLOOKUP(C90,[4]Sheet2!$C$1:$F$1223,4,0),"")</f>
        <v>주식회사 태양수입주류</v>
      </c>
      <c r="F90" s="2" t="s">
        <v>2762</v>
      </c>
      <c r="G90" s="3" t="s">
        <v>2895</v>
      </c>
      <c r="H90" s="4" t="s">
        <v>2774</v>
      </c>
      <c r="I90" s="4" t="s">
        <v>2784</v>
      </c>
      <c r="J90" s="23" t="s">
        <v>2882</v>
      </c>
      <c r="K90" s="27"/>
      <c r="L90" s="28"/>
      <c r="M90" s="28"/>
      <c r="N90" s="28"/>
      <c r="O90" s="28"/>
      <c r="P90" s="28"/>
      <c r="Q90" s="28"/>
      <c r="R90" s="28">
        <v>4</v>
      </c>
      <c r="S90" s="28"/>
      <c r="T90" s="28">
        <v>10</v>
      </c>
      <c r="U90" s="28"/>
      <c r="V90" s="34"/>
      <c r="Y90" s="32">
        <v>6</v>
      </c>
    </row>
    <row r="91" spans="2:25">
      <c r="B91" s="17" t="str">
        <f>IFERROR(VLOOKUP(C91,[4]Sheet2!$C$3:$F$1223,2,0),"")</f>
        <v>Daegu</v>
      </c>
      <c r="C91" s="3">
        <v>86360</v>
      </c>
      <c r="D91" s="18" t="str">
        <f>IFERROR(VLOOKUP(C91,[4]Sheet2!$C$1:$F$1223,3,0),"")</f>
        <v>김태경</v>
      </c>
      <c r="E91" s="18" t="str">
        <f>IFERROR(VLOOKUP(C91,[4]Sheet2!$C$1:$F$1223,4,0),"")</f>
        <v>유한회사 에이스주류</v>
      </c>
      <c r="F91" s="2" t="s">
        <v>2763</v>
      </c>
      <c r="G91" s="3" t="s">
        <v>2895</v>
      </c>
      <c r="H91" s="4" t="s">
        <v>2774</v>
      </c>
      <c r="I91" s="4" t="s">
        <v>119</v>
      </c>
      <c r="J91" s="23" t="s">
        <v>2883</v>
      </c>
      <c r="K91" s="27"/>
      <c r="L91" s="28"/>
      <c r="M91" s="28"/>
      <c r="N91" s="28"/>
      <c r="O91" s="28"/>
      <c r="P91" s="28"/>
      <c r="Q91" s="28"/>
      <c r="R91" s="28">
        <v>6</v>
      </c>
      <c r="S91" s="28">
        <v>1</v>
      </c>
      <c r="T91" s="28"/>
      <c r="U91" s="28">
        <v>3</v>
      </c>
      <c r="V91" s="34">
        <v>3</v>
      </c>
      <c r="X91" s="31">
        <v>3</v>
      </c>
      <c r="Y91" s="32">
        <v>3</v>
      </c>
    </row>
    <row r="92" spans="2:25">
      <c r="B92" s="17" t="str">
        <f>IFERROR(VLOOKUP(C92,[4]Sheet2!$C$3:$F$1223,2,0),"")</f>
        <v>Daegu</v>
      </c>
      <c r="C92" s="3">
        <v>33713</v>
      </c>
      <c r="D92" s="18" t="str">
        <f>IFERROR(VLOOKUP(C92,[4]Sheet2!$C$1:$F$1223,3,0),"")</f>
        <v>김태경</v>
      </c>
      <c r="E92" s="18" t="str">
        <f>IFERROR(VLOOKUP(C92,[4]Sheet2!$C$1:$F$1223,4,0),"")</f>
        <v>에스엠종합주류</v>
      </c>
      <c r="F92" s="2" t="s">
        <v>2764</v>
      </c>
      <c r="G92" s="3" t="s">
        <v>2895</v>
      </c>
      <c r="H92" s="4" t="s">
        <v>2774</v>
      </c>
      <c r="I92" s="4" t="s">
        <v>2784</v>
      </c>
      <c r="J92" s="23" t="s">
        <v>2884</v>
      </c>
      <c r="K92" s="27"/>
      <c r="L92" s="28"/>
      <c r="M92" s="28"/>
      <c r="N92" s="28"/>
      <c r="O92" s="28"/>
      <c r="P92" s="28"/>
      <c r="Q92" s="28"/>
      <c r="R92" s="28"/>
      <c r="S92" s="28">
        <v>1</v>
      </c>
      <c r="T92" s="28">
        <v>2</v>
      </c>
      <c r="U92" s="28"/>
      <c r="V92" s="34"/>
      <c r="X92" s="31">
        <v>1</v>
      </c>
      <c r="Y92" s="32">
        <v>2</v>
      </c>
    </row>
    <row r="93" spans="2:25">
      <c r="B93" s="17" t="str">
        <f>IFERROR(VLOOKUP(C93,[4]Sheet2!$C$3:$F$1223,2,0),"")</f>
        <v>Daegu</v>
      </c>
      <c r="C93" s="3">
        <v>33692</v>
      </c>
      <c r="D93" s="18" t="str">
        <f>IFERROR(VLOOKUP(C93,[4]Sheet2!$C$1:$F$1223,3,0),"")</f>
        <v>김태경</v>
      </c>
      <c r="E93" s="18" t="str">
        <f>IFERROR(VLOOKUP(C93,[4]Sheet2!$C$1:$F$1223,4,0),"")</f>
        <v>오성주류판매(주)</v>
      </c>
      <c r="F93" s="2" t="s">
        <v>2765</v>
      </c>
      <c r="G93" s="3" t="s">
        <v>2895</v>
      </c>
      <c r="H93" s="4" t="s">
        <v>2774</v>
      </c>
      <c r="I93" s="4" t="s">
        <v>119</v>
      </c>
      <c r="J93" s="23" t="s">
        <v>2885</v>
      </c>
      <c r="K93" s="27"/>
      <c r="L93" s="28"/>
      <c r="M93" s="28"/>
      <c r="N93" s="28"/>
      <c r="O93" s="28"/>
      <c r="P93" s="28"/>
      <c r="Q93" s="28"/>
      <c r="R93" s="28"/>
      <c r="S93" s="28">
        <v>1</v>
      </c>
      <c r="T93" s="28"/>
      <c r="U93" s="28"/>
      <c r="V93" s="34"/>
    </row>
    <row r="94" spans="2:25">
      <c r="B94" s="17" t="str">
        <f>IFERROR(VLOOKUP(C94,[4]Sheet2!$C$3:$F$1223,2,0),"")</f>
        <v>Daegu</v>
      </c>
      <c r="C94" s="3">
        <v>33683</v>
      </c>
      <c r="D94" s="18" t="str">
        <f>IFERROR(VLOOKUP(C94,[4]Sheet2!$C$1:$F$1223,3,0),"")</f>
        <v>김태경</v>
      </c>
      <c r="E94" s="18" t="str">
        <f>IFERROR(VLOOKUP(C94,[4]Sheet2!$C$1:$F$1223,4,0),"")</f>
        <v>두산상사(주)</v>
      </c>
      <c r="F94" s="2" t="s">
        <v>2766</v>
      </c>
      <c r="G94" s="3" t="s">
        <v>2895</v>
      </c>
      <c r="H94" s="4" t="s">
        <v>2886</v>
      </c>
      <c r="I94" s="4" t="s">
        <v>2784</v>
      </c>
      <c r="J94" s="23" t="s">
        <v>2887</v>
      </c>
      <c r="K94" s="27"/>
      <c r="L94" s="28"/>
      <c r="M94" s="28"/>
      <c r="N94" s="28"/>
      <c r="O94" s="28"/>
      <c r="P94" s="28"/>
      <c r="Q94" s="28"/>
      <c r="R94" s="28"/>
      <c r="S94" s="28">
        <v>2</v>
      </c>
      <c r="T94" s="28"/>
      <c r="U94" s="28"/>
      <c r="V94" s="34"/>
      <c r="W94" s="40"/>
    </row>
    <row r="95" spans="2:25">
      <c r="B95" s="17" t="str">
        <f>IFERROR(VLOOKUP(C95,[4]Sheet2!$C$3:$F$1223,2,0),"")</f>
        <v>Daegu</v>
      </c>
      <c r="C95" s="3">
        <v>33706</v>
      </c>
      <c r="D95" s="18" t="str">
        <f>IFERROR(VLOOKUP(C95,[4]Sheet2!$C$1:$F$1223,3,0),"")</f>
        <v>김태경</v>
      </c>
      <c r="E95" s="18" t="str">
        <f>IFERROR(VLOOKUP(C95,[4]Sheet2!$C$1:$F$1223,4,0),"")</f>
        <v>호담주류</v>
      </c>
      <c r="F95" s="2" t="s">
        <v>2767</v>
      </c>
      <c r="G95" s="3" t="s">
        <v>2895</v>
      </c>
      <c r="H95" s="4" t="s">
        <v>2886</v>
      </c>
      <c r="I95" s="4" t="s">
        <v>119</v>
      </c>
      <c r="J95" s="23" t="s">
        <v>2888</v>
      </c>
      <c r="K95" s="27"/>
      <c r="L95" s="28"/>
      <c r="M95" s="28"/>
      <c r="N95" s="28"/>
      <c r="O95" s="28"/>
      <c r="P95" s="28"/>
      <c r="Q95" s="28"/>
      <c r="R95" s="28"/>
      <c r="S95" s="28">
        <v>3</v>
      </c>
      <c r="T95" s="28">
        <v>2</v>
      </c>
      <c r="U95" s="28"/>
      <c r="V95" s="34"/>
      <c r="W95" s="40"/>
      <c r="X95" s="31">
        <v>1</v>
      </c>
    </row>
    <row r="96" spans="2:25">
      <c r="B96" s="17" t="str">
        <f>IFERROR(VLOOKUP(C96,[4]Sheet2!$C$3:$F$1223,2,0),"")</f>
        <v>Daegu</v>
      </c>
      <c r="C96" s="3">
        <v>39033</v>
      </c>
      <c r="D96" s="18" t="str">
        <f>IFERROR(VLOOKUP(C96,[4]Sheet2!$C$1:$F$1223,3,0),"")</f>
        <v>김태경</v>
      </c>
      <c r="E96" s="18" t="str">
        <f>IFERROR(VLOOKUP(C96,[4]Sheet2!$C$1:$F$1223,4,0),"")</f>
        <v>계림주류판매(주)</v>
      </c>
      <c r="F96" s="2" t="s">
        <v>2768</v>
      </c>
      <c r="G96" s="3" t="s">
        <v>2895</v>
      </c>
      <c r="H96" s="4" t="s">
        <v>2780</v>
      </c>
      <c r="I96" s="4" t="s">
        <v>2889</v>
      </c>
      <c r="J96" s="23" t="s">
        <v>2890</v>
      </c>
      <c r="K96" s="27"/>
      <c r="L96" s="28"/>
      <c r="M96" s="28"/>
      <c r="N96" s="28"/>
      <c r="O96" s="28"/>
      <c r="P96" s="28"/>
      <c r="Q96" s="28"/>
      <c r="R96" s="28"/>
      <c r="S96" s="28">
        <v>2</v>
      </c>
      <c r="T96" s="28"/>
      <c r="U96" s="28"/>
      <c r="V96" s="34"/>
      <c r="W96" s="40"/>
    </row>
    <row r="97" spans="2:35">
      <c r="B97" s="17" t="str">
        <f>IFERROR(VLOOKUP(C97,[4]Sheet2!$C$3:$F$1223,2,0),"")</f>
        <v>Daegu</v>
      </c>
      <c r="C97" s="3">
        <v>33703</v>
      </c>
      <c r="D97" s="18" t="str">
        <f>IFERROR(VLOOKUP(C97,[4]Sheet2!$C$1:$F$1223,3,0),"")</f>
        <v>김태경</v>
      </c>
      <c r="E97" s="18" t="str">
        <f>IFERROR(VLOOKUP(C97,[4]Sheet2!$C$1:$F$1223,4,0),"")</f>
        <v>대흥주류(주)</v>
      </c>
      <c r="F97" s="2" t="s">
        <v>2769</v>
      </c>
      <c r="G97" s="3" t="s">
        <v>2895</v>
      </c>
      <c r="H97" s="4" t="s">
        <v>2774</v>
      </c>
      <c r="I97" s="4" t="s">
        <v>119</v>
      </c>
      <c r="J97" s="23" t="s">
        <v>2891</v>
      </c>
      <c r="K97" s="27"/>
      <c r="L97" s="28"/>
      <c r="M97" s="28"/>
      <c r="N97" s="28"/>
      <c r="O97" s="28"/>
      <c r="P97" s="28"/>
      <c r="Q97" s="28"/>
      <c r="R97" s="28">
        <v>1</v>
      </c>
      <c r="S97" s="28"/>
      <c r="T97" s="28"/>
      <c r="U97" s="28"/>
      <c r="V97" s="34"/>
      <c r="W97" s="40"/>
    </row>
    <row r="98" spans="2:35">
      <c r="B98" s="17" t="str">
        <f>IFERROR(VLOOKUP(C98,[4]Sheet2!$C$3:$F$1223,2,0),"")</f>
        <v>Daegu</v>
      </c>
      <c r="C98" s="3">
        <v>33703</v>
      </c>
      <c r="D98" s="18" t="str">
        <f>IFERROR(VLOOKUP(C98,[4]Sheet2!$C$1:$F$1223,3,0),"")</f>
        <v>김태경</v>
      </c>
      <c r="E98" s="18" t="str">
        <f>IFERROR(VLOOKUP(C98,[4]Sheet2!$C$1:$F$1223,4,0),"")</f>
        <v>대흥주류(주)</v>
      </c>
      <c r="F98" s="2" t="s">
        <v>2770</v>
      </c>
      <c r="G98" s="3" t="s">
        <v>2895</v>
      </c>
      <c r="H98" s="4" t="s">
        <v>2780</v>
      </c>
      <c r="I98" s="4" t="s">
        <v>2889</v>
      </c>
      <c r="J98" s="23" t="s">
        <v>2892</v>
      </c>
      <c r="K98" s="27"/>
      <c r="L98" s="28"/>
      <c r="M98" s="28"/>
      <c r="N98" s="28"/>
      <c r="O98" s="28"/>
      <c r="P98" s="28"/>
      <c r="Q98" s="28"/>
      <c r="R98" s="28"/>
      <c r="S98" s="28">
        <v>1</v>
      </c>
      <c r="T98" s="28"/>
      <c r="U98" s="28"/>
      <c r="V98" s="34"/>
      <c r="W98" s="40"/>
    </row>
    <row r="99" spans="2:35">
      <c r="B99" s="17" t="str">
        <f>IFERROR(VLOOKUP(C99,[4]Sheet2!$C$3:$F$1223,2,0),"")</f>
        <v>Daegu</v>
      </c>
      <c r="C99" s="3">
        <v>33713</v>
      </c>
      <c r="D99" s="18" t="str">
        <f>IFERROR(VLOOKUP(C99,[4]Sheet2!$C$1:$F$1223,3,0),"")</f>
        <v>김태경</v>
      </c>
      <c r="E99" s="18" t="str">
        <f>IFERROR(VLOOKUP(C99,[4]Sheet2!$C$1:$F$1223,4,0),"")</f>
        <v>에스엠종합주류</v>
      </c>
      <c r="F99" s="2" t="s">
        <v>2771</v>
      </c>
      <c r="G99" s="3" t="s">
        <v>2895</v>
      </c>
      <c r="H99" s="4" t="s">
        <v>2774</v>
      </c>
      <c r="I99" s="4" t="s">
        <v>119</v>
      </c>
      <c r="J99" s="23" t="s">
        <v>2893</v>
      </c>
      <c r="K99" s="27"/>
      <c r="L99" s="28"/>
      <c r="M99" s="28"/>
      <c r="N99" s="28"/>
      <c r="O99" s="28"/>
      <c r="P99" s="28"/>
      <c r="Q99" s="28"/>
      <c r="R99" s="28"/>
      <c r="S99" s="28">
        <v>2</v>
      </c>
      <c r="T99" s="28"/>
      <c r="U99" s="28"/>
      <c r="V99" s="34"/>
      <c r="W99" s="40"/>
    </row>
    <row r="100" spans="2:35">
      <c r="B100" s="17" t="str">
        <f>IFERROR(VLOOKUP(C100,[4]Sheet2!$C$3:$F$1223,2,0),"")</f>
        <v>Daegu</v>
      </c>
      <c r="C100" s="3">
        <v>33713</v>
      </c>
      <c r="D100" s="18" t="str">
        <f>IFERROR(VLOOKUP(C100,[4]Sheet2!$C$1:$F$1223,3,0),"")</f>
        <v>김태경</v>
      </c>
      <c r="E100" s="18" t="str">
        <f>IFERROR(VLOOKUP(C100,[4]Sheet2!$C$1:$F$1223,4,0),"")</f>
        <v>에스엠종합주류</v>
      </c>
      <c r="F100" s="2" t="s">
        <v>2772</v>
      </c>
      <c r="G100" s="3" t="s">
        <v>2895</v>
      </c>
      <c r="H100" s="4" t="s">
        <v>2774</v>
      </c>
      <c r="I100" s="4" t="s">
        <v>119</v>
      </c>
      <c r="J100" s="23" t="s">
        <v>2893</v>
      </c>
      <c r="K100" s="27"/>
      <c r="L100" s="28"/>
      <c r="M100" s="28"/>
      <c r="N100" s="28"/>
      <c r="O100" s="28"/>
      <c r="P100" s="28"/>
      <c r="Q100" s="28"/>
      <c r="R100" s="28"/>
      <c r="S100" s="28"/>
      <c r="T100" s="28">
        <v>4</v>
      </c>
      <c r="U100" s="28"/>
      <c r="V100" s="34">
        <v>2</v>
      </c>
      <c r="W100" s="40"/>
      <c r="Y100" s="32">
        <v>2</v>
      </c>
    </row>
    <row r="101" spans="2:35">
      <c r="B101" s="17" t="str">
        <f>IFERROR(VLOOKUP(C101,[4]Sheet2!$C$3:$F$1223,2,0),"")</f>
        <v>Daegu</v>
      </c>
      <c r="C101" s="3">
        <v>86425</v>
      </c>
      <c r="D101" s="18" t="str">
        <f>IFERROR(VLOOKUP(C101,[4]Sheet2!$C$1:$F$1223,3,0),"")</f>
        <v>김태경</v>
      </c>
      <c r="E101" s="18" t="str">
        <f>IFERROR(VLOOKUP(C101,[4]Sheet2!$C$1:$F$1223,4,0),"")</f>
        <v>주식회사 태양수입주류</v>
      </c>
      <c r="F101" s="2" t="s">
        <v>2773</v>
      </c>
      <c r="G101" s="3" t="s">
        <v>2895</v>
      </c>
      <c r="H101" s="4" t="s">
        <v>2774</v>
      </c>
      <c r="I101" s="4" t="s">
        <v>119</v>
      </c>
      <c r="J101" s="23" t="s">
        <v>2893</v>
      </c>
      <c r="K101" s="27"/>
      <c r="L101" s="28"/>
      <c r="M101" s="28"/>
      <c r="N101" s="28"/>
      <c r="O101" s="28"/>
      <c r="P101" s="28"/>
      <c r="Q101" s="28"/>
      <c r="R101" s="28"/>
      <c r="S101" s="28"/>
      <c r="T101" s="28">
        <v>8</v>
      </c>
      <c r="U101" s="28">
        <v>5</v>
      </c>
      <c r="V101" s="34">
        <v>9</v>
      </c>
      <c r="W101" s="40"/>
      <c r="X101" s="31">
        <v>7</v>
      </c>
      <c r="Y101" s="32">
        <v>5</v>
      </c>
    </row>
    <row r="102" spans="2:35">
      <c r="B102" s="17" t="str">
        <f>IFERROR(VLOOKUP(C102,[5]Sheet2!$C$3:$F$1223,2,0),"")</f>
        <v>Daegu</v>
      </c>
      <c r="C102" s="3">
        <v>38210</v>
      </c>
      <c r="D102" s="18" t="s">
        <v>1724</v>
      </c>
      <c r="E102" s="18" t="s">
        <v>1855</v>
      </c>
      <c r="F102" s="2" t="s">
        <v>3643</v>
      </c>
      <c r="G102" s="3" t="s">
        <v>2894</v>
      </c>
      <c r="H102" s="4" t="s">
        <v>2780</v>
      </c>
      <c r="I102" s="4" t="s">
        <v>2781</v>
      </c>
      <c r="J102" s="23" t="s">
        <v>3644</v>
      </c>
      <c r="K102" s="27"/>
      <c r="L102" s="28"/>
      <c r="M102" s="28"/>
      <c r="N102" s="28"/>
      <c r="O102" s="28"/>
      <c r="P102" s="28"/>
      <c r="Q102" s="28"/>
      <c r="R102" s="28"/>
      <c r="S102" s="28"/>
      <c r="T102" s="28"/>
      <c r="U102" s="28">
        <v>2</v>
      </c>
      <c r="V102" s="34"/>
      <c r="W102" s="40"/>
      <c r="X102" s="41">
        <v>1</v>
      </c>
      <c r="Y102" s="42">
        <v>1</v>
      </c>
      <c r="Z102" s="42"/>
      <c r="AA102" s="42"/>
      <c r="AB102" s="42"/>
      <c r="AC102" s="42"/>
      <c r="AD102" s="42"/>
      <c r="AE102" s="42"/>
      <c r="AF102" s="42"/>
      <c r="AG102" s="42"/>
      <c r="AH102" s="42"/>
      <c r="AI102" s="43"/>
    </row>
    <row r="103" spans="2:35">
      <c r="B103" s="17" t="str">
        <f>IFERROR(VLOOKUP(C103,[5]Sheet2!$C$3:$F$1223,2,0),"")</f>
        <v>Daegu</v>
      </c>
      <c r="C103" s="3">
        <v>86425</v>
      </c>
      <c r="D103" s="18" t="s">
        <v>1724</v>
      </c>
      <c r="E103" s="18" t="s">
        <v>2276</v>
      </c>
      <c r="F103" s="2" t="s">
        <v>3645</v>
      </c>
      <c r="G103" s="3" t="s">
        <v>2894</v>
      </c>
      <c r="H103" s="4" t="s">
        <v>2780</v>
      </c>
      <c r="I103" s="4" t="s">
        <v>2807</v>
      </c>
      <c r="J103" s="23" t="s">
        <v>3646</v>
      </c>
      <c r="K103" s="27"/>
      <c r="L103" s="28"/>
      <c r="M103" s="28"/>
      <c r="N103" s="28"/>
      <c r="O103" s="28"/>
      <c r="P103" s="28"/>
      <c r="Q103" s="28"/>
      <c r="R103" s="28"/>
      <c r="S103" s="28"/>
      <c r="T103" s="28"/>
      <c r="U103" s="28">
        <v>2</v>
      </c>
      <c r="V103" s="34"/>
      <c r="W103" s="40"/>
      <c r="X103" s="41">
        <v>2</v>
      </c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3"/>
    </row>
    <row r="104" spans="2:35">
      <c r="B104" s="17" t="str">
        <f>IFERROR(VLOOKUP(C104,[5]Sheet2!$C$3:$F$1223,2,0),"")</f>
        <v>Daegu</v>
      </c>
      <c r="C104" s="3">
        <v>86425</v>
      </c>
      <c r="D104" s="18" t="s">
        <v>1724</v>
      </c>
      <c r="E104" s="18" t="s">
        <v>2276</v>
      </c>
      <c r="F104" s="2" t="s">
        <v>3647</v>
      </c>
      <c r="G104" s="3" t="s">
        <v>2894</v>
      </c>
      <c r="H104" s="4" t="s">
        <v>2816</v>
      </c>
      <c r="I104" s="4" t="s">
        <v>2801</v>
      </c>
      <c r="J104" s="23" t="s">
        <v>3648</v>
      </c>
      <c r="K104" s="27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34">
        <v>2</v>
      </c>
      <c r="W104" s="40"/>
      <c r="X104" s="41"/>
      <c r="Y104" s="42">
        <v>2</v>
      </c>
      <c r="Z104" s="42"/>
      <c r="AA104" s="42"/>
      <c r="AB104" s="42"/>
      <c r="AC104" s="42"/>
      <c r="AD104" s="42"/>
      <c r="AE104" s="42"/>
      <c r="AF104" s="42"/>
      <c r="AG104" s="42"/>
      <c r="AH104" s="42"/>
      <c r="AI104" s="43"/>
    </row>
    <row r="105" spans="2:35">
      <c r="B105" s="17" t="s">
        <v>3649</v>
      </c>
      <c r="C105" s="3">
        <v>86425</v>
      </c>
      <c r="D105" s="18" t="s">
        <v>1724</v>
      </c>
      <c r="E105" s="18" t="s">
        <v>2276</v>
      </c>
      <c r="F105" s="2" t="s">
        <v>3650</v>
      </c>
      <c r="G105" s="3" t="s">
        <v>2894</v>
      </c>
      <c r="H105" s="4" t="s">
        <v>2816</v>
      </c>
      <c r="I105" s="4" t="s">
        <v>2519</v>
      </c>
      <c r="J105" s="23" t="s">
        <v>3651</v>
      </c>
      <c r="K105" s="27"/>
      <c r="L105" s="28"/>
      <c r="M105" s="28"/>
      <c r="N105" s="42"/>
      <c r="O105" s="42"/>
      <c r="P105" s="42"/>
      <c r="Q105" s="42"/>
      <c r="R105" s="42"/>
      <c r="S105" s="42"/>
      <c r="T105" s="42"/>
      <c r="U105" s="42"/>
      <c r="V105" s="34"/>
      <c r="Y105" s="42">
        <v>2</v>
      </c>
      <c r="Z105" s="42"/>
      <c r="AA105" s="42"/>
      <c r="AB105" s="42"/>
      <c r="AC105" s="42"/>
      <c r="AD105" s="42"/>
      <c r="AE105" s="42"/>
      <c r="AF105" s="42"/>
      <c r="AG105" s="42"/>
      <c r="AH105" s="42"/>
      <c r="AI105" s="43"/>
    </row>
    <row r="106" spans="2:35">
      <c r="B106" s="17" t="str">
        <f>IFERROR(VLOOKUP(C106,[3]Sheet2!$C$3:$F$1223,2,0),"")</f>
        <v>Daegu</v>
      </c>
      <c r="C106" s="3">
        <v>86425</v>
      </c>
      <c r="D106" s="18" t="str">
        <f>IFERROR(VLOOKUP(C106,[3]Sheet2!$C$1:$F$1223,3,0),"")</f>
        <v>김태경</v>
      </c>
      <c r="E106" s="18" t="str">
        <f>IFERROR(VLOOKUP(C106,[3]Sheet2!$C$1:$F$1223,4,0),"")</f>
        <v>주식회사 태양수입주류</v>
      </c>
      <c r="F106" s="2" t="s">
        <v>3652</v>
      </c>
      <c r="G106" s="3" t="s">
        <v>3653</v>
      </c>
      <c r="H106" s="4" t="s">
        <v>2816</v>
      </c>
      <c r="I106" s="4" t="s">
        <v>2775</v>
      </c>
      <c r="J106" s="23" t="s">
        <v>3891</v>
      </c>
      <c r="K106" s="27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34"/>
      <c r="X106" s="31">
        <v>19</v>
      </c>
    </row>
    <row r="107" spans="2:35">
      <c r="B107" s="17" t="str">
        <f>IFERROR(VLOOKUP(C107,[3]Sheet2!$C$3:$F$1223,2,0),"")</f>
        <v>Daegu</v>
      </c>
      <c r="C107" s="3">
        <v>86425</v>
      </c>
      <c r="D107" s="18" t="str">
        <f>IFERROR(VLOOKUP(C107,[3]Sheet2!$C$1:$F$1223,3,0),"")</f>
        <v>김태경</v>
      </c>
      <c r="E107" s="18" t="str">
        <f>IFERROR(VLOOKUP(C107,[3]Sheet2!$C$1:$F$1223,4,0),"")</f>
        <v>주식회사 태양수입주류</v>
      </c>
      <c r="F107" s="2" t="s">
        <v>3892</v>
      </c>
      <c r="G107" s="3" t="s">
        <v>3653</v>
      </c>
      <c r="H107" s="4" t="s">
        <v>2816</v>
      </c>
      <c r="I107" s="4" t="s">
        <v>132</v>
      </c>
      <c r="J107" s="23" t="s">
        <v>3893</v>
      </c>
      <c r="K107" s="27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34">
        <v>2</v>
      </c>
      <c r="X107" s="31">
        <v>3</v>
      </c>
    </row>
    <row r="108" spans="2:35">
      <c r="B108" s="17" t="str">
        <f>IFERROR(VLOOKUP(C108,[4]Sheet2!$C$3:$F$1223,2,0),"")</f>
        <v>Daegu</v>
      </c>
      <c r="C108" s="3">
        <v>86425</v>
      </c>
      <c r="D108" s="18" t="str">
        <f>IFERROR(VLOOKUP(C108,[4]Sheet2!$C$1:$F$1223,3,0),"")</f>
        <v>김태경</v>
      </c>
      <c r="E108" s="18" t="str">
        <f>IFERROR(VLOOKUP(C108,[4]Sheet2!$C$1:$F$1223,4,0),"")</f>
        <v>주식회사 태양수입주류</v>
      </c>
      <c r="F108" s="2" t="s">
        <v>3654</v>
      </c>
      <c r="G108" s="3" t="s">
        <v>3655</v>
      </c>
      <c r="H108" s="4" t="s">
        <v>2816</v>
      </c>
      <c r="I108" s="4" t="s">
        <v>2784</v>
      </c>
      <c r="J108" s="23" t="s">
        <v>3894</v>
      </c>
      <c r="K108" s="27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34">
        <v>1</v>
      </c>
    </row>
    <row r="109" spans="2:35">
      <c r="B109" s="17" t="str">
        <f>IFERROR(VLOOKUP(C109,[3]Sheet2!$C$3:$F$1223,2,0),"")</f>
        <v/>
      </c>
      <c r="C109" s="3"/>
      <c r="D109" s="18" t="str">
        <f>IFERROR(VLOOKUP(C109,[3]Sheet2!$C$1:$F$1223,3,0),"")</f>
        <v/>
      </c>
      <c r="E109" s="18" t="str">
        <f>IFERROR(VLOOKUP(C109,[3]Sheet2!$C$1:$F$1223,4,0),"")</f>
        <v/>
      </c>
      <c r="F109" s="2"/>
      <c r="G109" s="3"/>
      <c r="H109" s="4" t="s">
        <v>3656</v>
      </c>
      <c r="I109" s="4"/>
      <c r="J109" s="23"/>
      <c r="K109" s="27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34"/>
    </row>
    <row r="110" spans="2:35">
      <c r="B110" s="17" t="str">
        <f>IFERROR(VLOOKUP(C110,[3]Sheet2!$C$3:$F$1223,2,0),"")</f>
        <v/>
      </c>
      <c r="C110" s="3"/>
      <c r="D110" s="18" t="str">
        <f>IFERROR(VLOOKUP(C110,[3]Sheet2!$C$1:$F$1223,3,0),"")</f>
        <v/>
      </c>
      <c r="E110" s="18" t="str">
        <f>IFERROR(VLOOKUP(C110,[3]Sheet2!$C$1:$F$1223,4,0),"")</f>
        <v/>
      </c>
      <c r="F110" s="2"/>
      <c r="G110" s="3"/>
      <c r="H110" s="4"/>
      <c r="I110" s="4"/>
      <c r="J110" s="23"/>
      <c r="K110" s="27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34"/>
    </row>
    <row r="111" spans="2:35">
      <c r="B111" s="17" t="str">
        <f>IFERROR(VLOOKUP(C111,[3]Sheet2!$C$3:$F$1223,2,0),"")</f>
        <v/>
      </c>
      <c r="C111" s="3"/>
      <c r="D111" s="18" t="str">
        <f>IFERROR(VLOOKUP(C111,[3]Sheet2!$C$1:$F$1223,3,0),"")</f>
        <v/>
      </c>
      <c r="E111" s="18" t="str">
        <f>IFERROR(VLOOKUP(C111,[3]Sheet2!$C$1:$F$1223,4,0),"")</f>
        <v/>
      </c>
      <c r="F111" s="2"/>
      <c r="G111" s="3"/>
      <c r="H111" s="4"/>
      <c r="I111" s="4"/>
      <c r="J111" s="23"/>
      <c r="K111" s="27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34"/>
    </row>
    <row r="112" spans="2:35">
      <c r="B112" s="17" t="str">
        <f>IFERROR(VLOOKUP(C112,[3]Sheet2!$C$3:$F$1223,2,0),"")</f>
        <v/>
      </c>
      <c r="C112" s="3"/>
      <c r="D112" s="18" t="str">
        <f>IFERROR(VLOOKUP(C112,[3]Sheet2!$C$1:$F$1223,3,0),"")</f>
        <v/>
      </c>
      <c r="E112" s="18" t="str">
        <f>IFERROR(VLOOKUP(C112,[3]Sheet2!$C$1:$F$1223,4,0),"")</f>
        <v/>
      </c>
      <c r="F112" s="2"/>
      <c r="G112" s="3"/>
      <c r="H112" s="4"/>
      <c r="I112" s="4"/>
      <c r="J112" s="23"/>
      <c r="K112" s="27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34"/>
    </row>
    <row r="113" spans="2:22">
      <c r="B113" s="17" t="str">
        <f>IFERROR(VLOOKUP(C113,[3]Sheet2!$C$3:$F$1223,2,0),"")</f>
        <v/>
      </c>
      <c r="C113" s="3"/>
      <c r="D113" s="18" t="str">
        <f>IFERROR(VLOOKUP(C113,[3]Sheet2!$C$1:$F$1223,3,0),"")</f>
        <v/>
      </c>
      <c r="E113" s="18" t="str">
        <f>IFERROR(VLOOKUP(C113,[3]Sheet2!$C$1:$F$1223,4,0),"")</f>
        <v/>
      </c>
      <c r="F113" s="2"/>
      <c r="G113" s="3"/>
      <c r="H113" s="4"/>
      <c r="I113" s="4"/>
      <c r="J113" s="23"/>
      <c r="K113" s="27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34"/>
    </row>
    <row r="114" spans="2:22">
      <c r="B114" s="17" t="str">
        <f>IFERROR(VLOOKUP(C114,[3]Sheet2!$C$3:$F$1223,2,0),"")</f>
        <v/>
      </c>
      <c r="C114" s="3"/>
      <c r="D114" s="18" t="str">
        <f>IFERROR(VLOOKUP(C114,[3]Sheet2!$C$1:$F$1223,3,0),"")</f>
        <v/>
      </c>
      <c r="E114" s="18" t="str">
        <f>IFERROR(VLOOKUP(C114,[3]Sheet2!$C$1:$F$1223,4,0),"")</f>
        <v/>
      </c>
      <c r="F114" s="2"/>
      <c r="G114" s="3"/>
      <c r="H114" s="4"/>
      <c r="I114" s="4"/>
      <c r="J114" s="23"/>
      <c r="K114" s="27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34"/>
    </row>
    <row r="115" spans="2:22">
      <c r="B115" s="17" t="str">
        <f>IFERROR(VLOOKUP(C115,[3]Sheet2!$C$3:$F$1223,2,0),"")</f>
        <v/>
      </c>
      <c r="C115" s="3"/>
      <c r="D115" s="18" t="str">
        <f>IFERROR(VLOOKUP(C115,[3]Sheet2!$C$1:$F$1223,3,0),"")</f>
        <v/>
      </c>
      <c r="E115" s="18" t="str">
        <f>IFERROR(VLOOKUP(C115,[3]Sheet2!$C$1:$F$1223,4,0),"")</f>
        <v/>
      </c>
      <c r="F115" s="2"/>
      <c r="G115" s="3"/>
      <c r="H115" s="4"/>
      <c r="I115" s="4"/>
      <c r="J115" s="23"/>
      <c r="K115" s="27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34"/>
    </row>
    <row r="116" spans="2:22">
      <c r="B116" s="17" t="str">
        <f>IFERROR(VLOOKUP(C116,[3]Sheet2!$C$3:$F$1223,2,0),"")</f>
        <v/>
      </c>
      <c r="C116" s="3"/>
      <c r="D116" s="18" t="str">
        <f>IFERROR(VLOOKUP(C116,[3]Sheet2!$C$1:$F$1223,3,0),"")</f>
        <v/>
      </c>
      <c r="E116" s="18" t="str">
        <f>IFERROR(VLOOKUP(C116,[3]Sheet2!$C$1:$F$1223,4,0),"")</f>
        <v/>
      </c>
      <c r="F116" s="2"/>
      <c r="G116" s="3"/>
      <c r="H116" s="4"/>
      <c r="I116" s="4"/>
      <c r="J116" s="23"/>
      <c r="K116" s="27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34"/>
    </row>
    <row r="117" spans="2:22">
      <c r="B117" s="17" t="str">
        <f>IFERROR(VLOOKUP(C117,[3]Sheet2!$C$3:$F$1223,2,0),"")</f>
        <v/>
      </c>
      <c r="C117" s="3"/>
      <c r="D117" s="18" t="str">
        <f>IFERROR(VLOOKUP(C117,[3]Sheet2!$C$1:$F$1223,3,0),"")</f>
        <v/>
      </c>
      <c r="E117" s="18" t="str">
        <f>IFERROR(VLOOKUP(C117,[3]Sheet2!$C$1:$F$1223,4,0),"")</f>
        <v/>
      </c>
      <c r="F117" s="2"/>
      <c r="G117" s="3"/>
      <c r="H117" s="4"/>
      <c r="I117" s="4"/>
      <c r="J117" s="23"/>
      <c r="K117" s="27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34"/>
    </row>
    <row r="118" spans="2:22">
      <c r="B118" s="17" t="str">
        <f>IFERROR(VLOOKUP(C118,[3]Sheet2!$C$3:$F$1223,2,0),"")</f>
        <v/>
      </c>
      <c r="C118" s="3"/>
      <c r="D118" s="18" t="str">
        <f>IFERROR(VLOOKUP(C118,[3]Sheet2!$C$1:$F$1223,3,0),"")</f>
        <v/>
      </c>
      <c r="E118" s="18" t="str">
        <f>IFERROR(VLOOKUP(C118,[3]Sheet2!$C$1:$F$1223,4,0),"")</f>
        <v/>
      </c>
      <c r="F118" s="2"/>
      <c r="G118" s="3"/>
      <c r="H118" s="4"/>
      <c r="I118" s="4"/>
      <c r="J118" s="23"/>
      <c r="K118" s="27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34"/>
    </row>
    <row r="119" spans="2:22">
      <c r="B119" s="17" t="str">
        <f>IFERROR(VLOOKUP(C119,[3]Sheet2!$C$3:$F$1223,2,0),"")</f>
        <v/>
      </c>
      <c r="C119" s="3"/>
      <c r="D119" s="18" t="str">
        <f>IFERROR(VLOOKUP(C119,[3]Sheet2!$C$1:$F$1223,3,0),"")</f>
        <v/>
      </c>
      <c r="E119" s="18" t="str">
        <f>IFERROR(VLOOKUP(C119,[3]Sheet2!$C$1:$F$1223,4,0),"")</f>
        <v/>
      </c>
      <c r="F119" s="2"/>
      <c r="G119" s="3"/>
      <c r="H119" s="4"/>
      <c r="I119" s="4"/>
      <c r="J119" s="23"/>
      <c r="K119" s="27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34"/>
    </row>
    <row r="120" spans="2:22">
      <c r="B120" s="17" t="str">
        <f>IFERROR(VLOOKUP(C120,[3]Sheet2!$C$3:$F$1223,2,0),"")</f>
        <v/>
      </c>
      <c r="C120" s="3"/>
      <c r="D120" s="18" t="str">
        <f>IFERROR(VLOOKUP(C120,[3]Sheet2!$C$1:$F$1223,3,0),"")</f>
        <v/>
      </c>
      <c r="E120" s="18" t="str">
        <f>IFERROR(VLOOKUP(C120,[3]Sheet2!$C$1:$F$1223,4,0),"")</f>
        <v/>
      </c>
      <c r="F120" s="2"/>
      <c r="G120" s="3"/>
      <c r="H120" s="4"/>
      <c r="I120" s="4"/>
      <c r="J120" s="23"/>
      <c r="K120" s="27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34"/>
    </row>
    <row r="121" spans="2:22">
      <c r="B121" s="17" t="str">
        <f>IFERROR(VLOOKUP(C121,[3]Sheet2!$C$3:$F$1223,2,0),"")</f>
        <v/>
      </c>
      <c r="C121" s="3"/>
      <c r="D121" s="18" t="str">
        <f>IFERROR(VLOOKUP(C121,[3]Sheet2!$C$1:$F$1223,3,0),"")</f>
        <v/>
      </c>
      <c r="E121" s="18" t="str">
        <f>IFERROR(VLOOKUP(C121,[3]Sheet2!$C$1:$F$1223,4,0),"")</f>
        <v/>
      </c>
      <c r="F121" s="2"/>
      <c r="G121" s="3"/>
      <c r="H121" s="4"/>
      <c r="I121" s="4"/>
      <c r="J121" s="23"/>
      <c r="K121" s="27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34"/>
    </row>
    <row r="122" spans="2:22">
      <c r="B122" s="17" t="str">
        <f>IFERROR(VLOOKUP(C122,[3]Sheet2!$C$3:$F$1223,2,0),"")</f>
        <v/>
      </c>
      <c r="C122" s="3"/>
      <c r="D122" s="18" t="str">
        <f>IFERROR(VLOOKUP(C122,[3]Sheet2!$C$1:$F$1223,3,0),"")</f>
        <v/>
      </c>
      <c r="E122" s="18" t="str">
        <f>IFERROR(VLOOKUP(C122,[3]Sheet2!$C$1:$F$1223,4,0),"")</f>
        <v/>
      </c>
      <c r="F122" s="2"/>
      <c r="G122" s="3"/>
      <c r="H122" s="4"/>
      <c r="I122" s="4"/>
      <c r="J122" s="23"/>
      <c r="K122" s="27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34"/>
    </row>
    <row r="123" spans="2:22">
      <c r="B123" s="17" t="str">
        <f>IFERROR(VLOOKUP(C123,[3]Sheet2!$C$3:$F$1223,2,0),"")</f>
        <v/>
      </c>
      <c r="C123" s="3"/>
      <c r="D123" s="18" t="str">
        <f>IFERROR(VLOOKUP(C123,[3]Sheet2!$C$1:$F$1223,3,0),"")</f>
        <v/>
      </c>
      <c r="E123" s="18" t="str">
        <f>IFERROR(VLOOKUP(C123,[3]Sheet2!$C$1:$F$1223,4,0),"")</f>
        <v/>
      </c>
      <c r="F123" s="2"/>
      <c r="G123" s="3"/>
      <c r="H123" s="4"/>
      <c r="I123" s="4"/>
      <c r="J123" s="23"/>
      <c r="K123" s="27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34"/>
    </row>
    <row r="124" spans="2:22">
      <c r="B124" s="17" t="str">
        <f>IFERROR(VLOOKUP(C124,[3]Sheet2!$C$3:$F$1223,2,0),"")</f>
        <v/>
      </c>
      <c r="C124" s="3"/>
      <c r="D124" s="18" t="str">
        <f>IFERROR(VLOOKUP(C124,[3]Sheet2!$C$1:$F$1223,3,0),"")</f>
        <v/>
      </c>
      <c r="E124" s="18" t="str">
        <f>IFERROR(VLOOKUP(C124,[3]Sheet2!$C$1:$F$1223,4,0),"")</f>
        <v/>
      </c>
      <c r="F124" s="2"/>
      <c r="G124" s="3"/>
      <c r="H124" s="4"/>
      <c r="I124" s="4"/>
      <c r="J124" s="23"/>
      <c r="K124" s="27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34"/>
    </row>
    <row r="125" spans="2:22">
      <c r="B125" s="17" t="str">
        <f>IFERROR(VLOOKUP(C125,[3]Sheet2!$C$3:$F$1223,2,0),"")</f>
        <v/>
      </c>
      <c r="C125" s="3"/>
      <c r="D125" s="18" t="str">
        <f>IFERROR(VLOOKUP(C125,[3]Sheet2!$C$1:$F$1223,3,0),"")</f>
        <v/>
      </c>
      <c r="E125" s="18" t="str">
        <f>IFERROR(VLOOKUP(C125,[3]Sheet2!$C$1:$F$1223,4,0),"")</f>
        <v/>
      </c>
      <c r="F125" s="2"/>
      <c r="G125" s="3"/>
      <c r="H125" s="4"/>
      <c r="I125" s="4"/>
      <c r="J125" s="23"/>
      <c r="K125" s="27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34"/>
    </row>
    <row r="126" spans="2:22">
      <c r="B126" s="17" t="str">
        <f>IFERROR(VLOOKUP(C126,[3]Sheet2!$C$3:$F$1223,2,0),"")</f>
        <v/>
      </c>
      <c r="C126" s="3"/>
      <c r="D126" s="18" t="str">
        <f>IFERROR(VLOOKUP(C126,[3]Sheet2!$C$1:$F$1223,3,0),"")</f>
        <v/>
      </c>
      <c r="E126" s="18" t="str">
        <f>IFERROR(VLOOKUP(C126,[3]Sheet2!$C$1:$F$1223,4,0),"")</f>
        <v/>
      </c>
      <c r="F126" s="2"/>
      <c r="G126" s="3"/>
      <c r="H126" s="4"/>
      <c r="I126" s="4"/>
      <c r="J126" s="23"/>
      <c r="K126" s="27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34"/>
    </row>
    <row r="127" spans="2:22">
      <c r="B127" s="17" t="str">
        <f>IFERROR(VLOOKUP(C127,[3]Sheet2!$C$3:$F$1223,2,0),"")</f>
        <v/>
      </c>
      <c r="C127" s="3"/>
      <c r="D127" s="18" t="str">
        <f>IFERROR(VLOOKUP(C127,[3]Sheet2!$C$1:$F$1223,3,0),"")</f>
        <v/>
      </c>
      <c r="E127" s="18" t="str">
        <f>IFERROR(VLOOKUP(C127,[3]Sheet2!$C$1:$F$1223,4,0),"")</f>
        <v/>
      </c>
      <c r="F127" s="2"/>
      <c r="G127" s="3"/>
      <c r="H127" s="4"/>
      <c r="I127" s="4"/>
      <c r="J127" s="23"/>
      <c r="K127" s="27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34"/>
    </row>
    <row r="128" spans="2:22">
      <c r="B128" s="17" t="str">
        <f>IFERROR(VLOOKUP(C128,[3]Sheet2!$C$3:$F$1223,2,0),"")</f>
        <v/>
      </c>
      <c r="C128" s="3"/>
      <c r="D128" s="18" t="str">
        <f>IFERROR(VLOOKUP(C128,[3]Sheet2!$C$1:$F$1223,3,0),"")</f>
        <v/>
      </c>
      <c r="E128" s="18" t="str">
        <f>IFERROR(VLOOKUP(C128,[3]Sheet2!$C$1:$F$1223,4,0),"")</f>
        <v/>
      </c>
      <c r="F128" s="2"/>
      <c r="G128" s="3"/>
      <c r="H128" s="4"/>
      <c r="I128" s="4"/>
      <c r="J128" s="23"/>
      <c r="K128" s="27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34"/>
    </row>
    <row r="129" spans="2:22">
      <c r="B129" s="17" t="str">
        <f>IFERROR(VLOOKUP(C129,[3]Sheet2!$C$3:$F$1223,2,0),"")</f>
        <v/>
      </c>
      <c r="C129" s="3"/>
      <c r="D129" s="18" t="str">
        <f>IFERROR(VLOOKUP(C129,[3]Sheet2!$C$1:$F$1223,3,0),"")</f>
        <v/>
      </c>
      <c r="E129" s="18" t="str">
        <f>IFERROR(VLOOKUP(C129,[3]Sheet2!$C$1:$F$1223,4,0),"")</f>
        <v/>
      </c>
      <c r="F129" s="2"/>
      <c r="G129" s="3"/>
      <c r="H129" s="4"/>
      <c r="I129" s="4"/>
      <c r="J129" s="23"/>
      <c r="K129" s="27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34"/>
    </row>
    <row r="130" spans="2:22">
      <c r="B130" s="17" t="str">
        <f>IFERROR(VLOOKUP(C130,[3]Sheet2!$C$3:$F$1223,2,0),"")</f>
        <v/>
      </c>
      <c r="C130" s="3"/>
      <c r="D130" s="18" t="str">
        <f>IFERROR(VLOOKUP(C130,[3]Sheet2!$C$1:$F$1223,3,0),"")</f>
        <v/>
      </c>
      <c r="E130" s="18" t="str">
        <f>IFERROR(VLOOKUP(C130,[3]Sheet2!$C$1:$F$1223,4,0),"")</f>
        <v/>
      </c>
      <c r="F130" s="2"/>
      <c r="G130" s="3"/>
      <c r="H130" s="4"/>
      <c r="I130" s="4"/>
      <c r="J130" s="23"/>
      <c r="K130" s="27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34"/>
    </row>
    <row r="131" spans="2:22">
      <c r="B131" s="17" t="str">
        <f>IFERROR(VLOOKUP(C131,[3]Sheet2!$C$3:$F$1223,2,0),"")</f>
        <v/>
      </c>
      <c r="C131" s="3"/>
      <c r="D131" s="18" t="str">
        <f>IFERROR(VLOOKUP(C131,[3]Sheet2!$C$1:$F$1223,3,0),"")</f>
        <v/>
      </c>
      <c r="E131" s="18" t="str">
        <f>IFERROR(VLOOKUP(C131,[3]Sheet2!$C$1:$F$1223,4,0),"")</f>
        <v/>
      </c>
      <c r="F131" s="2"/>
      <c r="G131" s="3"/>
      <c r="H131" s="4"/>
      <c r="I131" s="4"/>
      <c r="J131" s="23"/>
      <c r="K131" s="27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34"/>
    </row>
    <row r="132" spans="2:22">
      <c r="B132" s="17" t="str">
        <f>IFERROR(VLOOKUP(C132,[3]Sheet2!$C$3:$F$1223,2,0),"")</f>
        <v/>
      </c>
      <c r="C132" s="3"/>
      <c r="D132" s="18" t="str">
        <f>IFERROR(VLOOKUP(C132,[3]Sheet2!$C$1:$F$1223,3,0),"")</f>
        <v/>
      </c>
      <c r="E132" s="18" t="str">
        <f>IFERROR(VLOOKUP(C132,[3]Sheet2!$C$1:$F$1223,4,0),"")</f>
        <v/>
      </c>
      <c r="F132" s="2"/>
      <c r="G132" s="3"/>
      <c r="H132" s="4"/>
      <c r="I132" s="4"/>
      <c r="J132" s="23"/>
      <c r="K132" s="27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34"/>
    </row>
    <row r="133" spans="2:22">
      <c r="B133" s="17" t="str">
        <f>IFERROR(VLOOKUP(C133,[3]Sheet2!$C$3:$F$1223,2,0),"")</f>
        <v/>
      </c>
      <c r="C133" s="3"/>
      <c r="D133" s="18" t="str">
        <f>IFERROR(VLOOKUP(C133,[3]Sheet2!$C$1:$F$1223,3,0),"")</f>
        <v/>
      </c>
      <c r="E133" s="18" t="str">
        <f>IFERROR(VLOOKUP(C133,[3]Sheet2!$C$1:$F$1223,4,0),"")</f>
        <v/>
      </c>
      <c r="F133" s="2"/>
      <c r="G133" s="3"/>
      <c r="H133" s="4"/>
      <c r="I133" s="4"/>
      <c r="J133" s="23"/>
      <c r="K133" s="27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34"/>
    </row>
    <row r="134" spans="2:22">
      <c r="B134" s="17" t="str">
        <f>IFERROR(VLOOKUP(C134,[3]Sheet2!$C$3:$F$1223,2,0),"")</f>
        <v/>
      </c>
      <c r="C134" s="3"/>
      <c r="D134" s="18" t="str">
        <f>IFERROR(VLOOKUP(C134,[3]Sheet2!$C$1:$F$1223,3,0),"")</f>
        <v/>
      </c>
      <c r="E134" s="18" t="str">
        <f>IFERROR(VLOOKUP(C134,[3]Sheet2!$C$1:$F$1223,4,0),"")</f>
        <v/>
      </c>
      <c r="F134" s="2"/>
      <c r="G134" s="3"/>
      <c r="H134" s="4"/>
      <c r="I134" s="4"/>
      <c r="J134" s="23"/>
      <c r="K134" s="27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34"/>
    </row>
    <row r="135" spans="2:22">
      <c r="B135" s="17" t="str">
        <f>IFERROR(VLOOKUP(C135,[3]Sheet2!$C$3:$F$1223,2,0),"")</f>
        <v/>
      </c>
      <c r="C135" s="3"/>
      <c r="D135" s="18" t="str">
        <f>IFERROR(VLOOKUP(C135,[3]Sheet2!$C$1:$F$1223,3,0),"")</f>
        <v/>
      </c>
      <c r="E135" s="18" t="str">
        <f>IFERROR(VLOOKUP(C135,[3]Sheet2!$C$1:$F$1223,4,0),"")</f>
        <v/>
      </c>
      <c r="F135" s="2"/>
      <c r="G135" s="3"/>
      <c r="H135" s="4"/>
      <c r="I135" s="4"/>
      <c r="J135" s="23"/>
      <c r="K135" s="27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34"/>
    </row>
    <row r="136" spans="2:22">
      <c r="B136" s="17" t="str">
        <f>IFERROR(VLOOKUP(C136,[3]Sheet2!$C$3:$F$1223,2,0),"")</f>
        <v/>
      </c>
      <c r="C136" s="3"/>
      <c r="D136" s="18" t="str">
        <f>IFERROR(VLOOKUP(C136,[3]Sheet2!$C$1:$F$1223,3,0),"")</f>
        <v/>
      </c>
      <c r="E136" s="18" t="str">
        <f>IFERROR(VLOOKUP(C136,[3]Sheet2!$C$1:$F$1223,4,0),"")</f>
        <v/>
      </c>
      <c r="F136" s="2"/>
      <c r="G136" s="3"/>
      <c r="H136" s="4"/>
      <c r="I136" s="4"/>
      <c r="J136" s="23"/>
      <c r="K136" s="27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34"/>
    </row>
    <row r="137" spans="2:22">
      <c r="B137" s="17" t="str">
        <f>IFERROR(VLOOKUP(C137,[3]Sheet2!$C$3:$F$1223,2,0),"")</f>
        <v/>
      </c>
      <c r="C137" s="3"/>
      <c r="D137" s="18" t="str">
        <f>IFERROR(VLOOKUP(C137,[3]Sheet2!$C$1:$F$1223,3,0),"")</f>
        <v/>
      </c>
      <c r="E137" s="18" t="str">
        <f>IFERROR(VLOOKUP(C137,[3]Sheet2!$C$1:$F$1223,4,0),"")</f>
        <v/>
      </c>
      <c r="F137" s="2"/>
      <c r="G137" s="3"/>
      <c r="H137" s="4"/>
      <c r="I137" s="4"/>
      <c r="J137" s="23"/>
      <c r="K137" s="27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34"/>
    </row>
    <row r="138" spans="2:22">
      <c r="B138" s="17" t="str">
        <f>IFERROR(VLOOKUP(C138,[3]Sheet2!$C$3:$F$1223,2,0),"")</f>
        <v/>
      </c>
      <c r="C138" s="3"/>
      <c r="D138" s="18" t="str">
        <f>IFERROR(VLOOKUP(C138,[3]Sheet2!$C$1:$F$1223,3,0),"")</f>
        <v/>
      </c>
      <c r="E138" s="18" t="str">
        <f>IFERROR(VLOOKUP(C138,[3]Sheet2!$C$1:$F$1223,4,0),"")</f>
        <v/>
      </c>
      <c r="F138" s="2"/>
      <c r="G138" s="3"/>
      <c r="H138" s="4"/>
      <c r="I138" s="4"/>
      <c r="J138" s="23"/>
      <c r="K138" s="27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34"/>
    </row>
    <row r="139" spans="2:22">
      <c r="B139" s="17" t="str">
        <f>IFERROR(VLOOKUP(C139,[3]Sheet2!$C$3:$F$1223,2,0),"")</f>
        <v/>
      </c>
      <c r="C139" s="3"/>
      <c r="D139" s="18" t="str">
        <f>IFERROR(VLOOKUP(C139,[3]Sheet2!$C$1:$F$1223,3,0),"")</f>
        <v/>
      </c>
      <c r="E139" s="18" t="str">
        <f>IFERROR(VLOOKUP(C139,[3]Sheet2!$C$1:$F$1223,4,0),"")</f>
        <v/>
      </c>
      <c r="F139" s="2"/>
      <c r="G139" s="3"/>
      <c r="H139" s="4"/>
      <c r="I139" s="4"/>
      <c r="J139" s="23"/>
      <c r="K139" s="27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34"/>
    </row>
    <row r="140" spans="2:22">
      <c r="B140" s="17" t="str">
        <f>IFERROR(VLOOKUP(C140,[3]Sheet2!$C$3:$F$1223,2,0),"")</f>
        <v/>
      </c>
      <c r="C140" s="3"/>
      <c r="D140" s="18" t="str">
        <f>IFERROR(VLOOKUP(C140,[3]Sheet2!$C$1:$F$1223,3,0),"")</f>
        <v/>
      </c>
      <c r="E140" s="18" t="str">
        <f>IFERROR(VLOOKUP(C140,[3]Sheet2!$C$1:$F$1223,4,0),"")</f>
        <v/>
      </c>
      <c r="F140" s="2"/>
      <c r="G140" s="3"/>
      <c r="H140" s="4"/>
      <c r="I140" s="4"/>
      <c r="J140" s="23"/>
      <c r="K140" s="27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34"/>
    </row>
    <row r="141" spans="2:22">
      <c r="B141" s="17" t="str">
        <f>IFERROR(VLOOKUP(C141,[3]Sheet2!$C$3:$F$1223,2,0),"")</f>
        <v/>
      </c>
      <c r="C141" s="3"/>
      <c r="D141" s="18" t="str">
        <f>IFERROR(VLOOKUP(C141,[3]Sheet2!$C$1:$F$1223,3,0),"")</f>
        <v/>
      </c>
      <c r="E141" s="18" t="str">
        <f>IFERROR(VLOOKUP(C141,[3]Sheet2!$C$1:$F$1223,4,0),"")</f>
        <v/>
      </c>
      <c r="F141" s="2"/>
      <c r="G141" s="3"/>
      <c r="H141" s="4"/>
      <c r="I141" s="4"/>
      <c r="J141" s="23"/>
      <c r="K141" s="27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34"/>
    </row>
    <row r="142" spans="2:22">
      <c r="B142" s="17" t="str">
        <f>IFERROR(VLOOKUP(C142,[3]Sheet2!$C$3:$F$1223,2,0),"")</f>
        <v/>
      </c>
      <c r="C142" s="3"/>
      <c r="D142" s="18" t="str">
        <f>IFERROR(VLOOKUP(C142,[3]Sheet2!$C$1:$F$1223,3,0),"")</f>
        <v/>
      </c>
      <c r="E142" s="18" t="str">
        <f>IFERROR(VLOOKUP(C142,[3]Sheet2!$C$1:$F$1223,4,0),"")</f>
        <v/>
      </c>
      <c r="F142" s="2"/>
      <c r="G142" s="3"/>
      <c r="H142" s="4"/>
      <c r="I142" s="4"/>
      <c r="J142" s="23"/>
      <c r="K142" s="27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34"/>
    </row>
    <row r="143" spans="2:22">
      <c r="B143" s="17" t="str">
        <f>IFERROR(VLOOKUP(C143,[3]Sheet2!$C$3:$F$1223,2,0),"")</f>
        <v/>
      </c>
      <c r="C143" s="3"/>
      <c r="D143" s="18" t="str">
        <f>IFERROR(VLOOKUP(C143,[3]Sheet2!$C$1:$F$1223,3,0),"")</f>
        <v/>
      </c>
      <c r="E143" s="18" t="str">
        <f>IFERROR(VLOOKUP(C143,[3]Sheet2!$C$1:$F$1223,4,0),"")</f>
        <v/>
      </c>
      <c r="F143" s="2"/>
      <c r="G143" s="3"/>
      <c r="H143" s="4"/>
      <c r="I143" s="4"/>
      <c r="J143" s="23"/>
      <c r="K143" s="27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34"/>
    </row>
    <row r="144" spans="2:22">
      <c r="B144" s="17" t="str">
        <f>IFERROR(VLOOKUP(C144,[3]Sheet2!$C$3:$F$1223,2,0),"")</f>
        <v/>
      </c>
      <c r="C144" s="3"/>
      <c r="D144" s="18" t="str">
        <f>IFERROR(VLOOKUP(C144,[3]Sheet2!$C$1:$F$1223,3,0),"")</f>
        <v/>
      </c>
      <c r="E144" s="18" t="str">
        <f>IFERROR(VLOOKUP(C144,[3]Sheet2!$C$1:$F$1223,4,0),"")</f>
        <v/>
      </c>
      <c r="F144" s="2"/>
      <c r="G144" s="3"/>
      <c r="H144" s="4"/>
      <c r="I144" s="4"/>
      <c r="J144" s="23"/>
      <c r="K144" s="27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34"/>
    </row>
    <row r="145" spans="2:22">
      <c r="B145" s="17" t="str">
        <f>IFERROR(VLOOKUP(C145,[3]Sheet2!$C$3:$F$1223,2,0),"")</f>
        <v/>
      </c>
      <c r="C145" s="3"/>
      <c r="D145" s="18" t="str">
        <f>IFERROR(VLOOKUP(C145,[3]Sheet2!$C$1:$F$1223,3,0),"")</f>
        <v/>
      </c>
      <c r="E145" s="18" t="str">
        <f>IFERROR(VLOOKUP(C145,[3]Sheet2!$C$1:$F$1223,4,0),"")</f>
        <v/>
      </c>
      <c r="F145" s="2"/>
      <c r="G145" s="3"/>
      <c r="H145" s="4"/>
      <c r="I145" s="4"/>
      <c r="J145" s="23"/>
      <c r="K145" s="27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34"/>
    </row>
    <row r="146" spans="2:22">
      <c r="B146" s="17" t="str">
        <f>IFERROR(VLOOKUP(C146,[3]Sheet2!$C$3:$F$1223,2,0),"")</f>
        <v/>
      </c>
      <c r="C146" s="3"/>
      <c r="D146" s="18" t="str">
        <f>IFERROR(VLOOKUP(C146,[3]Sheet2!$C$1:$F$1223,3,0),"")</f>
        <v/>
      </c>
      <c r="E146" s="18" t="str">
        <f>IFERROR(VLOOKUP(C146,[3]Sheet2!$C$1:$F$1223,4,0),"")</f>
        <v/>
      </c>
      <c r="F146" s="2"/>
      <c r="G146" s="3"/>
      <c r="H146" s="4"/>
      <c r="I146" s="4"/>
      <c r="J146" s="23"/>
      <c r="K146" s="27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34"/>
    </row>
    <row r="147" spans="2:22">
      <c r="B147" s="17" t="str">
        <f>IFERROR(VLOOKUP(C147,[3]Sheet2!$C$3:$F$1223,2,0),"")</f>
        <v/>
      </c>
      <c r="C147" s="3"/>
      <c r="D147" s="18" t="str">
        <f>IFERROR(VLOOKUP(C147,[3]Sheet2!$C$1:$F$1223,3,0),"")</f>
        <v/>
      </c>
      <c r="E147" s="18" t="str">
        <f>IFERROR(VLOOKUP(C147,[3]Sheet2!$C$1:$F$1223,4,0),"")</f>
        <v/>
      </c>
      <c r="F147" s="2"/>
      <c r="G147" s="3"/>
      <c r="H147" s="4"/>
      <c r="I147" s="4"/>
      <c r="J147" s="23"/>
      <c r="K147" s="27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34"/>
    </row>
    <row r="148" spans="2:22">
      <c r="B148" s="17" t="str">
        <f>IFERROR(VLOOKUP(C148,[3]Sheet2!$C$3:$F$1223,2,0),"")</f>
        <v/>
      </c>
      <c r="C148" s="3"/>
      <c r="D148" s="18" t="str">
        <f>IFERROR(VLOOKUP(C148,[3]Sheet2!$C$1:$F$1223,3,0),"")</f>
        <v/>
      </c>
      <c r="E148" s="18" t="str">
        <f>IFERROR(VLOOKUP(C148,[3]Sheet2!$C$1:$F$1223,4,0),"")</f>
        <v/>
      </c>
      <c r="F148" s="2"/>
      <c r="G148" s="3"/>
      <c r="H148" s="4"/>
      <c r="I148" s="4"/>
      <c r="J148" s="23"/>
      <c r="K148" s="27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34"/>
    </row>
    <row r="149" spans="2:22">
      <c r="B149" s="17" t="str">
        <f>IFERROR(VLOOKUP(C149,[3]Sheet2!$C$3:$F$1223,2,0),"")</f>
        <v/>
      </c>
      <c r="C149" s="3"/>
      <c r="D149" s="18" t="str">
        <f>IFERROR(VLOOKUP(C149,[3]Sheet2!$C$1:$F$1223,3,0),"")</f>
        <v/>
      </c>
      <c r="E149" s="18" t="str">
        <f>IFERROR(VLOOKUP(C149,[3]Sheet2!$C$1:$F$1223,4,0),"")</f>
        <v/>
      </c>
      <c r="F149" s="2"/>
      <c r="G149" s="3"/>
      <c r="H149" s="4"/>
      <c r="I149" s="4"/>
      <c r="J149" s="23"/>
      <c r="K149" s="27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34"/>
    </row>
    <row r="150" spans="2:22">
      <c r="B150" s="17" t="str">
        <f>IFERROR(VLOOKUP(C150,[3]Sheet2!$C$3:$F$1223,2,0),"")</f>
        <v/>
      </c>
      <c r="C150" s="3"/>
      <c r="D150" s="18" t="str">
        <f>IFERROR(VLOOKUP(C150,[3]Sheet2!$C$1:$F$1223,3,0),"")</f>
        <v/>
      </c>
      <c r="E150" s="18" t="str">
        <f>IFERROR(VLOOKUP(C150,[3]Sheet2!$C$1:$F$1223,4,0),"")</f>
        <v/>
      </c>
      <c r="F150" s="2"/>
      <c r="G150" s="3"/>
      <c r="H150" s="4"/>
      <c r="I150" s="4"/>
      <c r="J150" s="23"/>
      <c r="K150" s="27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34"/>
    </row>
    <row r="151" spans="2:22">
      <c r="B151" s="17" t="str">
        <f>IFERROR(VLOOKUP(C151,[3]Sheet2!$C$3:$F$1223,2,0),"")</f>
        <v/>
      </c>
      <c r="C151" s="3"/>
      <c r="D151" s="18" t="str">
        <f>IFERROR(VLOOKUP(C151,[3]Sheet2!$C$1:$F$1223,3,0),"")</f>
        <v/>
      </c>
      <c r="E151" s="18" t="str">
        <f>IFERROR(VLOOKUP(C151,[3]Sheet2!$C$1:$F$1223,4,0),"")</f>
        <v/>
      </c>
      <c r="F151" s="2"/>
      <c r="G151" s="3"/>
      <c r="H151" s="4"/>
      <c r="I151" s="4"/>
      <c r="J151" s="23"/>
      <c r="K151" s="27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34"/>
    </row>
    <row r="152" spans="2:22">
      <c r="B152" s="17" t="str">
        <f>IFERROR(VLOOKUP(C152,[3]Sheet2!$C$3:$F$1223,2,0),"")</f>
        <v/>
      </c>
      <c r="C152" s="3"/>
      <c r="D152" s="18" t="str">
        <f>IFERROR(VLOOKUP(C152,[3]Sheet2!$C$1:$F$1223,3,0),"")</f>
        <v/>
      </c>
      <c r="E152" s="18" t="str">
        <f>IFERROR(VLOOKUP(C152,[3]Sheet2!$C$1:$F$1223,4,0),"")</f>
        <v/>
      </c>
      <c r="F152" s="2"/>
      <c r="G152" s="3"/>
      <c r="H152" s="4"/>
      <c r="I152" s="4"/>
      <c r="J152" s="23"/>
      <c r="K152" s="27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34"/>
    </row>
    <row r="153" spans="2:22">
      <c r="B153" s="17" t="str">
        <f>IFERROR(VLOOKUP(C153,[3]Sheet2!$C$3:$F$1223,2,0),"")</f>
        <v/>
      </c>
      <c r="C153" s="3"/>
      <c r="D153" s="18" t="str">
        <f>IFERROR(VLOOKUP(C153,[3]Sheet2!$C$1:$F$1223,3,0),"")</f>
        <v/>
      </c>
      <c r="E153" s="18" t="str">
        <f>IFERROR(VLOOKUP(C153,[3]Sheet2!$C$1:$F$1223,4,0),"")</f>
        <v/>
      </c>
      <c r="F153" s="2"/>
      <c r="G153" s="3"/>
      <c r="H153" s="4"/>
      <c r="I153" s="4"/>
      <c r="J153" s="23"/>
      <c r="K153" s="27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34"/>
    </row>
    <row r="154" spans="2:22">
      <c r="B154" s="17" t="str">
        <f>IFERROR(VLOOKUP(C154,[3]Sheet2!$C$3:$F$1223,2,0),"")</f>
        <v/>
      </c>
      <c r="C154" s="3"/>
      <c r="D154" s="18" t="str">
        <f>IFERROR(VLOOKUP(C154,[3]Sheet2!$C$1:$F$1223,3,0),"")</f>
        <v/>
      </c>
      <c r="E154" s="18" t="str">
        <f>IFERROR(VLOOKUP(C154,[3]Sheet2!$C$1:$F$1223,4,0),"")</f>
        <v/>
      </c>
      <c r="F154" s="2"/>
      <c r="G154" s="3"/>
      <c r="H154" s="4"/>
      <c r="I154" s="4"/>
      <c r="J154" s="23"/>
      <c r="K154" s="27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34"/>
    </row>
    <row r="155" spans="2:22">
      <c r="B155" s="17" t="str">
        <f>IFERROR(VLOOKUP(C155,[3]Sheet2!$C$3:$F$1223,2,0),"")</f>
        <v/>
      </c>
      <c r="C155" s="3"/>
      <c r="D155" s="18" t="str">
        <f>IFERROR(VLOOKUP(C155,[3]Sheet2!$C$1:$F$1223,3,0),"")</f>
        <v/>
      </c>
      <c r="E155" s="18" t="str">
        <f>IFERROR(VLOOKUP(C155,[3]Sheet2!$C$1:$F$1223,4,0),"")</f>
        <v/>
      </c>
      <c r="F155" s="2"/>
      <c r="G155" s="3"/>
      <c r="H155" s="4"/>
      <c r="I155" s="4"/>
      <c r="J155" s="23"/>
      <c r="K155" s="27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34"/>
    </row>
    <row r="156" spans="2:22">
      <c r="B156" s="17" t="str">
        <f>IFERROR(VLOOKUP(C156,[3]Sheet2!$C$3:$F$1223,2,0),"")</f>
        <v/>
      </c>
      <c r="C156" s="3"/>
      <c r="D156" s="18" t="str">
        <f>IFERROR(VLOOKUP(C156,[3]Sheet2!$C$1:$F$1223,3,0),"")</f>
        <v/>
      </c>
      <c r="E156" s="18" t="str">
        <f>IFERROR(VLOOKUP(C156,[3]Sheet2!$C$1:$F$1223,4,0),"")</f>
        <v/>
      </c>
      <c r="F156" s="2"/>
      <c r="G156" s="3"/>
      <c r="H156" s="4"/>
      <c r="I156" s="4"/>
      <c r="J156" s="23"/>
      <c r="K156" s="27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34"/>
    </row>
    <row r="157" spans="2:22">
      <c r="B157" s="17" t="str">
        <f>IFERROR(VLOOKUP(C157,[3]Sheet2!$C$3:$F$1223,2,0),"")</f>
        <v/>
      </c>
      <c r="C157" s="3"/>
      <c r="D157" s="18" t="str">
        <f>IFERROR(VLOOKUP(C157,[3]Sheet2!$C$1:$F$1223,3,0),"")</f>
        <v/>
      </c>
      <c r="E157" s="18" t="str">
        <f>IFERROR(VLOOKUP(C157,[3]Sheet2!$C$1:$F$1223,4,0),"")</f>
        <v/>
      </c>
      <c r="F157" s="2"/>
      <c r="G157" s="3"/>
      <c r="H157" s="4"/>
      <c r="I157" s="4"/>
      <c r="J157" s="23"/>
      <c r="K157" s="27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34"/>
    </row>
    <row r="158" spans="2:22">
      <c r="B158" s="17" t="str">
        <f>IFERROR(VLOOKUP(C158,[3]Sheet2!$C$3:$F$1223,2,0),"")</f>
        <v/>
      </c>
      <c r="C158" s="3"/>
      <c r="D158" s="18" t="str">
        <f>IFERROR(VLOOKUP(C158,[3]Sheet2!$C$1:$F$1223,3,0),"")</f>
        <v/>
      </c>
      <c r="E158" s="18" t="str">
        <f>IFERROR(VLOOKUP(C158,[3]Sheet2!$C$1:$F$1223,4,0),"")</f>
        <v/>
      </c>
      <c r="F158" s="2"/>
      <c r="G158" s="3"/>
      <c r="H158" s="4"/>
      <c r="I158" s="4"/>
      <c r="J158" s="23"/>
      <c r="K158" s="27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34"/>
    </row>
    <row r="159" spans="2:22">
      <c r="B159" s="17" t="str">
        <f>IFERROR(VLOOKUP(C159,[3]Sheet2!$C$3:$F$1223,2,0),"")</f>
        <v/>
      </c>
      <c r="C159" s="3"/>
      <c r="D159" s="18" t="str">
        <f>IFERROR(VLOOKUP(C159,[3]Sheet2!$C$1:$F$1223,3,0),"")</f>
        <v/>
      </c>
      <c r="E159" s="18" t="str">
        <f>IFERROR(VLOOKUP(C159,[3]Sheet2!$C$1:$F$1223,4,0),"")</f>
        <v/>
      </c>
      <c r="F159" s="2"/>
      <c r="G159" s="3"/>
      <c r="H159" s="4"/>
      <c r="I159" s="4"/>
      <c r="J159" s="23"/>
      <c r="K159" s="27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34"/>
    </row>
    <row r="160" spans="2:22">
      <c r="B160" s="17" t="str">
        <f>IFERROR(VLOOKUP(C160,[3]Sheet2!$C$3:$F$1223,2,0),"")</f>
        <v/>
      </c>
      <c r="C160" s="3"/>
      <c r="D160" s="18" t="str">
        <f>IFERROR(VLOOKUP(C160,[3]Sheet2!$C$1:$F$1223,3,0),"")</f>
        <v/>
      </c>
      <c r="E160" s="18" t="str">
        <f>IFERROR(VLOOKUP(C160,[3]Sheet2!$C$1:$F$1223,4,0),"")</f>
        <v/>
      </c>
      <c r="F160" s="2"/>
      <c r="G160" s="3"/>
      <c r="H160" s="4"/>
      <c r="I160" s="4"/>
      <c r="J160" s="23"/>
      <c r="K160" s="27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34"/>
    </row>
    <row r="161" spans="2:22">
      <c r="B161" s="17" t="str">
        <f>IFERROR(VLOOKUP(C161,[3]Sheet2!$C$3:$F$1223,2,0),"")</f>
        <v/>
      </c>
      <c r="C161" s="3"/>
      <c r="D161" s="18" t="str">
        <f>IFERROR(VLOOKUP(C161,[3]Sheet2!$C$1:$F$1223,3,0),"")</f>
        <v/>
      </c>
      <c r="E161" s="18" t="str">
        <f>IFERROR(VLOOKUP(C161,[3]Sheet2!$C$1:$F$1223,4,0),"")</f>
        <v/>
      </c>
      <c r="F161" s="2"/>
      <c r="G161" s="3"/>
      <c r="H161" s="4"/>
      <c r="I161" s="4"/>
      <c r="J161" s="23"/>
      <c r="K161" s="27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34"/>
    </row>
    <row r="162" spans="2:22">
      <c r="B162" s="17" t="str">
        <f>IFERROR(VLOOKUP(C162,[3]Sheet2!$C$3:$F$1223,2,0),"")</f>
        <v/>
      </c>
      <c r="C162" s="3"/>
      <c r="D162" s="18" t="str">
        <f>IFERROR(VLOOKUP(C162,[3]Sheet2!$C$1:$F$1223,3,0),"")</f>
        <v/>
      </c>
      <c r="E162" s="18" t="str">
        <f>IFERROR(VLOOKUP(C162,[3]Sheet2!$C$1:$F$1223,4,0),"")</f>
        <v/>
      </c>
      <c r="F162" s="2"/>
      <c r="G162" s="3"/>
      <c r="H162" s="4"/>
      <c r="I162" s="4"/>
      <c r="J162" s="23"/>
      <c r="K162" s="27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34"/>
    </row>
    <row r="163" spans="2:22">
      <c r="B163" s="17" t="str">
        <f>IFERROR(VLOOKUP(C163,[3]Sheet2!$C$3:$F$1223,2,0),"")</f>
        <v/>
      </c>
      <c r="C163" s="3"/>
      <c r="D163" s="18" t="str">
        <f>IFERROR(VLOOKUP(C163,[3]Sheet2!$C$1:$F$1223,3,0),"")</f>
        <v/>
      </c>
      <c r="E163" s="18" t="str">
        <f>IFERROR(VLOOKUP(C163,[3]Sheet2!$C$1:$F$1223,4,0),"")</f>
        <v/>
      </c>
      <c r="F163" s="2"/>
      <c r="G163" s="3"/>
      <c r="H163" s="4"/>
      <c r="I163" s="4"/>
      <c r="J163" s="23"/>
      <c r="K163" s="27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34"/>
    </row>
    <row r="164" spans="2:22">
      <c r="B164" s="17" t="str">
        <f>IFERROR(VLOOKUP(C164,[3]Sheet2!$C$3:$F$1223,2,0),"")</f>
        <v/>
      </c>
      <c r="C164" s="3"/>
      <c r="D164" s="18" t="str">
        <f>IFERROR(VLOOKUP(C164,[3]Sheet2!$C$1:$F$1223,3,0),"")</f>
        <v/>
      </c>
      <c r="E164" s="18" t="str">
        <f>IFERROR(VLOOKUP(C164,[3]Sheet2!$C$1:$F$1223,4,0),"")</f>
        <v/>
      </c>
      <c r="F164" s="2"/>
      <c r="G164" s="3"/>
      <c r="H164" s="4"/>
      <c r="I164" s="4"/>
      <c r="J164" s="23"/>
      <c r="K164" s="27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34"/>
    </row>
    <row r="165" spans="2:22">
      <c r="B165" s="17" t="str">
        <f>IFERROR(VLOOKUP(C165,[3]Sheet2!$C$3:$F$1223,2,0),"")</f>
        <v/>
      </c>
      <c r="C165" s="3"/>
      <c r="D165" s="18" t="str">
        <f>IFERROR(VLOOKUP(C165,[3]Sheet2!$C$1:$F$1223,3,0),"")</f>
        <v/>
      </c>
      <c r="E165" s="18" t="str">
        <f>IFERROR(VLOOKUP(C165,[3]Sheet2!$C$1:$F$1223,4,0),"")</f>
        <v/>
      </c>
      <c r="F165" s="2"/>
      <c r="G165" s="3"/>
      <c r="H165" s="4"/>
      <c r="I165" s="4"/>
      <c r="J165" s="23"/>
      <c r="K165" s="27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34"/>
    </row>
    <row r="166" spans="2:22">
      <c r="B166" s="17" t="str">
        <f>IFERROR(VLOOKUP(C166,[3]Sheet2!$C$3:$F$1223,2,0),"")</f>
        <v/>
      </c>
      <c r="C166" s="3"/>
      <c r="D166" s="18" t="str">
        <f>IFERROR(VLOOKUP(C166,[3]Sheet2!$C$1:$F$1223,3,0),"")</f>
        <v/>
      </c>
      <c r="E166" s="18" t="str">
        <f>IFERROR(VLOOKUP(C166,[3]Sheet2!$C$1:$F$1223,4,0),"")</f>
        <v/>
      </c>
      <c r="F166" s="3"/>
      <c r="G166" s="3"/>
      <c r="H166" s="4"/>
      <c r="I166" s="4"/>
      <c r="J166" s="23"/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29"/>
    </row>
    <row r="167" spans="2:22">
      <c r="B167" s="17" t="str">
        <f>IFERROR(VLOOKUP(C167,[3]Sheet2!$C$3:$F$1223,2,0),"")</f>
        <v/>
      </c>
      <c r="D167" s="18" t="str">
        <f>IFERROR(VLOOKUP(C167,[3]Sheet2!$C$1:$F$1223,3,0),"")</f>
        <v/>
      </c>
      <c r="E167" s="18" t="str">
        <f>IFERROR(VLOOKUP(C167,[3]Sheet2!$C$1:$F$1223,4,0),"")</f>
        <v/>
      </c>
    </row>
    <row r="168" spans="2:22">
      <c r="B168" s="17" t="str">
        <f>IFERROR(VLOOKUP(C168,[3]Sheet2!$C$3:$F$1223,2,0),"")</f>
        <v/>
      </c>
      <c r="D168" s="18" t="str">
        <f>IFERROR(VLOOKUP(C168,[3]Sheet2!$C$1:$F$1223,3,0),"")</f>
        <v/>
      </c>
      <c r="E168" s="18" t="str">
        <f>IFERROR(VLOOKUP(C168,[3]Sheet2!$C$1:$F$1223,4,0),"")</f>
        <v/>
      </c>
    </row>
    <row r="169" spans="2:22">
      <c r="B169" s="17" t="str">
        <f>IFERROR(VLOOKUP(C169,[3]Sheet2!$C$3:$F$1223,2,0),"")</f>
        <v/>
      </c>
      <c r="D169" s="18" t="str">
        <f>IFERROR(VLOOKUP(C169,[3]Sheet2!$C$1:$F$1223,3,0),"")</f>
        <v/>
      </c>
      <c r="E169" s="18" t="str">
        <f>IFERROR(VLOOKUP(C169,[3]Sheet2!$C$1:$F$1223,4,0),"")</f>
        <v/>
      </c>
    </row>
    <row r="170" spans="2:22">
      <c r="B170" s="17" t="str">
        <f>IFERROR(VLOOKUP(C170,[3]Sheet2!$C$3:$F$1223,2,0),"")</f>
        <v/>
      </c>
      <c r="D170" s="18" t="str">
        <f>IFERROR(VLOOKUP(C170,[3]Sheet2!$C$1:$F$1223,3,0),"")</f>
        <v/>
      </c>
      <c r="E170" s="18" t="str">
        <f>IFERROR(VLOOKUP(C170,[3]Sheet2!$C$1:$F$1223,4,0),"")</f>
        <v/>
      </c>
    </row>
    <row r="171" spans="2:22">
      <c r="B171" s="17" t="str">
        <f>IFERROR(VLOOKUP(C171,[3]Sheet2!$C$3:$F$1223,2,0),"")</f>
        <v/>
      </c>
      <c r="D171" s="18" t="str">
        <f>IFERROR(VLOOKUP(C171,[3]Sheet2!$C$1:$F$1223,3,0),"")</f>
        <v/>
      </c>
      <c r="E171" s="18" t="str">
        <f>IFERROR(VLOOKUP(C171,[3]Sheet2!$C$1:$F$1223,4,0),"")</f>
        <v/>
      </c>
    </row>
    <row r="172" spans="2:22">
      <c r="B172" s="17" t="str">
        <f>IFERROR(VLOOKUP(C172,[3]Sheet2!$C$3:$F$1223,2,0),"")</f>
        <v/>
      </c>
      <c r="D172" s="18" t="str">
        <f>IFERROR(VLOOKUP(C172,[3]Sheet2!$C$1:$F$1223,3,0),"")</f>
        <v/>
      </c>
      <c r="E172" s="18" t="str">
        <f>IFERROR(VLOOKUP(C172,[3]Sheet2!$C$1:$F$1223,4,0),"")</f>
        <v/>
      </c>
    </row>
    <row r="173" spans="2:22">
      <c r="B173" s="17" t="str">
        <f>IFERROR(VLOOKUP(C173,[3]Sheet2!$C$3:$F$1223,2,0),"")</f>
        <v/>
      </c>
      <c r="D173" s="18" t="str">
        <f>IFERROR(VLOOKUP(C173,[3]Sheet2!$C$1:$F$1223,3,0),"")</f>
        <v/>
      </c>
      <c r="E173" s="18" t="str">
        <f>IFERROR(VLOOKUP(C173,[3]Sheet2!$C$1:$F$1223,4,0),"")</f>
        <v/>
      </c>
    </row>
    <row r="174" spans="2:22">
      <c r="B174" s="17" t="str">
        <f>IFERROR(VLOOKUP(C174,[3]Sheet2!$C$3:$F$1223,2,0),"")</f>
        <v/>
      </c>
      <c r="D174" s="18" t="str">
        <f>IFERROR(VLOOKUP(C174,[3]Sheet2!$C$1:$F$1223,3,0),"")</f>
        <v/>
      </c>
      <c r="E174" s="18" t="str">
        <f>IFERROR(VLOOKUP(C174,[3]Sheet2!$C$1:$F$1223,4,0),"")</f>
        <v/>
      </c>
    </row>
    <row r="175" spans="2:22">
      <c r="B175" s="17" t="str">
        <f>IFERROR(VLOOKUP(C175,[3]Sheet2!$C$3:$F$1223,2,0),"")</f>
        <v/>
      </c>
      <c r="D175" s="18" t="str">
        <f>IFERROR(VLOOKUP(C175,[3]Sheet2!$C$1:$F$1223,3,0),"")</f>
        <v/>
      </c>
      <c r="E175" s="18" t="str">
        <f>IFERROR(VLOOKUP(C175,[3]Sheet2!$C$1:$F$1223,4,0),"")</f>
        <v/>
      </c>
    </row>
    <row r="176" spans="2:22">
      <c r="B176" s="17" t="str">
        <f>IFERROR(VLOOKUP(C176,[3]Sheet2!$C$3:$F$1223,2,0),"")</f>
        <v/>
      </c>
      <c r="D176" s="18" t="str">
        <f>IFERROR(VLOOKUP(C176,[3]Sheet2!$C$1:$F$1223,3,0),"")</f>
        <v/>
      </c>
      <c r="E176" s="18" t="str">
        <f>IFERROR(VLOOKUP(C176,[3]Sheet2!$C$1:$F$1223,4,0),"")</f>
        <v/>
      </c>
    </row>
    <row r="177" spans="2:5">
      <c r="B177" s="17" t="str">
        <f>IFERROR(VLOOKUP(C177,[3]Sheet2!$C$3:$F$1223,2,0),"")</f>
        <v/>
      </c>
      <c r="D177" s="18" t="str">
        <f>IFERROR(VLOOKUP(C177,[3]Sheet2!$C$1:$F$1223,3,0),"")</f>
        <v/>
      </c>
      <c r="E177" s="18" t="str">
        <f>IFERROR(VLOOKUP(C177,[3]Sheet2!$C$1:$F$1223,4,0),"")</f>
        <v/>
      </c>
    </row>
    <row r="178" spans="2:5">
      <c r="B178" s="17" t="str">
        <f>IFERROR(VLOOKUP(C178,[3]Sheet2!$C$3:$F$1223,2,0),"")</f>
        <v/>
      </c>
      <c r="D178" s="18" t="str">
        <f>IFERROR(VLOOKUP(C178,[3]Sheet2!$C$1:$F$1223,3,0),"")</f>
        <v/>
      </c>
      <c r="E178" s="18" t="str">
        <f>IFERROR(VLOOKUP(C178,[3]Sheet2!$C$1:$F$1223,4,0),"")</f>
        <v/>
      </c>
    </row>
    <row r="179" spans="2:5">
      <c r="B179" s="17" t="str">
        <f>IFERROR(VLOOKUP(C179,[3]Sheet2!$C$3:$F$1223,2,0),"")</f>
        <v/>
      </c>
      <c r="D179" s="18" t="str">
        <f>IFERROR(VLOOKUP(C179,[3]Sheet2!$C$1:$F$1223,3,0),"")</f>
        <v/>
      </c>
      <c r="E179" s="18" t="str">
        <f>IFERROR(VLOOKUP(C179,[3]Sheet2!$C$1:$F$1223,4,0),"")</f>
        <v/>
      </c>
    </row>
    <row r="180" spans="2:5">
      <c r="B180" s="17" t="str">
        <f>IFERROR(VLOOKUP(C180,[3]Sheet2!$C$3:$F$1223,2,0),"")</f>
        <v/>
      </c>
      <c r="D180" s="18" t="str">
        <f>IFERROR(VLOOKUP(C180,[3]Sheet2!$C$1:$F$1223,3,0),"")</f>
        <v/>
      </c>
      <c r="E180" s="18" t="str">
        <f>IFERROR(VLOOKUP(C180,[3]Sheet2!$C$1:$F$1223,4,0),"")</f>
        <v/>
      </c>
    </row>
    <row r="181" spans="2:5">
      <c r="B181" s="17" t="str">
        <f>IFERROR(VLOOKUP(C181,[3]Sheet2!$C$3:$F$1223,2,0),"")</f>
        <v/>
      </c>
      <c r="D181" s="18" t="str">
        <f>IFERROR(VLOOKUP(C181,[3]Sheet2!$C$1:$F$1223,3,0),"")</f>
        <v/>
      </c>
      <c r="E181" s="18" t="str">
        <f>IFERROR(VLOOKUP(C181,[3]Sheet2!$C$1:$F$1223,4,0),"")</f>
        <v/>
      </c>
    </row>
    <row r="182" spans="2:5">
      <c r="B182" s="17" t="str">
        <f>IFERROR(VLOOKUP(C182,[3]Sheet2!$C$3:$F$1223,2,0),"")</f>
        <v/>
      </c>
      <c r="D182" s="18" t="str">
        <f>IFERROR(VLOOKUP(C182,[3]Sheet2!$C$1:$F$1223,3,0),"")</f>
        <v/>
      </c>
      <c r="E182" s="18" t="str">
        <f>IFERROR(VLOOKUP(C182,[3]Sheet2!$C$1:$F$1223,4,0),"")</f>
        <v/>
      </c>
    </row>
    <row r="183" spans="2:5">
      <c r="B183" s="17" t="str">
        <f>IFERROR(VLOOKUP(C183,[3]Sheet2!$C$3:$F$1223,2,0),"")</f>
        <v/>
      </c>
      <c r="D183" s="18" t="str">
        <f>IFERROR(VLOOKUP(C183,[3]Sheet2!$C$1:$F$1223,3,0),"")</f>
        <v/>
      </c>
      <c r="E183" s="18" t="str">
        <f>IFERROR(VLOOKUP(C183,[3]Sheet2!$C$1:$F$1223,4,0),"")</f>
        <v/>
      </c>
    </row>
    <row r="184" spans="2:5">
      <c r="B184" s="17" t="str">
        <f>IFERROR(VLOOKUP(C184,[3]Sheet2!$C$3:$F$1223,2,0),"")</f>
        <v/>
      </c>
      <c r="D184" s="18" t="str">
        <f>IFERROR(VLOOKUP(C184,[3]Sheet2!$C$1:$F$1223,3,0),"")</f>
        <v/>
      </c>
      <c r="E184" s="18" t="str">
        <f>IFERROR(VLOOKUP(C184,[3]Sheet2!$C$1:$F$1223,4,0),"")</f>
        <v/>
      </c>
    </row>
    <row r="185" spans="2:5">
      <c r="B185" s="17" t="str">
        <f>IFERROR(VLOOKUP(C185,[3]Sheet2!$C$3:$F$1223,2,0),"")</f>
        <v/>
      </c>
      <c r="D185" s="18" t="str">
        <f>IFERROR(VLOOKUP(C185,[3]Sheet2!$C$1:$F$1223,3,0),"")</f>
        <v/>
      </c>
      <c r="E185" s="18" t="str">
        <f>IFERROR(VLOOKUP(C185,[3]Sheet2!$C$1:$F$1223,4,0),"")</f>
        <v/>
      </c>
    </row>
    <row r="186" spans="2:5">
      <c r="B186" s="17" t="str">
        <f>IFERROR(VLOOKUP(C186,[3]Sheet2!$C$3:$F$1223,2,0),"")</f>
        <v/>
      </c>
      <c r="D186" s="18" t="str">
        <f>IFERROR(VLOOKUP(C186,[3]Sheet2!$C$1:$F$1223,3,0),"")</f>
        <v/>
      </c>
      <c r="E186" s="18" t="str">
        <f>IFERROR(VLOOKUP(C186,[3]Sheet2!$C$1:$F$1223,4,0),"")</f>
        <v/>
      </c>
    </row>
    <row r="187" spans="2:5">
      <c r="B187" s="17" t="str">
        <f>IFERROR(VLOOKUP(C187,[3]Sheet2!$C$3:$F$1223,2,0),"")</f>
        <v/>
      </c>
      <c r="D187" s="18" t="str">
        <f>IFERROR(VLOOKUP(C187,[3]Sheet2!$C$1:$F$1223,3,0),"")</f>
        <v/>
      </c>
      <c r="E187" s="18" t="str">
        <f>IFERROR(VLOOKUP(C187,[3]Sheet2!$C$1:$F$1223,4,0),"")</f>
        <v/>
      </c>
    </row>
    <row r="188" spans="2:5">
      <c r="B188" s="17" t="str">
        <f>IFERROR(VLOOKUP(C188,[3]Sheet2!$C$3:$F$1223,2,0),"")</f>
        <v/>
      </c>
      <c r="D188" s="18" t="str">
        <f>IFERROR(VLOOKUP(C188,[3]Sheet2!$C$1:$F$1223,3,0),"")</f>
        <v/>
      </c>
      <c r="E188" s="18" t="str">
        <f>IFERROR(VLOOKUP(C188,[3]Sheet2!$C$1:$F$1223,4,0),"")</f>
        <v/>
      </c>
    </row>
    <row r="189" spans="2:5">
      <c r="B189" s="17" t="str">
        <f>IFERROR(VLOOKUP(C189,[3]Sheet2!$C$3:$F$1223,2,0),"")</f>
        <v/>
      </c>
      <c r="D189" s="18" t="str">
        <f>IFERROR(VLOOKUP(C189,[3]Sheet2!$C$1:$F$1223,3,0),"")</f>
        <v/>
      </c>
      <c r="E189" s="18" t="str">
        <f>IFERROR(VLOOKUP(C189,[3]Sheet2!$C$1:$F$1223,4,0),"")</f>
        <v/>
      </c>
    </row>
    <row r="190" spans="2:5">
      <c r="B190" s="17" t="str">
        <f>IFERROR(VLOOKUP(C190,[3]Sheet2!$C$3:$F$1223,2,0),"")</f>
        <v/>
      </c>
      <c r="D190" s="18" t="str">
        <f>IFERROR(VLOOKUP(C190,[3]Sheet2!$C$1:$F$1223,3,0),"")</f>
        <v/>
      </c>
      <c r="E190" s="18" t="str">
        <f>IFERROR(VLOOKUP(C190,[3]Sheet2!$C$1:$F$1223,4,0),"")</f>
        <v/>
      </c>
    </row>
    <row r="191" spans="2:5">
      <c r="B191" s="17" t="str">
        <f>IFERROR(VLOOKUP(C191,[3]Sheet2!$C$3:$F$1223,2,0),"")</f>
        <v/>
      </c>
      <c r="D191" s="18" t="str">
        <f>IFERROR(VLOOKUP(C191,[3]Sheet2!$C$1:$F$1223,3,0),"")</f>
        <v/>
      </c>
      <c r="E191" s="18" t="str">
        <f>IFERROR(VLOOKUP(C191,[3]Sheet2!$C$1:$F$1223,4,0),"")</f>
        <v/>
      </c>
    </row>
    <row r="192" spans="2:5">
      <c r="B192" s="17" t="str">
        <f>IFERROR(VLOOKUP(C192,[3]Sheet2!$C$3:$F$1223,2,0),"")</f>
        <v/>
      </c>
      <c r="D192" s="18" t="str">
        <f>IFERROR(VLOOKUP(C192,[3]Sheet2!$C$1:$F$1223,3,0),"")</f>
        <v/>
      </c>
      <c r="E192" s="18" t="str">
        <f>IFERROR(VLOOKUP(C192,[3]Sheet2!$C$1:$F$1223,4,0),"")</f>
        <v/>
      </c>
    </row>
    <row r="193" spans="2:5">
      <c r="B193" s="17" t="str">
        <f>IFERROR(VLOOKUP(C193,[3]Sheet2!$C$3:$F$1223,2,0),"")</f>
        <v/>
      </c>
      <c r="D193" s="18" t="str">
        <f>IFERROR(VLOOKUP(C193,[3]Sheet2!$C$1:$F$1223,3,0),"")</f>
        <v/>
      </c>
      <c r="E193" s="18" t="str">
        <f>IFERROR(VLOOKUP(C193,[3]Sheet2!$C$1:$F$1223,4,0),"")</f>
        <v/>
      </c>
    </row>
    <row r="194" spans="2:5">
      <c r="B194" s="17" t="str">
        <f>IFERROR(VLOOKUP(C194,[3]Sheet2!$C$3:$F$1223,2,0),"")</f>
        <v/>
      </c>
      <c r="D194" s="18" t="str">
        <f>IFERROR(VLOOKUP(C194,[3]Sheet2!$C$1:$F$1223,3,0),"")</f>
        <v/>
      </c>
      <c r="E194" s="18" t="str">
        <f>IFERROR(VLOOKUP(C194,[3]Sheet2!$C$1:$F$1223,4,0),"")</f>
        <v/>
      </c>
    </row>
    <row r="195" spans="2:5">
      <c r="B195" s="17" t="str">
        <f>IFERROR(VLOOKUP(C195,[3]Sheet2!$C$3:$F$1223,2,0),"")</f>
        <v/>
      </c>
      <c r="D195" s="18" t="str">
        <f>IFERROR(VLOOKUP(C195,[3]Sheet2!$C$1:$F$1223,3,0),"")</f>
        <v/>
      </c>
      <c r="E195" s="18" t="str">
        <f>IFERROR(VLOOKUP(C195,[3]Sheet2!$C$1:$F$1223,4,0),"")</f>
        <v/>
      </c>
    </row>
    <row r="196" spans="2:5">
      <c r="B196" s="17" t="str">
        <f>IFERROR(VLOOKUP(C196,[3]Sheet2!$C$3:$F$1223,2,0),"")</f>
        <v/>
      </c>
      <c r="D196" s="18" t="str">
        <f>IFERROR(VLOOKUP(C196,[3]Sheet2!$C$1:$F$1223,3,0),"")</f>
        <v/>
      </c>
      <c r="E196" s="18" t="str">
        <f>IFERROR(VLOOKUP(C196,[3]Sheet2!$C$1:$F$1223,4,0),"")</f>
        <v/>
      </c>
    </row>
    <row r="197" spans="2:5">
      <c r="B197" s="17" t="str">
        <f>IFERROR(VLOOKUP(C197,[3]Sheet2!$C$3:$F$1223,2,0),"")</f>
        <v/>
      </c>
      <c r="D197" s="18" t="str">
        <f>IFERROR(VLOOKUP(C197,[3]Sheet2!$C$1:$F$1223,3,0),"")</f>
        <v/>
      </c>
      <c r="E197" s="18" t="str">
        <f>IFERROR(VLOOKUP(C197,[3]Sheet2!$C$1:$F$1223,4,0),"")</f>
        <v/>
      </c>
    </row>
    <row r="198" spans="2:5">
      <c r="B198" s="17" t="str">
        <f>IFERROR(VLOOKUP(C198,[3]Sheet2!$C$3:$F$1223,2,0),"")</f>
        <v/>
      </c>
      <c r="D198" s="18" t="str">
        <f>IFERROR(VLOOKUP(C198,[3]Sheet2!$C$1:$F$1223,3,0),"")</f>
        <v/>
      </c>
      <c r="E198" s="18" t="str">
        <f>IFERROR(VLOOKUP(C198,[3]Sheet2!$C$1:$F$1223,4,0),"")</f>
        <v/>
      </c>
    </row>
    <row r="199" spans="2:5">
      <c r="B199" s="17" t="str">
        <f>IFERROR(VLOOKUP(C199,[3]Sheet2!$C$3:$F$1223,2,0),"")</f>
        <v/>
      </c>
      <c r="D199" s="18" t="str">
        <f>IFERROR(VLOOKUP(C199,[3]Sheet2!$C$1:$F$1223,3,0),"")</f>
        <v/>
      </c>
      <c r="E199" s="18" t="str">
        <f>IFERROR(VLOOKUP(C199,[3]Sheet2!$C$1:$F$1223,4,0),"")</f>
        <v/>
      </c>
    </row>
    <row r="200" spans="2:5">
      <c r="B200" s="17" t="str">
        <f>IFERROR(VLOOKUP(C200,[3]Sheet2!$C$3:$F$1223,2,0),"")</f>
        <v/>
      </c>
      <c r="D200" s="18" t="str">
        <f>IFERROR(VLOOKUP(C200,[3]Sheet2!$C$1:$F$1223,3,0),"")</f>
        <v/>
      </c>
      <c r="E200" s="18" t="str">
        <f>IFERROR(VLOOKUP(C200,[3]Sheet2!$C$1:$F$1223,4,0),"")</f>
        <v/>
      </c>
    </row>
    <row r="201" spans="2:5">
      <c r="B201" s="17" t="str">
        <f>IFERROR(VLOOKUP(C201,[3]Sheet2!$C$3:$F$1223,2,0),"")</f>
        <v/>
      </c>
      <c r="D201" s="18" t="str">
        <f>IFERROR(VLOOKUP(C201,[3]Sheet2!$C$1:$F$1223,3,0),"")</f>
        <v/>
      </c>
      <c r="E201" s="18" t="str">
        <f>IFERROR(VLOOKUP(C201,[3]Sheet2!$C$1:$F$1223,4,0),"")</f>
        <v/>
      </c>
    </row>
    <row r="202" spans="2:5">
      <c r="B202" s="17" t="str">
        <f>IFERROR(VLOOKUP(C202,[3]Sheet2!$C$3:$F$1223,2,0),"")</f>
        <v/>
      </c>
      <c r="D202" s="18" t="str">
        <f>IFERROR(VLOOKUP(C202,[3]Sheet2!$C$1:$F$1223,3,0),"")</f>
        <v/>
      </c>
      <c r="E202" s="18" t="str">
        <f>IFERROR(VLOOKUP(C202,[3]Sheet2!$C$1:$F$1223,4,0),"")</f>
        <v/>
      </c>
    </row>
    <row r="203" spans="2:5">
      <c r="B203" s="17" t="str">
        <f>IFERROR(VLOOKUP(C203,[3]Sheet2!$C$3:$F$1223,2,0),"")</f>
        <v/>
      </c>
      <c r="D203" s="18" t="str">
        <f>IFERROR(VLOOKUP(C203,[3]Sheet2!$C$1:$F$1223,3,0),"")</f>
        <v/>
      </c>
      <c r="E203" s="18" t="str">
        <f>IFERROR(VLOOKUP(C203,[3]Sheet2!$C$1:$F$1223,4,0),"")</f>
        <v/>
      </c>
    </row>
    <row r="204" spans="2:5">
      <c r="B204" s="17" t="str">
        <f>IFERROR(VLOOKUP(C204,[3]Sheet2!$C$3:$F$1223,2,0),"")</f>
        <v/>
      </c>
      <c r="D204" s="18" t="str">
        <f>IFERROR(VLOOKUP(C204,[3]Sheet2!$C$1:$F$1223,3,0),"")</f>
        <v/>
      </c>
      <c r="E204" s="18" t="str">
        <f>IFERROR(VLOOKUP(C204,[3]Sheet2!$C$1:$F$1223,4,0),"")</f>
        <v/>
      </c>
    </row>
    <row r="205" spans="2:5">
      <c r="B205" s="17" t="str">
        <f>IFERROR(VLOOKUP(C205,[3]Sheet2!$C$3:$F$1223,2,0),"")</f>
        <v/>
      </c>
      <c r="D205" s="18" t="str">
        <f>IFERROR(VLOOKUP(C205,[3]Sheet2!$C$1:$F$1223,3,0),"")</f>
        <v/>
      </c>
      <c r="E205" s="18" t="str">
        <f>IFERROR(VLOOKUP(C205,[3]Sheet2!$C$1:$F$1223,4,0),"")</f>
        <v/>
      </c>
    </row>
    <row r="206" spans="2:5">
      <c r="B206" s="17" t="str">
        <f>IFERROR(VLOOKUP(C206,[3]Sheet2!$C$3:$F$1223,2,0),"")</f>
        <v/>
      </c>
      <c r="D206" s="18" t="str">
        <f>IFERROR(VLOOKUP(C206,[3]Sheet2!$C$1:$F$1223,3,0),"")</f>
        <v/>
      </c>
      <c r="E206" s="18" t="str">
        <f>IFERROR(VLOOKUP(C206,[3]Sheet2!$C$1:$F$1223,4,0),"")</f>
        <v/>
      </c>
    </row>
    <row r="207" spans="2:5">
      <c r="B207" s="17" t="str">
        <f>IFERROR(VLOOKUP(C207,[3]Sheet2!$C$3:$F$1223,2,0),"")</f>
        <v/>
      </c>
      <c r="D207" s="18" t="str">
        <f>IFERROR(VLOOKUP(C207,[3]Sheet2!$C$1:$F$1223,3,0),"")</f>
        <v/>
      </c>
      <c r="E207" s="18" t="str">
        <f>IFERROR(VLOOKUP(C207,[3]Sheet2!$C$1:$F$1223,4,0),"")</f>
        <v/>
      </c>
    </row>
    <row r="208" spans="2:5">
      <c r="B208" s="17" t="str">
        <f>IFERROR(VLOOKUP(C208,[3]Sheet2!$C$3:$F$1223,2,0),"")</f>
        <v/>
      </c>
      <c r="D208" s="18" t="str">
        <f>IFERROR(VLOOKUP(C208,[3]Sheet2!$C$1:$F$1223,3,0),"")</f>
        <v/>
      </c>
      <c r="E208" s="18" t="str">
        <f>IFERROR(VLOOKUP(C208,[3]Sheet2!$C$1:$F$1223,4,0),"")</f>
        <v/>
      </c>
    </row>
    <row r="209" spans="2:5">
      <c r="B209" s="17" t="str">
        <f>IFERROR(VLOOKUP(C209,[3]Sheet2!$C$3:$F$1223,2,0),"")</f>
        <v/>
      </c>
      <c r="D209" s="18" t="str">
        <f>IFERROR(VLOOKUP(C209,[3]Sheet2!$C$1:$F$1223,3,0),"")</f>
        <v/>
      </c>
      <c r="E209" s="18" t="str">
        <f>IFERROR(VLOOKUP(C209,[3]Sheet2!$C$1:$F$1223,4,0),"")</f>
        <v/>
      </c>
    </row>
    <row r="210" spans="2:5">
      <c r="B210" s="17" t="str">
        <f>IFERROR(VLOOKUP(C210,[3]Sheet2!$C$3:$F$1223,2,0),"")</f>
        <v/>
      </c>
      <c r="D210" s="18" t="str">
        <f>IFERROR(VLOOKUP(C210,[3]Sheet2!$C$1:$F$1223,3,0),"")</f>
        <v/>
      </c>
      <c r="E210" s="18" t="str">
        <f>IFERROR(VLOOKUP(C210,[3]Sheet2!$C$1:$F$1223,4,0),"")</f>
        <v/>
      </c>
    </row>
    <row r="211" spans="2:5">
      <c r="B211" s="17" t="str">
        <f>IFERROR(VLOOKUP(C211,[3]Sheet2!$C$3:$F$1223,2,0),"")</f>
        <v/>
      </c>
      <c r="D211" s="18" t="str">
        <f>IFERROR(VLOOKUP(C211,[3]Sheet2!$C$1:$F$1223,3,0),"")</f>
        <v/>
      </c>
      <c r="E211" s="18" t="str">
        <f>IFERROR(VLOOKUP(C211,[3]Sheet2!$C$1:$F$1223,4,0),"")</f>
        <v/>
      </c>
    </row>
    <row r="212" spans="2:5">
      <c r="B212" s="17" t="str">
        <f>IFERROR(VLOOKUP(C212,[3]Sheet2!$C$3:$F$1223,2,0),"")</f>
        <v/>
      </c>
      <c r="D212" s="18" t="str">
        <f>IFERROR(VLOOKUP(C212,[3]Sheet2!$C$1:$F$1223,3,0),"")</f>
        <v/>
      </c>
      <c r="E212" s="18" t="str">
        <f>IFERROR(VLOOKUP(C212,[3]Sheet2!$C$1:$F$1223,4,0),"")</f>
        <v/>
      </c>
    </row>
    <row r="213" spans="2:5">
      <c r="B213" s="17" t="str">
        <f>IFERROR(VLOOKUP(C213,[3]Sheet2!$C$3:$F$1223,2,0),"")</f>
        <v/>
      </c>
      <c r="D213" s="18" t="str">
        <f>IFERROR(VLOOKUP(C213,[3]Sheet2!$C$1:$F$1223,3,0),"")</f>
        <v/>
      </c>
      <c r="E213" s="18" t="str">
        <f>IFERROR(VLOOKUP(C213,[3]Sheet2!$C$1:$F$1223,4,0),"")</f>
        <v/>
      </c>
    </row>
    <row r="214" spans="2:5">
      <c r="B214" s="17" t="str">
        <f>IFERROR(VLOOKUP(C214,[3]Sheet2!$C$3:$F$1223,2,0),"")</f>
        <v/>
      </c>
      <c r="D214" s="18" t="str">
        <f>IFERROR(VLOOKUP(C214,[3]Sheet2!$C$1:$F$1223,3,0),"")</f>
        <v/>
      </c>
      <c r="E214" s="18" t="str">
        <f>IFERROR(VLOOKUP(C214,[3]Sheet2!$C$1:$F$1223,4,0),"")</f>
        <v/>
      </c>
    </row>
    <row r="215" spans="2:5">
      <c r="B215" s="17" t="str">
        <f>IFERROR(VLOOKUP(C215,[3]Sheet2!$C$3:$F$1223,2,0),"")</f>
        <v/>
      </c>
      <c r="D215" s="18" t="str">
        <f>IFERROR(VLOOKUP(C215,[3]Sheet2!$C$1:$F$1223,3,0),"")</f>
        <v/>
      </c>
      <c r="E215" s="18" t="str">
        <f>IFERROR(VLOOKUP(C215,[3]Sheet2!$C$1:$F$1223,4,0),"")</f>
        <v/>
      </c>
    </row>
    <row r="216" spans="2:5">
      <c r="B216" s="17" t="str">
        <f>IFERROR(VLOOKUP(C216,[3]Sheet2!$C$3:$F$1223,2,0),"")</f>
        <v/>
      </c>
      <c r="D216" s="18" t="str">
        <f>IFERROR(VLOOKUP(C216,[3]Sheet2!$C$1:$F$1223,3,0),"")</f>
        <v/>
      </c>
      <c r="E216" s="18" t="str">
        <f>IFERROR(VLOOKUP(C216,[3]Sheet2!$C$1:$F$1223,4,0),"")</f>
        <v/>
      </c>
    </row>
    <row r="217" spans="2:5">
      <c r="B217" s="17" t="str">
        <f>IFERROR(VLOOKUP(C217,[3]Sheet2!$C$3:$F$1223,2,0),"")</f>
        <v/>
      </c>
      <c r="D217" s="18" t="str">
        <f>IFERROR(VLOOKUP(C217,[3]Sheet2!$C$1:$F$1223,3,0),"")</f>
        <v/>
      </c>
      <c r="E217" s="18" t="str">
        <f>IFERROR(VLOOKUP(C217,[3]Sheet2!$C$1:$F$1223,4,0),"")</f>
        <v/>
      </c>
    </row>
    <row r="218" spans="2:5">
      <c r="B218" s="17" t="str">
        <f>IFERROR(VLOOKUP(C218,[3]Sheet2!$C$3:$F$1223,2,0),"")</f>
        <v/>
      </c>
      <c r="D218" s="18" t="str">
        <f>IFERROR(VLOOKUP(C218,[3]Sheet2!$C$1:$F$1223,3,0),"")</f>
        <v/>
      </c>
      <c r="E218" s="18" t="str">
        <f>IFERROR(VLOOKUP(C218,[3]Sheet2!$C$1:$F$1223,4,0),"")</f>
        <v/>
      </c>
    </row>
    <row r="219" spans="2:5">
      <c r="B219" s="17" t="str">
        <f>IFERROR(VLOOKUP(C219,[3]Sheet2!$C$3:$F$1223,2,0),"")</f>
        <v/>
      </c>
      <c r="D219" s="18" t="str">
        <f>IFERROR(VLOOKUP(C219,[3]Sheet2!$C$1:$F$1223,3,0),"")</f>
        <v/>
      </c>
      <c r="E219" s="18" t="str">
        <f>IFERROR(VLOOKUP(C219,[3]Sheet2!$C$1:$F$1223,4,0),"")</f>
        <v/>
      </c>
    </row>
    <row r="220" spans="2:5">
      <c r="B220" s="17" t="str">
        <f>IFERROR(VLOOKUP(C220,[3]Sheet2!$C$3:$F$1223,2,0),"")</f>
        <v/>
      </c>
      <c r="D220" s="18" t="str">
        <f>IFERROR(VLOOKUP(C220,[3]Sheet2!$C$1:$F$1223,3,0),"")</f>
        <v/>
      </c>
      <c r="E220" s="18" t="str">
        <f>IFERROR(VLOOKUP(C220,[3]Sheet2!$C$1:$F$1223,4,0),"")</f>
        <v/>
      </c>
    </row>
    <row r="221" spans="2:5">
      <c r="B221" s="17" t="str">
        <f>IFERROR(VLOOKUP(C221,[3]Sheet2!$C$3:$F$1223,2,0),"")</f>
        <v/>
      </c>
      <c r="D221" s="18" t="str">
        <f>IFERROR(VLOOKUP(C221,[3]Sheet2!$C$1:$F$1223,3,0),"")</f>
        <v/>
      </c>
      <c r="E221" s="18" t="str">
        <f>IFERROR(VLOOKUP(C221,[3]Sheet2!$C$1:$F$1223,4,0),"")</f>
        <v/>
      </c>
    </row>
    <row r="222" spans="2:5">
      <c r="B222" s="17" t="str">
        <f>IFERROR(VLOOKUP(C222,[3]Sheet2!$C$3:$F$1223,2,0),"")</f>
        <v/>
      </c>
      <c r="D222" s="18" t="str">
        <f>IFERROR(VLOOKUP(C222,[3]Sheet2!$C$1:$F$1223,3,0),"")</f>
        <v/>
      </c>
      <c r="E222" s="18" t="str">
        <f>IFERROR(VLOOKUP(C222,[3]Sheet2!$C$1:$F$1223,4,0),"")</f>
        <v/>
      </c>
    </row>
    <row r="223" spans="2:5">
      <c r="B223" s="17" t="str">
        <f>IFERROR(VLOOKUP(C223,[3]Sheet2!$C$3:$F$1223,2,0),"")</f>
        <v/>
      </c>
      <c r="D223" s="18" t="str">
        <f>IFERROR(VLOOKUP(C223,[3]Sheet2!$C$1:$F$1223,3,0),"")</f>
        <v/>
      </c>
      <c r="E223" s="18" t="str">
        <f>IFERROR(VLOOKUP(C223,[3]Sheet2!$C$1:$F$1223,4,0),"")</f>
        <v/>
      </c>
    </row>
    <row r="224" spans="2:5">
      <c r="B224" s="17" t="str">
        <f>IFERROR(VLOOKUP(C224,[3]Sheet2!$C$3:$F$1223,2,0),"")</f>
        <v/>
      </c>
      <c r="D224" s="18" t="str">
        <f>IFERROR(VLOOKUP(C224,[3]Sheet2!$C$1:$F$1223,3,0),"")</f>
        <v/>
      </c>
      <c r="E224" s="18" t="str">
        <f>IFERROR(VLOOKUP(C224,[3]Sheet2!$C$1:$F$1223,4,0),"")</f>
        <v/>
      </c>
    </row>
    <row r="225" spans="2:5">
      <c r="B225" s="17" t="str">
        <f>IFERROR(VLOOKUP(C225,[3]Sheet2!$C$3:$F$1223,2,0),"")</f>
        <v/>
      </c>
      <c r="D225" s="18" t="str">
        <f>IFERROR(VLOOKUP(C225,[3]Sheet2!$C$1:$F$1223,3,0),"")</f>
        <v/>
      </c>
      <c r="E225" s="18" t="str">
        <f>IFERROR(VLOOKUP(C225,[3]Sheet2!$C$1:$F$1223,4,0),"")</f>
        <v/>
      </c>
    </row>
    <row r="226" spans="2:5">
      <c r="B226" s="17" t="str">
        <f>IFERROR(VLOOKUP(C226,[3]Sheet2!$C$3:$F$1223,2,0),"")</f>
        <v/>
      </c>
      <c r="D226" s="18" t="str">
        <f>IFERROR(VLOOKUP(C226,[3]Sheet2!$C$1:$F$1223,3,0),"")</f>
        <v/>
      </c>
      <c r="E226" s="18" t="str">
        <f>IFERROR(VLOOKUP(C226,[3]Sheet2!$C$1:$F$1223,4,0),"")</f>
        <v/>
      </c>
    </row>
    <row r="227" spans="2:5">
      <c r="B227" s="17" t="str">
        <f>IFERROR(VLOOKUP(C227,[3]Sheet2!$C$3:$F$1223,2,0),"")</f>
        <v/>
      </c>
      <c r="D227" s="18" t="str">
        <f>IFERROR(VLOOKUP(C227,[3]Sheet2!$C$1:$F$1223,3,0),"")</f>
        <v/>
      </c>
      <c r="E227" s="18" t="str">
        <f>IFERROR(VLOOKUP(C227,[3]Sheet2!$C$1:$F$1223,4,0),"")</f>
        <v/>
      </c>
    </row>
    <row r="228" spans="2:5">
      <c r="B228" s="17" t="str">
        <f>IFERROR(VLOOKUP(C228,[3]Sheet2!$C$3:$F$1223,2,0),"")</f>
        <v/>
      </c>
      <c r="D228" s="18" t="str">
        <f>IFERROR(VLOOKUP(C228,[3]Sheet2!$C$1:$F$1223,3,0),"")</f>
        <v/>
      </c>
      <c r="E228" s="18" t="str">
        <f>IFERROR(VLOOKUP(C228,[3]Sheet2!$C$1:$F$1223,4,0),"")</f>
        <v/>
      </c>
    </row>
    <row r="229" spans="2:5">
      <c r="B229" s="17" t="str">
        <f>IFERROR(VLOOKUP(C229,[3]Sheet2!$C$3:$F$1223,2,0),"")</f>
        <v/>
      </c>
      <c r="D229" s="18" t="str">
        <f>IFERROR(VLOOKUP(C229,[3]Sheet2!$C$1:$F$1223,3,0),"")</f>
        <v/>
      </c>
      <c r="E229" s="18" t="str">
        <f>IFERROR(VLOOKUP(C229,[3]Sheet2!$C$1:$F$1223,4,0),"")</f>
        <v/>
      </c>
    </row>
    <row r="230" spans="2:5">
      <c r="B230" s="17" t="str">
        <f>IFERROR(VLOOKUP(C230,[3]Sheet2!$C$3:$F$1223,2,0),"")</f>
        <v/>
      </c>
      <c r="D230" s="18" t="str">
        <f>IFERROR(VLOOKUP(C230,[3]Sheet2!$C$1:$F$1223,3,0),"")</f>
        <v/>
      </c>
      <c r="E230" s="18" t="str">
        <f>IFERROR(VLOOKUP(C230,[3]Sheet2!$C$1:$F$1223,4,0),"")</f>
        <v/>
      </c>
    </row>
    <row r="231" spans="2:5">
      <c r="B231" s="17" t="str">
        <f>IFERROR(VLOOKUP(C231,[3]Sheet2!$C$3:$F$1223,2,0),"")</f>
        <v/>
      </c>
      <c r="D231" s="18" t="str">
        <f>IFERROR(VLOOKUP(C231,[3]Sheet2!$C$1:$F$1223,3,0),"")</f>
        <v/>
      </c>
      <c r="E231" s="18" t="str">
        <f>IFERROR(VLOOKUP(C231,[3]Sheet2!$C$1:$F$1223,4,0),"")</f>
        <v/>
      </c>
    </row>
    <row r="232" spans="2:5">
      <c r="B232" s="17" t="str">
        <f>IFERROR(VLOOKUP(C232,[3]Sheet2!$C$3:$F$1223,2,0),"")</f>
        <v/>
      </c>
      <c r="D232" s="18" t="str">
        <f>IFERROR(VLOOKUP(C232,[3]Sheet2!$C$1:$F$1223,3,0),"")</f>
        <v/>
      </c>
      <c r="E232" s="18" t="str">
        <f>IFERROR(VLOOKUP(C232,[3]Sheet2!$C$1:$F$1223,4,0),"")</f>
        <v/>
      </c>
    </row>
    <row r="233" spans="2:5">
      <c r="B233" s="17" t="str">
        <f>IFERROR(VLOOKUP(C233,[3]Sheet2!$C$3:$F$1223,2,0),"")</f>
        <v/>
      </c>
      <c r="D233" s="18" t="str">
        <f>IFERROR(VLOOKUP(C233,[3]Sheet2!$C$1:$F$1223,3,0),"")</f>
        <v/>
      </c>
      <c r="E233" s="18" t="str">
        <f>IFERROR(VLOOKUP(C233,[3]Sheet2!$C$1:$F$1223,4,0),"")</f>
        <v/>
      </c>
    </row>
    <row r="234" spans="2:5">
      <c r="B234" s="17" t="str">
        <f>IFERROR(VLOOKUP(C234,[3]Sheet2!$C$3:$F$1223,2,0),"")</f>
        <v/>
      </c>
      <c r="D234" s="18" t="str">
        <f>IFERROR(VLOOKUP(C234,[3]Sheet2!$C$1:$F$1223,3,0),"")</f>
        <v/>
      </c>
      <c r="E234" s="18" t="str">
        <f>IFERROR(VLOOKUP(C234,[3]Sheet2!$C$1:$F$1223,4,0),"")</f>
        <v/>
      </c>
    </row>
    <row r="235" spans="2:5">
      <c r="B235" s="17" t="str">
        <f>IFERROR(VLOOKUP(C235,[3]Sheet2!$C$3:$F$1223,2,0),"")</f>
        <v/>
      </c>
      <c r="D235" s="18" t="str">
        <f>IFERROR(VLOOKUP(C235,[3]Sheet2!$C$1:$F$1223,3,0),"")</f>
        <v/>
      </c>
      <c r="E235" s="18" t="str">
        <f>IFERROR(VLOOKUP(C235,[3]Sheet2!$C$1:$F$1223,4,0),"")</f>
        <v/>
      </c>
    </row>
    <row r="236" spans="2:5">
      <c r="B236" s="17" t="str">
        <f>IFERROR(VLOOKUP(C236,[3]Sheet2!$C$3:$F$1223,2,0),"")</f>
        <v/>
      </c>
      <c r="D236" s="18" t="str">
        <f>IFERROR(VLOOKUP(C236,[3]Sheet2!$C$1:$F$1223,3,0),"")</f>
        <v/>
      </c>
      <c r="E236" s="18" t="str">
        <f>IFERROR(VLOOKUP(C236,[3]Sheet2!$C$1:$F$1223,4,0),"")</f>
        <v/>
      </c>
    </row>
    <row r="237" spans="2:5">
      <c r="B237" s="17" t="str">
        <f>IFERROR(VLOOKUP(C237,[3]Sheet2!$C$3:$F$1223,2,0),"")</f>
        <v/>
      </c>
      <c r="D237" s="18" t="str">
        <f>IFERROR(VLOOKUP(C237,[3]Sheet2!$C$1:$F$1223,3,0),"")</f>
        <v/>
      </c>
      <c r="E237" s="18" t="str">
        <f>IFERROR(VLOOKUP(C237,[3]Sheet2!$C$1:$F$1223,4,0),"")</f>
        <v/>
      </c>
    </row>
    <row r="238" spans="2:5">
      <c r="B238" s="17" t="str">
        <f>IFERROR(VLOOKUP(C238,[3]Sheet2!$C$3:$F$1223,2,0),"")</f>
        <v/>
      </c>
      <c r="D238" s="18" t="str">
        <f>IFERROR(VLOOKUP(C238,[3]Sheet2!$C$1:$F$1223,3,0),"")</f>
        <v/>
      </c>
      <c r="E238" s="18" t="str">
        <f>IFERROR(VLOOKUP(C238,[3]Sheet2!$C$1:$F$1223,4,0),"")</f>
        <v/>
      </c>
    </row>
    <row r="239" spans="2:5">
      <c r="B239" s="17" t="str">
        <f>IFERROR(VLOOKUP(C239,[3]Sheet2!$C$3:$F$1223,2,0),"")</f>
        <v/>
      </c>
      <c r="D239" s="18" t="str">
        <f>IFERROR(VLOOKUP(C239,[3]Sheet2!$C$1:$F$1223,3,0),"")</f>
        <v/>
      </c>
      <c r="E239" s="18" t="str">
        <f>IFERROR(VLOOKUP(C239,[3]Sheet2!$C$1:$F$1223,4,0),"")</f>
        <v/>
      </c>
    </row>
    <row r="240" spans="2:5">
      <c r="B240" s="17" t="str">
        <f>IFERROR(VLOOKUP(C240,[3]Sheet2!$C$3:$F$1223,2,0),"")</f>
        <v/>
      </c>
      <c r="D240" s="18" t="str">
        <f>IFERROR(VLOOKUP(C240,[3]Sheet2!$C$1:$F$1223,3,0),"")</f>
        <v/>
      </c>
      <c r="E240" s="18" t="str">
        <f>IFERROR(VLOOKUP(C240,[3]Sheet2!$C$1:$F$1223,4,0),"")</f>
        <v/>
      </c>
    </row>
    <row r="241" spans="2:5">
      <c r="B241" s="17" t="str">
        <f>IFERROR(VLOOKUP(C241,[3]Sheet2!$C$3:$F$1223,2,0),"")</f>
        <v/>
      </c>
      <c r="D241" s="18" t="str">
        <f>IFERROR(VLOOKUP(C241,[3]Sheet2!$C$1:$F$1223,3,0),"")</f>
        <v/>
      </c>
      <c r="E241" s="18" t="str">
        <f>IFERROR(VLOOKUP(C241,[3]Sheet2!$C$1:$F$1223,4,0),"")</f>
        <v/>
      </c>
    </row>
    <row r="242" spans="2:5">
      <c r="B242" s="17" t="str">
        <f>IFERROR(VLOOKUP(C242,[3]Sheet2!$C$3:$F$1223,2,0),"")</f>
        <v/>
      </c>
      <c r="D242" s="18" t="str">
        <f>IFERROR(VLOOKUP(C242,[3]Sheet2!$C$1:$F$1223,3,0),"")</f>
        <v/>
      </c>
      <c r="E242" s="18" t="str">
        <f>IFERROR(VLOOKUP(C242,[3]Sheet2!$C$1:$F$1223,4,0),"")</f>
        <v/>
      </c>
    </row>
    <row r="243" spans="2:5">
      <c r="B243" s="17" t="str">
        <f>IFERROR(VLOOKUP(C243,[3]Sheet2!$C$3:$F$1223,2,0),"")</f>
        <v/>
      </c>
      <c r="D243" s="18" t="str">
        <f>IFERROR(VLOOKUP(C243,[3]Sheet2!$C$1:$F$1223,3,0),"")</f>
        <v/>
      </c>
      <c r="E243" s="18" t="str">
        <f>IFERROR(VLOOKUP(C243,[3]Sheet2!$C$1:$F$1223,4,0),"")</f>
        <v/>
      </c>
    </row>
    <row r="244" spans="2:5">
      <c r="B244" s="17" t="str">
        <f>IFERROR(VLOOKUP(C244,[3]Sheet2!$C$3:$F$1223,2,0),"")</f>
        <v/>
      </c>
      <c r="D244" s="18" t="str">
        <f>IFERROR(VLOOKUP(C244,[3]Sheet2!$C$1:$F$1223,3,0),"")</f>
        <v/>
      </c>
      <c r="E244" s="18" t="str">
        <f>IFERROR(VLOOKUP(C244,[3]Sheet2!$C$1:$F$1223,4,0),"")</f>
        <v/>
      </c>
    </row>
    <row r="245" spans="2:5">
      <c r="B245" s="17" t="str">
        <f>IFERROR(VLOOKUP(C245,[3]Sheet2!$C$3:$F$1223,2,0),"")</f>
        <v/>
      </c>
      <c r="D245" s="18" t="str">
        <f>IFERROR(VLOOKUP(C245,[3]Sheet2!$C$1:$F$1223,3,0),"")</f>
        <v/>
      </c>
      <c r="E245" s="18" t="str">
        <f>IFERROR(VLOOKUP(C245,[3]Sheet2!$C$1:$F$1223,4,0),"")</f>
        <v/>
      </c>
    </row>
    <row r="246" spans="2:5">
      <c r="B246" s="17" t="str">
        <f>IFERROR(VLOOKUP(C246,[3]Sheet2!$C$3:$F$1223,2,0),"")</f>
        <v/>
      </c>
      <c r="D246" s="18" t="str">
        <f>IFERROR(VLOOKUP(C246,[3]Sheet2!$C$1:$F$1223,3,0),"")</f>
        <v/>
      </c>
      <c r="E246" s="18" t="str">
        <f>IFERROR(VLOOKUP(C246,[3]Sheet2!$C$1:$F$1223,4,0),"")</f>
        <v/>
      </c>
    </row>
    <row r="247" spans="2:5">
      <c r="B247" s="17" t="str">
        <f>IFERROR(VLOOKUP(C247,[3]Sheet2!$C$3:$F$1223,2,0),"")</f>
        <v/>
      </c>
      <c r="D247" s="18" t="str">
        <f>IFERROR(VLOOKUP(C247,[3]Sheet2!$C$1:$F$1223,3,0),"")</f>
        <v/>
      </c>
      <c r="E247" s="18" t="str">
        <f>IFERROR(VLOOKUP(C247,[3]Sheet2!$C$1:$F$1223,4,0),"")</f>
        <v/>
      </c>
    </row>
    <row r="248" spans="2:5">
      <c r="B248" s="17" t="str">
        <f>IFERROR(VLOOKUP(C248,[3]Sheet2!$C$3:$F$1223,2,0),"")</f>
        <v/>
      </c>
      <c r="D248" s="18" t="str">
        <f>IFERROR(VLOOKUP(C248,[3]Sheet2!$C$1:$F$1223,3,0),"")</f>
        <v/>
      </c>
      <c r="E248" s="18" t="str">
        <f>IFERROR(VLOOKUP(C248,[3]Sheet2!$C$1:$F$1223,4,0),"")</f>
        <v/>
      </c>
    </row>
    <row r="249" spans="2:5">
      <c r="B249" s="17" t="str">
        <f>IFERROR(VLOOKUP(C249,[3]Sheet2!$C$3:$F$1223,2,0),"")</f>
        <v/>
      </c>
      <c r="D249" s="18" t="str">
        <f>IFERROR(VLOOKUP(C249,[3]Sheet2!$C$1:$F$1223,3,0),"")</f>
        <v/>
      </c>
      <c r="E249" s="18" t="str">
        <f>IFERROR(VLOOKUP(C249,[3]Sheet2!$C$1:$F$1223,4,0),"")</f>
        <v/>
      </c>
    </row>
    <row r="250" spans="2:5">
      <c r="B250" s="17" t="str">
        <f>IFERROR(VLOOKUP(C250,[3]Sheet2!$C$3:$F$1223,2,0),"")</f>
        <v/>
      </c>
      <c r="D250" s="18" t="str">
        <f>IFERROR(VLOOKUP(C250,[3]Sheet2!$C$1:$F$1223,3,0),"")</f>
        <v/>
      </c>
      <c r="E250" s="18" t="str">
        <f>IFERROR(VLOOKUP(C250,[3]Sheet2!$C$1:$F$1223,4,0),"")</f>
        <v/>
      </c>
    </row>
    <row r="251" spans="2:5">
      <c r="B251" s="17" t="str">
        <f>IFERROR(VLOOKUP(C251,[3]Sheet2!$C$3:$F$1223,2,0),"")</f>
        <v/>
      </c>
      <c r="D251" s="18" t="str">
        <f>IFERROR(VLOOKUP(C251,[3]Sheet2!$C$1:$F$1223,3,0),"")</f>
        <v/>
      </c>
      <c r="E251" s="18" t="str">
        <f>IFERROR(VLOOKUP(C251,[3]Sheet2!$C$1:$F$1223,4,0),"")</f>
        <v/>
      </c>
    </row>
    <row r="252" spans="2:5">
      <c r="B252" s="17" t="str">
        <f>IFERROR(VLOOKUP(C252,[3]Sheet2!$C$3:$F$1223,2,0),"")</f>
        <v/>
      </c>
      <c r="D252" s="18" t="str">
        <f>IFERROR(VLOOKUP(C252,[3]Sheet2!$C$1:$F$1223,3,0),"")</f>
        <v/>
      </c>
      <c r="E252" s="18" t="str">
        <f>IFERROR(VLOOKUP(C252,[3]Sheet2!$C$1:$F$1223,4,0),"")</f>
        <v/>
      </c>
    </row>
    <row r="253" spans="2:5">
      <c r="B253" s="17" t="str">
        <f>IFERROR(VLOOKUP(C253,[3]Sheet2!$C$3:$F$1223,2,0),"")</f>
        <v/>
      </c>
      <c r="D253" s="18" t="str">
        <f>IFERROR(VLOOKUP(C253,[3]Sheet2!$C$1:$F$1223,3,0),"")</f>
        <v/>
      </c>
      <c r="E253" s="18" t="str">
        <f>IFERROR(VLOOKUP(C253,[3]Sheet2!$C$1:$F$1223,4,0),"")</f>
        <v/>
      </c>
    </row>
    <row r="254" spans="2:5">
      <c r="B254" s="17" t="str">
        <f>IFERROR(VLOOKUP(C254,[3]Sheet2!$C$3:$F$1223,2,0),"")</f>
        <v/>
      </c>
      <c r="D254" s="18" t="str">
        <f>IFERROR(VLOOKUP(C254,[3]Sheet2!$C$1:$F$1223,3,0),"")</f>
        <v/>
      </c>
      <c r="E254" s="18" t="str">
        <f>IFERROR(VLOOKUP(C254,[3]Sheet2!$C$1:$F$1223,4,0),"")</f>
        <v/>
      </c>
    </row>
    <row r="255" spans="2:5">
      <c r="B255" s="17" t="str">
        <f>IFERROR(VLOOKUP(C255,[3]Sheet2!$C$3:$F$1223,2,0),"")</f>
        <v/>
      </c>
      <c r="D255" s="18" t="str">
        <f>IFERROR(VLOOKUP(C255,[3]Sheet2!$C$1:$F$1223,3,0),"")</f>
        <v/>
      </c>
      <c r="E255" s="18" t="str">
        <f>IFERROR(VLOOKUP(C255,[3]Sheet2!$C$1:$F$1223,4,0),"")</f>
        <v/>
      </c>
    </row>
    <row r="256" spans="2:5">
      <c r="B256" s="17" t="str">
        <f>IFERROR(VLOOKUP(C256,[3]Sheet2!$C$3:$F$1223,2,0),"")</f>
        <v/>
      </c>
      <c r="D256" s="18" t="str">
        <f>IFERROR(VLOOKUP(C256,[3]Sheet2!$C$1:$F$1223,3,0),"")</f>
        <v/>
      </c>
      <c r="E256" s="18" t="str">
        <f>IFERROR(VLOOKUP(C256,[3]Sheet2!$C$1:$F$1223,4,0),"")</f>
        <v/>
      </c>
    </row>
    <row r="257" spans="2:5">
      <c r="B257" s="17" t="str">
        <f>IFERROR(VLOOKUP(C257,[3]Sheet2!$C$3:$F$1223,2,0),"")</f>
        <v/>
      </c>
      <c r="D257" s="18" t="str">
        <f>IFERROR(VLOOKUP(C257,[3]Sheet2!$C$1:$F$1223,3,0),"")</f>
        <v/>
      </c>
      <c r="E257" s="18" t="str">
        <f>IFERROR(VLOOKUP(C257,[3]Sheet2!$C$1:$F$1223,4,0),"")</f>
        <v/>
      </c>
    </row>
    <row r="258" spans="2:5">
      <c r="B258" s="17" t="str">
        <f>IFERROR(VLOOKUP(C258,[3]Sheet2!$C$3:$F$1223,2,0),"")</f>
        <v/>
      </c>
      <c r="D258" s="18" t="str">
        <f>IFERROR(VLOOKUP(C258,[3]Sheet2!$C$1:$F$1223,3,0),"")</f>
        <v/>
      </c>
      <c r="E258" s="18" t="str">
        <f>IFERROR(VLOOKUP(C258,[3]Sheet2!$C$1:$F$1223,4,0),"")</f>
        <v/>
      </c>
    </row>
    <row r="259" spans="2:5">
      <c r="B259" s="17" t="str">
        <f>IFERROR(VLOOKUP(C259,[3]Sheet2!$C$3:$F$1223,2,0),"")</f>
        <v/>
      </c>
      <c r="D259" s="18" t="str">
        <f>IFERROR(VLOOKUP(C259,[3]Sheet2!$C$1:$F$1223,3,0),"")</f>
        <v/>
      </c>
      <c r="E259" s="18" t="str">
        <f>IFERROR(VLOOKUP(C259,[3]Sheet2!$C$1:$F$1223,4,0),"")</f>
        <v/>
      </c>
    </row>
    <row r="260" spans="2:5">
      <c r="B260" s="17" t="str">
        <f>IFERROR(VLOOKUP(C260,[3]Sheet2!$C$3:$F$1223,2,0),"")</f>
        <v/>
      </c>
      <c r="D260" s="18" t="str">
        <f>IFERROR(VLOOKUP(C260,[3]Sheet2!$C$1:$F$1223,3,0),"")</f>
        <v/>
      </c>
      <c r="E260" s="18" t="str">
        <f>IFERROR(VLOOKUP(C260,[3]Sheet2!$C$1:$F$1223,4,0),"")</f>
        <v/>
      </c>
    </row>
    <row r="261" spans="2:5">
      <c r="B261" s="17" t="str">
        <f>IFERROR(VLOOKUP(C261,[3]Sheet2!$C$3:$F$1223,2,0),"")</f>
        <v/>
      </c>
      <c r="D261" s="18" t="str">
        <f>IFERROR(VLOOKUP(C261,[3]Sheet2!$C$1:$F$1223,3,0),"")</f>
        <v/>
      </c>
      <c r="E261" s="18" t="str">
        <f>IFERROR(VLOOKUP(C261,[3]Sheet2!$C$1:$F$1223,4,0),"")</f>
        <v/>
      </c>
    </row>
    <row r="262" spans="2:5">
      <c r="B262" s="17" t="str">
        <f>IFERROR(VLOOKUP(C262,[3]Sheet2!$C$3:$F$1223,2,0),"")</f>
        <v/>
      </c>
      <c r="D262" s="18" t="str">
        <f>IFERROR(VLOOKUP(C262,[3]Sheet2!$C$1:$F$1223,3,0),"")</f>
        <v/>
      </c>
      <c r="E262" s="18" t="str">
        <f>IFERROR(VLOOKUP(C262,[3]Sheet2!$C$1:$F$1223,4,0),"")</f>
        <v/>
      </c>
    </row>
    <row r="263" spans="2:5">
      <c r="B263" s="17" t="str">
        <f>IFERROR(VLOOKUP(C263,[3]Sheet2!$C$3:$F$1223,2,0),"")</f>
        <v/>
      </c>
      <c r="D263" s="18" t="str">
        <f>IFERROR(VLOOKUP(C263,[3]Sheet2!$C$1:$F$1223,3,0),"")</f>
        <v/>
      </c>
      <c r="E263" s="18" t="str">
        <f>IFERROR(VLOOKUP(C263,[3]Sheet2!$C$1:$F$1223,4,0),"")</f>
        <v/>
      </c>
    </row>
    <row r="264" spans="2:5">
      <c r="B264" s="17" t="str">
        <f>IFERROR(VLOOKUP(C264,[3]Sheet2!$C$3:$F$1223,2,0),"")</f>
        <v/>
      </c>
      <c r="D264" s="18" t="str">
        <f>IFERROR(VLOOKUP(C264,[3]Sheet2!$C$1:$F$1223,3,0),"")</f>
        <v/>
      </c>
      <c r="E264" s="18" t="str">
        <f>IFERROR(VLOOKUP(C264,[3]Sheet2!$C$1:$F$1223,4,0),"")</f>
        <v/>
      </c>
    </row>
    <row r="265" spans="2:5">
      <c r="B265" s="17" t="str">
        <f>IFERROR(VLOOKUP(C265,[3]Sheet2!$C$3:$F$1223,2,0),"")</f>
        <v/>
      </c>
      <c r="D265" s="18" t="str">
        <f>IFERROR(VLOOKUP(C265,[3]Sheet2!$C$1:$F$1223,3,0),"")</f>
        <v/>
      </c>
      <c r="E265" s="18" t="str">
        <f>IFERROR(VLOOKUP(C265,[3]Sheet2!$C$1:$F$1223,4,0),"")</f>
        <v/>
      </c>
    </row>
    <row r="266" spans="2:5">
      <c r="B266" s="17" t="str">
        <f>IFERROR(VLOOKUP(C266,[3]Sheet2!$C$3:$F$1223,2,0),"")</f>
        <v/>
      </c>
      <c r="D266" s="18" t="str">
        <f>IFERROR(VLOOKUP(C266,[3]Sheet2!$C$1:$F$1223,3,0),"")</f>
        <v/>
      </c>
      <c r="E266" s="18" t="str">
        <f>IFERROR(VLOOKUP(C266,[3]Sheet2!$C$1:$F$1223,4,0),"")</f>
        <v/>
      </c>
    </row>
    <row r="267" spans="2:5">
      <c r="B267" s="17" t="str">
        <f>IFERROR(VLOOKUP(C267,[3]Sheet2!$C$3:$F$1223,2,0),"")</f>
        <v/>
      </c>
      <c r="D267" s="18" t="str">
        <f>IFERROR(VLOOKUP(C267,[3]Sheet2!$C$1:$F$1223,3,0),"")</f>
        <v/>
      </c>
      <c r="E267" s="18" t="str">
        <f>IFERROR(VLOOKUP(C267,[3]Sheet2!$C$1:$F$1223,4,0),"")</f>
        <v/>
      </c>
    </row>
    <row r="268" spans="2:5">
      <c r="B268" s="17" t="str">
        <f>IFERROR(VLOOKUP(C268,[3]Sheet2!$C$3:$F$1223,2,0),"")</f>
        <v/>
      </c>
      <c r="D268" s="18" t="str">
        <f>IFERROR(VLOOKUP(C268,[3]Sheet2!$C$1:$F$1223,3,0),"")</f>
        <v/>
      </c>
      <c r="E268" s="18" t="str">
        <f>IFERROR(VLOOKUP(C268,[3]Sheet2!$C$1:$F$1223,4,0),"")</f>
        <v/>
      </c>
    </row>
    <row r="269" spans="2:5">
      <c r="B269" s="17" t="str">
        <f>IFERROR(VLOOKUP(C269,[3]Sheet2!$C$3:$F$1223,2,0),"")</f>
        <v/>
      </c>
      <c r="D269" s="18" t="str">
        <f>IFERROR(VLOOKUP(C269,[3]Sheet2!$C$1:$F$1223,3,0),"")</f>
        <v/>
      </c>
      <c r="E269" s="18" t="str">
        <f>IFERROR(VLOOKUP(C269,[3]Sheet2!$C$1:$F$1223,4,0),"")</f>
        <v/>
      </c>
    </row>
    <row r="270" spans="2:5">
      <c r="B270" s="17" t="str">
        <f>IFERROR(VLOOKUP(C270,[3]Sheet2!$C$3:$F$1223,2,0),"")</f>
        <v/>
      </c>
      <c r="D270" s="18" t="str">
        <f>IFERROR(VLOOKUP(C270,[3]Sheet2!$C$1:$F$1223,3,0),"")</f>
        <v/>
      </c>
      <c r="E270" s="18" t="str">
        <f>IFERROR(VLOOKUP(C270,[3]Sheet2!$C$1:$F$1223,4,0),"")</f>
        <v/>
      </c>
    </row>
    <row r="271" spans="2:5">
      <c r="B271" s="17" t="str">
        <f>IFERROR(VLOOKUP(C271,[3]Sheet2!$C$3:$F$1223,2,0),"")</f>
        <v/>
      </c>
      <c r="D271" s="18" t="str">
        <f>IFERROR(VLOOKUP(C271,[3]Sheet2!$C$1:$F$1223,3,0),"")</f>
        <v/>
      </c>
      <c r="E271" s="18" t="str">
        <f>IFERROR(VLOOKUP(C271,[3]Sheet2!$C$1:$F$1223,4,0),"")</f>
        <v/>
      </c>
    </row>
    <row r="272" spans="2:5">
      <c r="B272" s="17" t="str">
        <f>IFERROR(VLOOKUP(C272,[3]Sheet2!$C$3:$F$1223,2,0),"")</f>
        <v/>
      </c>
      <c r="D272" s="18" t="str">
        <f>IFERROR(VLOOKUP(C272,[3]Sheet2!$C$1:$F$1223,3,0),"")</f>
        <v/>
      </c>
      <c r="E272" s="18" t="str">
        <f>IFERROR(VLOOKUP(C272,[3]Sheet2!$C$1:$F$1223,4,0),"")</f>
        <v/>
      </c>
    </row>
    <row r="273" spans="2:5">
      <c r="B273" s="17" t="str">
        <f>IFERROR(VLOOKUP(C273,[3]Sheet2!$C$3:$F$1223,2,0),"")</f>
        <v/>
      </c>
      <c r="D273" s="18" t="str">
        <f>IFERROR(VLOOKUP(C273,[3]Sheet2!$C$1:$F$1223,3,0),"")</f>
        <v/>
      </c>
      <c r="E273" s="18" t="str">
        <f>IFERROR(VLOOKUP(C273,[3]Sheet2!$C$1:$F$1223,4,0),"")</f>
        <v/>
      </c>
    </row>
    <row r="274" spans="2:5">
      <c r="B274" s="17" t="str">
        <f>IFERROR(VLOOKUP(C274,[3]Sheet2!$C$3:$F$1223,2,0),"")</f>
        <v/>
      </c>
      <c r="D274" s="18" t="str">
        <f>IFERROR(VLOOKUP(C274,[3]Sheet2!$C$1:$F$1223,3,0),"")</f>
        <v/>
      </c>
      <c r="E274" s="18" t="str">
        <f>IFERROR(VLOOKUP(C274,[3]Sheet2!$C$1:$F$1223,4,0),"")</f>
        <v/>
      </c>
    </row>
    <row r="275" spans="2:5">
      <c r="B275" s="17" t="str">
        <f>IFERROR(VLOOKUP(C275,[3]Sheet2!$C$3:$F$1223,2,0),"")</f>
        <v/>
      </c>
      <c r="D275" s="18" t="str">
        <f>IFERROR(VLOOKUP(C275,[3]Sheet2!$C$1:$F$1223,3,0),"")</f>
        <v/>
      </c>
      <c r="E275" s="18" t="str">
        <f>IFERROR(VLOOKUP(C275,[3]Sheet2!$C$1:$F$1223,4,0),"")</f>
        <v/>
      </c>
    </row>
    <row r="276" spans="2:5">
      <c r="B276" s="17" t="str">
        <f>IFERROR(VLOOKUP(C276,[3]Sheet2!$C$3:$F$1223,2,0),"")</f>
        <v/>
      </c>
      <c r="D276" s="18" t="str">
        <f>IFERROR(VLOOKUP(C276,[3]Sheet2!$C$1:$F$1223,3,0),"")</f>
        <v/>
      </c>
      <c r="E276" s="18" t="str">
        <f>IFERROR(VLOOKUP(C276,[3]Sheet2!$C$1:$F$1223,4,0),"")</f>
        <v/>
      </c>
    </row>
    <row r="277" spans="2:5">
      <c r="B277" s="17" t="str">
        <f>IFERROR(VLOOKUP(C277,[3]Sheet2!$C$3:$F$1223,2,0),"")</f>
        <v/>
      </c>
      <c r="D277" s="18" t="str">
        <f>IFERROR(VLOOKUP(C277,[3]Sheet2!$C$1:$F$1223,3,0),"")</f>
        <v/>
      </c>
      <c r="E277" s="18" t="str">
        <f>IFERROR(VLOOKUP(C277,[3]Sheet2!$C$1:$F$1223,4,0),"")</f>
        <v/>
      </c>
    </row>
    <row r="278" spans="2:5">
      <c r="B278" s="17" t="str">
        <f>IFERROR(VLOOKUP(C278,[3]Sheet2!$C$3:$F$1223,2,0),"")</f>
        <v/>
      </c>
      <c r="D278" s="18" t="str">
        <f>IFERROR(VLOOKUP(C278,[3]Sheet2!$C$1:$F$1223,3,0),"")</f>
        <v/>
      </c>
      <c r="E278" s="18" t="str">
        <f>IFERROR(VLOOKUP(C278,[3]Sheet2!$C$1:$F$1223,4,0),"")</f>
        <v/>
      </c>
    </row>
    <row r="279" spans="2:5">
      <c r="B279" s="17" t="str">
        <f>IFERROR(VLOOKUP(C279,[3]Sheet2!$C$3:$F$1223,2,0),"")</f>
        <v/>
      </c>
      <c r="D279" s="18" t="str">
        <f>IFERROR(VLOOKUP(C279,[3]Sheet2!$C$1:$F$1223,3,0),"")</f>
        <v/>
      </c>
      <c r="E279" s="18" t="str">
        <f>IFERROR(VLOOKUP(C279,[3]Sheet2!$C$1:$F$1223,4,0),"")</f>
        <v/>
      </c>
    </row>
    <row r="280" spans="2:5">
      <c r="B280" s="17" t="str">
        <f>IFERROR(VLOOKUP(C280,[3]Sheet2!$C$3:$F$1223,2,0),"")</f>
        <v/>
      </c>
      <c r="D280" s="18" t="str">
        <f>IFERROR(VLOOKUP(C280,[3]Sheet2!$C$1:$F$1223,3,0),"")</f>
        <v/>
      </c>
      <c r="E280" s="18" t="str">
        <f>IFERROR(VLOOKUP(C280,[3]Sheet2!$C$1:$F$1223,4,0),"")</f>
        <v/>
      </c>
    </row>
    <row r="281" spans="2:5">
      <c r="B281" s="17" t="str">
        <f>IFERROR(VLOOKUP(C281,[3]Sheet2!$C$3:$F$1223,2,0),"")</f>
        <v/>
      </c>
      <c r="D281" s="18" t="str">
        <f>IFERROR(VLOOKUP(C281,[3]Sheet2!$C$1:$F$1223,3,0),"")</f>
        <v/>
      </c>
      <c r="E281" s="18" t="str">
        <f>IFERROR(VLOOKUP(C281,[3]Sheet2!$C$1:$F$1223,4,0),"")</f>
        <v/>
      </c>
    </row>
    <row r="282" spans="2:5">
      <c r="B282" s="17" t="str">
        <f>IFERROR(VLOOKUP(C282,[3]Sheet2!$C$3:$F$1223,2,0),"")</f>
        <v/>
      </c>
      <c r="D282" s="18" t="str">
        <f>IFERROR(VLOOKUP(C282,[3]Sheet2!$C$1:$F$1223,3,0),"")</f>
        <v/>
      </c>
      <c r="E282" s="18" t="str">
        <f>IFERROR(VLOOKUP(C282,[3]Sheet2!$C$1:$F$1223,4,0),"")</f>
        <v/>
      </c>
    </row>
    <row r="283" spans="2:5">
      <c r="B283" s="17" t="str">
        <f>IFERROR(VLOOKUP(C283,[3]Sheet2!$C$3:$F$1223,2,0),"")</f>
        <v/>
      </c>
      <c r="D283" s="18" t="str">
        <f>IFERROR(VLOOKUP(C283,[3]Sheet2!$C$1:$F$1223,3,0),"")</f>
        <v/>
      </c>
      <c r="E283" s="18" t="str">
        <f>IFERROR(VLOOKUP(C283,[3]Sheet2!$C$1:$F$1223,4,0),"")</f>
        <v/>
      </c>
    </row>
    <row r="284" spans="2:5">
      <c r="B284" s="17" t="str">
        <f>IFERROR(VLOOKUP(C284,[3]Sheet2!$C$3:$F$1223,2,0),"")</f>
        <v/>
      </c>
      <c r="D284" s="18" t="str">
        <f>IFERROR(VLOOKUP(C284,[3]Sheet2!$C$1:$F$1223,3,0),"")</f>
        <v/>
      </c>
      <c r="E284" s="18" t="str">
        <f>IFERROR(VLOOKUP(C284,[3]Sheet2!$C$1:$F$1223,4,0),"")</f>
        <v/>
      </c>
    </row>
    <row r="285" spans="2:5">
      <c r="B285" s="17" t="str">
        <f>IFERROR(VLOOKUP(C285,[3]Sheet2!$C$3:$F$1223,2,0),"")</f>
        <v/>
      </c>
      <c r="D285" s="18" t="str">
        <f>IFERROR(VLOOKUP(C285,[3]Sheet2!$C$1:$F$1223,3,0),"")</f>
        <v/>
      </c>
      <c r="E285" s="18" t="str">
        <f>IFERROR(VLOOKUP(C285,[3]Sheet2!$C$1:$F$1223,4,0),"")</f>
        <v/>
      </c>
    </row>
    <row r="286" spans="2:5">
      <c r="B286" s="17" t="str">
        <f>IFERROR(VLOOKUP(C286,[3]Sheet2!$C$3:$F$1223,2,0),"")</f>
        <v/>
      </c>
      <c r="D286" s="18" t="str">
        <f>IFERROR(VLOOKUP(C286,[3]Sheet2!$C$1:$F$1223,3,0),"")</f>
        <v/>
      </c>
      <c r="E286" s="18" t="str">
        <f>IFERROR(VLOOKUP(C286,[3]Sheet2!$C$1:$F$1223,4,0),"")</f>
        <v/>
      </c>
    </row>
    <row r="287" spans="2:5">
      <c r="B287" s="17" t="str">
        <f>IFERROR(VLOOKUP(C287,[3]Sheet2!$C$3:$F$1223,2,0),"")</f>
        <v/>
      </c>
      <c r="D287" s="18" t="str">
        <f>IFERROR(VLOOKUP(C287,[3]Sheet2!$C$1:$F$1223,3,0),"")</f>
        <v/>
      </c>
      <c r="E287" s="18" t="str">
        <f>IFERROR(VLOOKUP(C287,[3]Sheet2!$C$1:$F$1223,4,0),"")</f>
        <v/>
      </c>
    </row>
    <row r="288" spans="2:5">
      <c r="B288" s="17" t="str">
        <f>IFERROR(VLOOKUP(C288,[3]Sheet2!$C$3:$F$1223,2,0),"")</f>
        <v/>
      </c>
      <c r="D288" s="18" t="str">
        <f>IFERROR(VLOOKUP(C288,[3]Sheet2!$C$1:$F$1223,3,0),"")</f>
        <v/>
      </c>
      <c r="E288" s="18" t="str">
        <f>IFERROR(VLOOKUP(C288,[3]Sheet2!$C$1:$F$1223,4,0),"")</f>
        <v/>
      </c>
    </row>
    <row r="289" spans="2:5">
      <c r="B289" s="17" t="str">
        <f>IFERROR(VLOOKUP(C289,[3]Sheet2!$C$3:$F$1223,2,0),"")</f>
        <v/>
      </c>
      <c r="D289" s="18" t="str">
        <f>IFERROR(VLOOKUP(C289,[3]Sheet2!$C$1:$F$1223,3,0),"")</f>
        <v/>
      </c>
      <c r="E289" s="18" t="str">
        <f>IFERROR(VLOOKUP(C289,[3]Sheet2!$C$1:$F$1223,4,0),"")</f>
        <v/>
      </c>
    </row>
    <row r="290" spans="2:5">
      <c r="B290" s="17" t="str">
        <f>IFERROR(VLOOKUP(C290,[3]Sheet2!$C$3:$F$1223,2,0),"")</f>
        <v/>
      </c>
      <c r="D290" s="18" t="str">
        <f>IFERROR(VLOOKUP(C290,[3]Sheet2!$C$1:$F$1223,3,0),"")</f>
        <v/>
      </c>
      <c r="E290" s="18" t="str">
        <f>IFERROR(VLOOKUP(C290,[3]Sheet2!$C$1:$F$1223,4,0),"")</f>
        <v/>
      </c>
    </row>
    <row r="291" spans="2:5">
      <c r="B291" s="17" t="str">
        <f>IFERROR(VLOOKUP(C291,[3]Sheet2!$C$3:$F$1223,2,0),"")</f>
        <v/>
      </c>
      <c r="D291" s="18" t="str">
        <f>IFERROR(VLOOKUP(C291,[3]Sheet2!$C$1:$F$1223,3,0),"")</f>
        <v/>
      </c>
      <c r="E291" s="18" t="str">
        <f>IFERROR(VLOOKUP(C291,[3]Sheet2!$C$1:$F$1223,4,0),"")</f>
        <v/>
      </c>
    </row>
    <row r="292" spans="2:5">
      <c r="B292" s="17" t="str">
        <f>IFERROR(VLOOKUP(C292,[3]Sheet2!$C$3:$F$1223,2,0),"")</f>
        <v/>
      </c>
      <c r="D292" s="18" t="str">
        <f>IFERROR(VLOOKUP(C292,[3]Sheet2!$C$1:$F$1223,3,0),"")</f>
        <v/>
      </c>
      <c r="E292" s="18" t="str">
        <f>IFERROR(VLOOKUP(C292,[3]Sheet2!$C$1:$F$1223,4,0),"")</f>
        <v/>
      </c>
    </row>
    <row r="293" spans="2:5">
      <c r="B293" s="17" t="str">
        <f>IFERROR(VLOOKUP(C293,[3]Sheet2!$C$3:$F$1223,2,0),"")</f>
        <v/>
      </c>
      <c r="D293" s="18" t="str">
        <f>IFERROR(VLOOKUP(C293,[3]Sheet2!$C$1:$F$1223,3,0),"")</f>
        <v/>
      </c>
      <c r="E293" s="18" t="str">
        <f>IFERROR(VLOOKUP(C293,[3]Sheet2!$C$1:$F$1223,4,0),"")</f>
        <v/>
      </c>
    </row>
    <row r="294" spans="2:5">
      <c r="B294" s="17" t="str">
        <f>IFERROR(VLOOKUP(C294,[3]Sheet2!$C$3:$F$1223,2,0),"")</f>
        <v/>
      </c>
      <c r="D294" s="18" t="str">
        <f>IFERROR(VLOOKUP(C294,[3]Sheet2!$C$1:$F$1223,3,0),"")</f>
        <v/>
      </c>
      <c r="E294" s="18" t="str">
        <f>IFERROR(VLOOKUP(C294,[3]Sheet2!$C$1:$F$1223,4,0),"")</f>
        <v/>
      </c>
    </row>
    <row r="295" spans="2:5">
      <c r="B295" s="17" t="str">
        <f>IFERROR(VLOOKUP(C295,[3]Sheet2!$C$3:$F$1223,2,0),"")</f>
        <v/>
      </c>
      <c r="D295" s="18" t="str">
        <f>IFERROR(VLOOKUP(C295,[3]Sheet2!$C$1:$F$1223,3,0),"")</f>
        <v/>
      </c>
      <c r="E295" s="18" t="str">
        <f>IFERROR(VLOOKUP(C295,[3]Sheet2!$C$1:$F$1223,4,0),"")</f>
        <v/>
      </c>
    </row>
    <row r="296" spans="2:5">
      <c r="B296" s="17" t="str">
        <f>IFERROR(VLOOKUP(C296,[3]Sheet2!$C$3:$F$1223,2,0),"")</f>
        <v/>
      </c>
      <c r="D296" s="18" t="str">
        <f>IFERROR(VLOOKUP(C296,[3]Sheet2!$C$1:$F$1223,3,0),"")</f>
        <v/>
      </c>
      <c r="E296" s="18" t="str">
        <f>IFERROR(VLOOKUP(C296,[3]Sheet2!$C$1:$F$1223,4,0),"")</f>
        <v/>
      </c>
    </row>
    <row r="297" spans="2:5">
      <c r="B297" s="17" t="str">
        <f>IFERROR(VLOOKUP(C297,[3]Sheet2!$C$3:$F$1223,2,0),"")</f>
        <v/>
      </c>
      <c r="D297" s="18" t="str">
        <f>IFERROR(VLOOKUP(C297,[3]Sheet2!$C$1:$F$1223,3,0),"")</f>
        <v/>
      </c>
      <c r="E297" s="18" t="str">
        <f>IFERROR(VLOOKUP(C297,[3]Sheet2!$C$1:$F$1223,4,0),"")</f>
        <v/>
      </c>
    </row>
    <row r="298" spans="2:5">
      <c r="B298" s="17" t="str">
        <f>IFERROR(VLOOKUP(C298,[3]Sheet2!$C$3:$F$1223,2,0),"")</f>
        <v/>
      </c>
      <c r="D298" s="18" t="str">
        <f>IFERROR(VLOOKUP(C298,[3]Sheet2!$C$1:$F$1223,3,0),"")</f>
        <v/>
      </c>
      <c r="E298" s="18" t="str">
        <f>IFERROR(VLOOKUP(C298,[3]Sheet2!$C$1:$F$1223,4,0),"")</f>
        <v/>
      </c>
    </row>
    <row r="299" spans="2:5">
      <c r="B299" s="17" t="str">
        <f>IFERROR(VLOOKUP(C299,[3]Sheet2!$C$3:$F$1223,2,0),"")</f>
        <v/>
      </c>
      <c r="D299" s="18" t="str">
        <f>IFERROR(VLOOKUP(C299,[3]Sheet2!$C$1:$F$1223,3,0),"")</f>
        <v/>
      </c>
      <c r="E299" s="18" t="str">
        <f>IFERROR(VLOOKUP(C299,[3]Sheet2!$C$1:$F$1223,4,0),"")</f>
        <v/>
      </c>
    </row>
    <row r="300" spans="2:5">
      <c r="B300" s="17" t="str">
        <f>IFERROR(VLOOKUP(C300,[3]Sheet2!$C$3:$F$1223,2,0),"")</f>
        <v/>
      </c>
      <c r="D300" s="18" t="str">
        <f>IFERROR(VLOOKUP(C300,[3]Sheet2!$C$1:$F$1223,3,0),"")</f>
        <v/>
      </c>
      <c r="E300" s="18" t="str">
        <f>IFERROR(VLOOKUP(C300,[3]Sheet2!$C$1:$F$1223,4,0),"")</f>
        <v/>
      </c>
    </row>
    <row r="301" spans="2:5">
      <c r="B301" s="17" t="str">
        <f>IFERROR(VLOOKUP(C301,[3]Sheet2!$C$3:$F$1223,2,0),"")</f>
        <v/>
      </c>
      <c r="D301" s="18" t="str">
        <f>IFERROR(VLOOKUP(C301,[3]Sheet2!$C$1:$F$1223,3,0),"")</f>
        <v/>
      </c>
      <c r="E301" s="18" t="str">
        <f>IFERROR(VLOOKUP(C301,[3]Sheet2!$C$1:$F$1223,4,0),"")</f>
        <v/>
      </c>
    </row>
    <row r="302" spans="2:5">
      <c r="B302" s="17" t="str">
        <f>IFERROR(VLOOKUP(C302,[3]Sheet2!$C$3:$F$1223,2,0),"")</f>
        <v/>
      </c>
      <c r="D302" s="18" t="str">
        <f>IFERROR(VLOOKUP(C302,[3]Sheet2!$C$1:$F$1223,3,0),"")</f>
        <v/>
      </c>
      <c r="E302" s="18" t="str">
        <f>IFERROR(VLOOKUP(C302,[3]Sheet2!$C$1:$F$1223,4,0),"")</f>
        <v/>
      </c>
    </row>
    <row r="303" spans="2:5">
      <c r="B303" s="17" t="str">
        <f>IFERROR(VLOOKUP(C303,[3]Sheet2!$C$3:$F$1223,2,0),"")</f>
        <v/>
      </c>
      <c r="D303" s="18" t="str">
        <f>IFERROR(VLOOKUP(C303,[3]Sheet2!$C$1:$F$1223,3,0),"")</f>
        <v/>
      </c>
      <c r="E303" s="18" t="str">
        <f>IFERROR(VLOOKUP(C303,[3]Sheet2!$C$1:$F$1223,4,0),"")</f>
        <v/>
      </c>
    </row>
    <row r="304" spans="2:5">
      <c r="B304" s="17" t="str">
        <f>IFERROR(VLOOKUP(C304,[3]Sheet2!$C$3:$F$1223,2,0),"")</f>
        <v/>
      </c>
      <c r="D304" s="18" t="str">
        <f>IFERROR(VLOOKUP(C304,[3]Sheet2!$C$1:$F$1223,3,0),"")</f>
        <v/>
      </c>
      <c r="E304" s="18" t="str">
        <f>IFERROR(VLOOKUP(C304,[3]Sheet2!$C$1:$F$1223,4,0),"")</f>
        <v/>
      </c>
    </row>
    <row r="305" spans="2:5">
      <c r="B305" s="17" t="str">
        <f>IFERROR(VLOOKUP(C305,[3]Sheet2!$C$3:$F$1223,2,0),"")</f>
        <v/>
      </c>
      <c r="D305" s="18" t="str">
        <f>IFERROR(VLOOKUP(C305,[3]Sheet2!$C$1:$F$1223,3,0),"")</f>
        <v/>
      </c>
      <c r="E305" s="18" t="str">
        <f>IFERROR(VLOOKUP(C305,[3]Sheet2!$C$1:$F$1223,4,0),"")</f>
        <v/>
      </c>
    </row>
    <row r="306" spans="2:5">
      <c r="B306" s="17" t="str">
        <f>IFERROR(VLOOKUP(C306,[3]Sheet2!$C$3:$F$1223,2,0),"")</f>
        <v/>
      </c>
      <c r="D306" s="18" t="str">
        <f>IFERROR(VLOOKUP(C306,[3]Sheet2!$C$1:$F$1223,3,0),"")</f>
        <v/>
      </c>
      <c r="E306" s="18" t="str">
        <f>IFERROR(VLOOKUP(C306,[3]Sheet2!$C$1:$F$1223,4,0),"")</f>
        <v/>
      </c>
    </row>
    <row r="307" spans="2:5">
      <c r="B307" s="17" t="str">
        <f>IFERROR(VLOOKUP(C307,[3]Sheet2!$C$3:$F$1223,2,0),"")</f>
        <v/>
      </c>
      <c r="D307" s="18" t="str">
        <f>IFERROR(VLOOKUP(C307,[3]Sheet2!$C$1:$F$1223,3,0),"")</f>
        <v/>
      </c>
      <c r="E307" s="18" t="str">
        <f>IFERROR(VLOOKUP(C307,[3]Sheet2!$C$1:$F$1223,4,0),"")</f>
        <v/>
      </c>
    </row>
    <row r="308" spans="2:5">
      <c r="B308" s="17" t="str">
        <f>IFERROR(VLOOKUP(C308,[3]Sheet2!$C$3:$F$1223,2,0),"")</f>
        <v/>
      </c>
      <c r="D308" s="18" t="str">
        <f>IFERROR(VLOOKUP(C308,[3]Sheet2!$C$1:$F$1223,3,0),"")</f>
        <v/>
      </c>
      <c r="E308" s="18" t="str">
        <f>IFERROR(VLOOKUP(C308,[3]Sheet2!$C$1:$F$1223,4,0),"")</f>
        <v/>
      </c>
    </row>
    <row r="309" spans="2:5">
      <c r="B309" s="17" t="str">
        <f>IFERROR(VLOOKUP(C309,[3]Sheet2!$C$3:$F$1223,2,0),"")</f>
        <v/>
      </c>
      <c r="D309" s="18" t="str">
        <f>IFERROR(VLOOKUP(C309,[3]Sheet2!$C$1:$F$1223,3,0),"")</f>
        <v/>
      </c>
      <c r="E309" s="18" t="str">
        <f>IFERROR(VLOOKUP(C309,[3]Sheet2!$C$1:$F$1223,4,0),"")</f>
        <v/>
      </c>
    </row>
    <row r="310" spans="2:5">
      <c r="B310" s="17" t="str">
        <f>IFERROR(VLOOKUP(C310,[3]Sheet2!$C$3:$F$1223,2,0),"")</f>
        <v/>
      </c>
      <c r="D310" s="18" t="str">
        <f>IFERROR(VLOOKUP(C310,[3]Sheet2!$C$1:$F$1223,3,0),"")</f>
        <v/>
      </c>
      <c r="E310" s="18" t="str">
        <f>IFERROR(VLOOKUP(C310,[3]Sheet2!$C$1:$F$1223,4,0),"")</f>
        <v/>
      </c>
    </row>
    <row r="311" spans="2:5">
      <c r="B311" s="17" t="str">
        <f>IFERROR(VLOOKUP(C311,[3]Sheet2!$C$3:$F$1223,2,0),"")</f>
        <v/>
      </c>
      <c r="D311" s="18" t="str">
        <f>IFERROR(VLOOKUP(C311,[3]Sheet2!$C$1:$F$1223,3,0),"")</f>
        <v/>
      </c>
      <c r="E311" s="18" t="str">
        <f>IFERROR(VLOOKUP(C311,[3]Sheet2!$C$1:$F$1223,4,0),"")</f>
        <v/>
      </c>
    </row>
    <row r="312" spans="2:5">
      <c r="B312" s="17" t="str">
        <f>IFERROR(VLOOKUP(C312,[3]Sheet2!$C$3:$F$1223,2,0),"")</f>
        <v/>
      </c>
      <c r="D312" s="18" t="str">
        <f>IFERROR(VLOOKUP(C312,[3]Sheet2!$C$1:$F$1223,3,0),"")</f>
        <v/>
      </c>
      <c r="E312" s="18" t="str">
        <f>IFERROR(VLOOKUP(C312,[3]Sheet2!$C$1:$F$1223,4,0),"")</f>
        <v/>
      </c>
    </row>
    <row r="313" spans="2:5">
      <c r="B313" s="17" t="str">
        <f>IFERROR(VLOOKUP(C313,[3]Sheet2!$C$3:$F$1223,2,0),"")</f>
        <v/>
      </c>
      <c r="D313" s="18" t="str">
        <f>IFERROR(VLOOKUP(C313,[3]Sheet2!$C$1:$F$1223,3,0),"")</f>
        <v/>
      </c>
      <c r="E313" s="18" t="str">
        <f>IFERROR(VLOOKUP(C313,[3]Sheet2!$C$1:$F$1223,4,0),"")</f>
        <v/>
      </c>
    </row>
    <row r="314" spans="2:5">
      <c r="B314" s="17" t="str">
        <f>IFERROR(VLOOKUP(C314,[3]Sheet2!$C$3:$F$1223,2,0),"")</f>
        <v/>
      </c>
      <c r="D314" s="18" t="str">
        <f>IFERROR(VLOOKUP(C314,[3]Sheet2!$C$1:$F$1223,3,0),"")</f>
        <v/>
      </c>
      <c r="E314" s="18" t="str">
        <f>IFERROR(VLOOKUP(C314,[3]Sheet2!$C$1:$F$1223,4,0),"")</f>
        <v/>
      </c>
    </row>
    <row r="315" spans="2:5">
      <c r="B315" s="17" t="str">
        <f>IFERROR(VLOOKUP(C315,[3]Sheet2!$C$3:$F$1223,2,0),"")</f>
        <v/>
      </c>
      <c r="D315" s="18" t="str">
        <f>IFERROR(VLOOKUP(C315,[3]Sheet2!$C$1:$F$1223,3,0),"")</f>
        <v/>
      </c>
      <c r="E315" s="18" t="str">
        <f>IFERROR(VLOOKUP(C315,[3]Sheet2!$C$1:$F$1223,4,0),"")</f>
        <v/>
      </c>
    </row>
    <row r="316" spans="2:5">
      <c r="B316" s="17" t="str">
        <f>IFERROR(VLOOKUP(C316,[3]Sheet2!$C$3:$F$1223,2,0),"")</f>
        <v/>
      </c>
      <c r="D316" s="18" t="str">
        <f>IFERROR(VLOOKUP(C316,[3]Sheet2!$C$1:$F$1223,3,0),"")</f>
        <v/>
      </c>
      <c r="E316" s="18" t="str">
        <f>IFERROR(VLOOKUP(C316,[3]Sheet2!$C$1:$F$1223,4,0),"")</f>
        <v/>
      </c>
    </row>
    <row r="317" spans="2:5">
      <c r="B317" s="17" t="str">
        <f>IFERROR(VLOOKUP(C317,[3]Sheet2!$C$3:$F$1223,2,0),"")</f>
        <v/>
      </c>
      <c r="D317" s="18" t="str">
        <f>IFERROR(VLOOKUP(C317,[3]Sheet2!$C$1:$F$1223,3,0),"")</f>
        <v/>
      </c>
      <c r="E317" s="18" t="str">
        <f>IFERROR(VLOOKUP(C317,[3]Sheet2!$C$1:$F$1223,4,0),"")</f>
        <v/>
      </c>
    </row>
    <row r="318" spans="2:5">
      <c r="B318" s="17" t="str">
        <f>IFERROR(VLOOKUP(C318,[3]Sheet2!$C$3:$F$1223,2,0),"")</f>
        <v/>
      </c>
      <c r="D318" s="18" t="str">
        <f>IFERROR(VLOOKUP(C318,[3]Sheet2!$C$1:$F$1223,3,0),"")</f>
        <v/>
      </c>
      <c r="E318" s="18" t="str">
        <f>IFERROR(VLOOKUP(C318,[3]Sheet2!$C$1:$F$1223,4,0),"")</f>
        <v/>
      </c>
    </row>
    <row r="319" spans="2:5">
      <c r="B319" s="17" t="str">
        <f>IFERROR(VLOOKUP(C319,[3]Sheet2!$C$3:$F$1223,2,0),"")</f>
        <v/>
      </c>
      <c r="D319" s="18" t="str">
        <f>IFERROR(VLOOKUP(C319,[3]Sheet2!$C$1:$F$1223,3,0),"")</f>
        <v/>
      </c>
      <c r="E319" s="18" t="str">
        <f>IFERROR(VLOOKUP(C319,[3]Sheet2!$C$1:$F$1223,4,0),"")</f>
        <v/>
      </c>
    </row>
    <row r="320" spans="2:5">
      <c r="B320" s="17" t="str">
        <f>IFERROR(VLOOKUP(C320,[3]Sheet2!$C$3:$F$1223,2,0),"")</f>
        <v/>
      </c>
      <c r="D320" s="18" t="str">
        <f>IFERROR(VLOOKUP(C320,[3]Sheet2!$C$1:$F$1223,3,0),"")</f>
        <v/>
      </c>
      <c r="E320" s="18" t="str">
        <f>IFERROR(VLOOKUP(C320,[3]Sheet2!$C$1:$F$1223,4,0),"")</f>
        <v/>
      </c>
    </row>
    <row r="321" spans="2:5">
      <c r="B321" s="17" t="str">
        <f>IFERROR(VLOOKUP(C321,[3]Sheet2!$C$3:$F$1223,2,0),"")</f>
        <v/>
      </c>
      <c r="D321" s="18" t="str">
        <f>IFERROR(VLOOKUP(C321,[3]Sheet2!$C$1:$F$1223,3,0),"")</f>
        <v/>
      </c>
      <c r="E321" s="18" t="str">
        <f>IFERROR(VLOOKUP(C321,[3]Sheet2!$C$1:$F$1223,4,0),"")</f>
        <v/>
      </c>
    </row>
    <row r="322" spans="2:5">
      <c r="B322" s="17" t="str">
        <f>IFERROR(VLOOKUP(C322,[3]Sheet2!$C$3:$F$1223,2,0),"")</f>
        <v/>
      </c>
      <c r="D322" s="18" t="str">
        <f>IFERROR(VLOOKUP(C322,[3]Sheet2!$C$1:$F$1223,3,0),"")</f>
        <v/>
      </c>
      <c r="E322" s="18" t="str">
        <f>IFERROR(VLOOKUP(C322,[3]Sheet2!$C$1:$F$1223,4,0),"")</f>
        <v/>
      </c>
    </row>
    <row r="323" spans="2:5">
      <c r="B323" s="17" t="str">
        <f>IFERROR(VLOOKUP(C323,[3]Sheet2!$C$3:$F$1223,2,0),"")</f>
        <v/>
      </c>
      <c r="D323" s="18" t="str">
        <f>IFERROR(VLOOKUP(C323,[3]Sheet2!$C$1:$F$1223,3,0),"")</f>
        <v/>
      </c>
      <c r="E323" s="18" t="str">
        <f>IFERROR(VLOOKUP(C323,[3]Sheet2!$C$1:$F$1223,4,0),"")</f>
        <v/>
      </c>
    </row>
    <row r="324" spans="2:5">
      <c r="B324" s="17" t="str">
        <f>IFERROR(VLOOKUP(C324,[3]Sheet2!$C$3:$F$1223,2,0),"")</f>
        <v/>
      </c>
      <c r="D324" s="18" t="str">
        <f>IFERROR(VLOOKUP(C324,[3]Sheet2!$C$1:$F$1223,3,0),"")</f>
        <v/>
      </c>
      <c r="E324" s="18" t="str">
        <f>IFERROR(VLOOKUP(C324,[3]Sheet2!$C$1:$F$1223,4,0),"")</f>
        <v/>
      </c>
    </row>
    <row r="325" spans="2:5">
      <c r="B325" s="17" t="str">
        <f>IFERROR(VLOOKUP(C325,[3]Sheet2!$C$3:$F$1223,2,0),"")</f>
        <v/>
      </c>
      <c r="D325" s="18" t="str">
        <f>IFERROR(VLOOKUP(C325,[3]Sheet2!$C$1:$F$1223,3,0),"")</f>
        <v/>
      </c>
      <c r="E325" s="18" t="str">
        <f>IFERROR(VLOOKUP(C325,[3]Sheet2!$C$1:$F$1223,4,0),"")</f>
        <v/>
      </c>
    </row>
    <row r="326" spans="2:5">
      <c r="B326" s="17" t="str">
        <f>IFERROR(VLOOKUP(C326,[3]Sheet2!$C$3:$F$1223,2,0),"")</f>
        <v/>
      </c>
      <c r="D326" s="18" t="str">
        <f>IFERROR(VLOOKUP(C326,[3]Sheet2!$C$1:$F$1223,3,0),"")</f>
        <v/>
      </c>
      <c r="E326" s="18" t="str">
        <f>IFERROR(VLOOKUP(C326,[3]Sheet2!$C$1:$F$1223,4,0),"")</f>
        <v/>
      </c>
    </row>
    <row r="327" spans="2:5">
      <c r="B327" s="17" t="str">
        <f>IFERROR(VLOOKUP(C327,[3]Sheet2!$C$3:$F$1223,2,0),"")</f>
        <v/>
      </c>
      <c r="D327" s="18" t="str">
        <f>IFERROR(VLOOKUP(C327,[3]Sheet2!$C$1:$F$1223,3,0),"")</f>
        <v/>
      </c>
      <c r="E327" s="18" t="str">
        <f>IFERROR(VLOOKUP(C327,[3]Sheet2!$C$1:$F$1223,4,0),"")</f>
        <v/>
      </c>
    </row>
    <row r="328" spans="2:5">
      <c r="B328" s="17" t="str">
        <f>IFERROR(VLOOKUP(C328,[3]Sheet2!$C$3:$F$1223,2,0),"")</f>
        <v/>
      </c>
      <c r="D328" s="18" t="str">
        <f>IFERROR(VLOOKUP(C328,[3]Sheet2!$C$1:$F$1223,3,0),"")</f>
        <v/>
      </c>
      <c r="E328" s="18" t="str">
        <f>IFERROR(VLOOKUP(C328,[3]Sheet2!$C$1:$F$1223,4,0),"")</f>
        <v/>
      </c>
    </row>
    <row r="329" spans="2:5">
      <c r="B329" s="17" t="str">
        <f>IFERROR(VLOOKUP(C329,[3]Sheet2!$C$3:$F$1223,2,0),"")</f>
        <v/>
      </c>
      <c r="D329" s="18" t="str">
        <f>IFERROR(VLOOKUP(C329,[3]Sheet2!$C$1:$F$1223,3,0),"")</f>
        <v/>
      </c>
      <c r="E329" s="18" t="str">
        <f>IFERROR(VLOOKUP(C329,[3]Sheet2!$C$1:$F$1223,4,0),"")</f>
        <v/>
      </c>
    </row>
    <row r="330" spans="2:5">
      <c r="B330" s="17" t="str">
        <f>IFERROR(VLOOKUP(C330,[3]Sheet2!$C$3:$F$1223,2,0),"")</f>
        <v/>
      </c>
      <c r="D330" s="18" t="str">
        <f>IFERROR(VLOOKUP(C330,[3]Sheet2!$C$1:$F$1223,3,0),"")</f>
        <v/>
      </c>
      <c r="E330" s="18" t="str">
        <f>IFERROR(VLOOKUP(C330,[3]Sheet2!$C$1:$F$1223,4,0),"")</f>
        <v/>
      </c>
    </row>
    <row r="331" spans="2:5">
      <c r="B331" s="17" t="str">
        <f>IFERROR(VLOOKUP(C331,[3]Sheet2!$C$3:$F$1223,2,0),"")</f>
        <v/>
      </c>
      <c r="D331" s="18" t="str">
        <f>IFERROR(VLOOKUP(C331,[3]Sheet2!$C$1:$F$1223,3,0),"")</f>
        <v/>
      </c>
      <c r="E331" s="18" t="str">
        <f>IFERROR(VLOOKUP(C331,[3]Sheet2!$C$1:$F$1223,4,0),"")</f>
        <v/>
      </c>
    </row>
    <row r="332" spans="2:5">
      <c r="B332" s="17" t="str">
        <f>IFERROR(VLOOKUP(C332,[3]Sheet2!$C$3:$F$1223,2,0),"")</f>
        <v/>
      </c>
      <c r="D332" s="18" t="str">
        <f>IFERROR(VLOOKUP(C332,[3]Sheet2!$C$1:$F$1223,3,0),"")</f>
        <v/>
      </c>
      <c r="E332" s="18" t="str">
        <f>IFERROR(VLOOKUP(C332,[3]Sheet2!$C$1:$F$1223,4,0),"")</f>
        <v/>
      </c>
    </row>
    <row r="333" spans="2:5">
      <c r="B333" s="17" t="str">
        <f>IFERROR(VLOOKUP(C333,[3]Sheet2!$C$3:$F$1223,2,0),"")</f>
        <v/>
      </c>
      <c r="D333" s="18" t="str">
        <f>IFERROR(VLOOKUP(C333,[3]Sheet2!$C$1:$F$1223,3,0),"")</f>
        <v/>
      </c>
      <c r="E333" s="18" t="str">
        <f>IFERROR(VLOOKUP(C333,[3]Sheet2!$C$1:$F$1223,4,0),"")</f>
        <v/>
      </c>
    </row>
    <row r="334" spans="2:5">
      <c r="B334" s="17" t="str">
        <f>IFERROR(VLOOKUP(C334,[3]Sheet2!$C$3:$F$1223,2,0),"")</f>
        <v/>
      </c>
      <c r="D334" s="18" t="str">
        <f>IFERROR(VLOOKUP(C334,[3]Sheet2!$C$1:$F$1223,3,0),"")</f>
        <v/>
      </c>
      <c r="E334" s="18" t="str">
        <f>IFERROR(VLOOKUP(C334,[3]Sheet2!$C$1:$F$1223,4,0),"")</f>
        <v/>
      </c>
    </row>
    <row r="335" spans="2:5">
      <c r="B335" s="17" t="str">
        <f>IFERROR(VLOOKUP(C335,[3]Sheet2!$C$3:$F$1223,2,0),"")</f>
        <v/>
      </c>
      <c r="D335" s="18" t="str">
        <f>IFERROR(VLOOKUP(C335,[3]Sheet2!$C$1:$F$1223,3,0),"")</f>
        <v/>
      </c>
      <c r="E335" s="18" t="str">
        <f>IFERROR(VLOOKUP(C335,[3]Sheet2!$C$1:$F$1223,4,0),"")</f>
        <v/>
      </c>
    </row>
    <row r="336" spans="2:5">
      <c r="B336" s="17" t="str">
        <f>IFERROR(VLOOKUP(C336,[3]Sheet2!$C$3:$F$1223,2,0),"")</f>
        <v/>
      </c>
      <c r="D336" s="18" t="str">
        <f>IFERROR(VLOOKUP(C336,[3]Sheet2!$C$1:$F$1223,3,0),"")</f>
        <v/>
      </c>
      <c r="E336" s="18" t="str">
        <f>IFERROR(VLOOKUP(C336,[3]Sheet2!$C$1:$F$1223,4,0),"")</f>
        <v/>
      </c>
    </row>
    <row r="337" spans="2:5">
      <c r="B337" s="17" t="str">
        <f>IFERROR(VLOOKUP(C337,[3]Sheet2!$C$3:$F$1223,2,0),"")</f>
        <v/>
      </c>
      <c r="D337" s="18" t="str">
        <f>IFERROR(VLOOKUP(C337,[3]Sheet2!$C$1:$F$1223,3,0),"")</f>
        <v/>
      </c>
      <c r="E337" s="18" t="str">
        <f>IFERROR(VLOOKUP(C337,[3]Sheet2!$C$1:$F$1223,4,0),"")</f>
        <v/>
      </c>
    </row>
    <row r="338" spans="2:5">
      <c r="B338" s="17" t="str">
        <f>IFERROR(VLOOKUP(C338,[3]Sheet2!$C$3:$F$1223,2,0),"")</f>
        <v/>
      </c>
      <c r="D338" s="18" t="str">
        <f>IFERROR(VLOOKUP(C338,[3]Sheet2!$C$1:$F$1223,3,0),"")</f>
        <v/>
      </c>
      <c r="E338" s="18" t="str">
        <f>IFERROR(VLOOKUP(C338,[3]Sheet2!$C$1:$F$1223,4,0),"")</f>
        <v/>
      </c>
    </row>
    <row r="339" spans="2:5">
      <c r="B339" s="17" t="str">
        <f>IFERROR(VLOOKUP(C339,[3]Sheet2!$C$3:$F$1223,2,0),"")</f>
        <v/>
      </c>
      <c r="D339" s="18" t="str">
        <f>IFERROR(VLOOKUP(C339,[3]Sheet2!$C$1:$F$1223,3,0),"")</f>
        <v/>
      </c>
      <c r="E339" s="18" t="str">
        <f>IFERROR(VLOOKUP(C339,[3]Sheet2!$C$1:$F$1223,4,0),"")</f>
        <v/>
      </c>
    </row>
    <row r="340" spans="2:5">
      <c r="B340" s="17" t="str">
        <f>IFERROR(VLOOKUP(C340,[3]Sheet2!$C$3:$F$1223,2,0),"")</f>
        <v/>
      </c>
      <c r="D340" s="18" t="str">
        <f>IFERROR(VLOOKUP(C340,[3]Sheet2!$C$1:$F$1223,3,0),"")</f>
        <v/>
      </c>
      <c r="E340" s="18" t="str">
        <f>IFERROR(VLOOKUP(C340,[3]Sheet2!$C$1:$F$1223,4,0),"")</f>
        <v/>
      </c>
    </row>
    <row r="341" spans="2:5">
      <c r="B341" s="17" t="str">
        <f>IFERROR(VLOOKUP(C341,[3]Sheet2!$C$3:$F$1223,2,0),"")</f>
        <v/>
      </c>
      <c r="D341" s="18" t="str">
        <f>IFERROR(VLOOKUP(C341,[3]Sheet2!$C$1:$F$1223,3,0),"")</f>
        <v/>
      </c>
      <c r="E341" s="18" t="str">
        <f>IFERROR(VLOOKUP(C341,[3]Sheet2!$C$1:$F$1223,4,0),"")</f>
        <v/>
      </c>
    </row>
    <row r="342" spans="2:5">
      <c r="B342" s="17" t="str">
        <f>IFERROR(VLOOKUP(C342,[3]Sheet2!$C$3:$F$1223,2,0),"")</f>
        <v/>
      </c>
      <c r="D342" s="18" t="str">
        <f>IFERROR(VLOOKUP(C342,[3]Sheet2!$C$1:$F$1223,3,0),"")</f>
        <v/>
      </c>
      <c r="E342" s="18" t="str">
        <f>IFERROR(VLOOKUP(C342,[3]Sheet2!$C$1:$F$1223,4,0),"")</f>
        <v/>
      </c>
    </row>
    <row r="343" spans="2:5">
      <c r="B343" s="17" t="str">
        <f>IFERROR(VLOOKUP(C343,[3]Sheet2!$C$3:$F$1223,2,0),"")</f>
        <v/>
      </c>
      <c r="D343" s="18" t="str">
        <f>IFERROR(VLOOKUP(C343,[3]Sheet2!$C$1:$F$1223,3,0),"")</f>
        <v/>
      </c>
      <c r="E343" s="18" t="str">
        <f>IFERROR(VLOOKUP(C343,[3]Sheet2!$C$1:$F$1223,4,0),"")</f>
        <v/>
      </c>
    </row>
    <row r="344" spans="2:5">
      <c r="B344" s="17" t="str">
        <f>IFERROR(VLOOKUP(C344,[3]Sheet2!$C$3:$F$1223,2,0),"")</f>
        <v/>
      </c>
      <c r="D344" s="18" t="str">
        <f>IFERROR(VLOOKUP(C344,[3]Sheet2!$C$1:$F$1223,3,0),"")</f>
        <v/>
      </c>
      <c r="E344" s="18" t="str">
        <f>IFERROR(VLOOKUP(C344,[3]Sheet2!$C$1:$F$1223,4,0),"")</f>
        <v/>
      </c>
    </row>
    <row r="345" spans="2:5">
      <c r="B345" s="17" t="str">
        <f>IFERROR(VLOOKUP(C345,[3]Sheet2!$C$3:$F$1223,2,0),"")</f>
        <v/>
      </c>
      <c r="D345" s="18" t="str">
        <f>IFERROR(VLOOKUP(C345,[3]Sheet2!$C$1:$F$1223,3,0),"")</f>
        <v/>
      </c>
      <c r="E345" s="18" t="str">
        <f>IFERROR(VLOOKUP(C345,[3]Sheet2!$C$1:$F$1223,4,0),"")</f>
        <v/>
      </c>
    </row>
    <row r="346" spans="2:5">
      <c r="B346" s="17" t="str">
        <f>IFERROR(VLOOKUP(C346,[3]Sheet2!$C$3:$F$1223,2,0),"")</f>
        <v/>
      </c>
      <c r="D346" s="18" t="str">
        <f>IFERROR(VLOOKUP(C346,[3]Sheet2!$C$1:$F$1223,3,0),"")</f>
        <v/>
      </c>
      <c r="E346" s="18" t="str">
        <f>IFERROR(VLOOKUP(C346,[3]Sheet2!$C$1:$F$1223,4,0),"")</f>
        <v/>
      </c>
    </row>
    <row r="347" spans="2:5">
      <c r="B347" s="17" t="str">
        <f>IFERROR(VLOOKUP(C347,[3]Sheet2!$C$3:$F$1223,2,0),"")</f>
        <v/>
      </c>
      <c r="D347" s="18" t="str">
        <f>IFERROR(VLOOKUP(C347,[3]Sheet2!$C$1:$F$1223,3,0),"")</f>
        <v/>
      </c>
      <c r="E347" s="18" t="str">
        <f>IFERROR(VLOOKUP(C347,[3]Sheet2!$C$1:$F$1223,4,0),"")</f>
        <v/>
      </c>
    </row>
    <row r="348" spans="2:5">
      <c r="B348" s="17" t="str">
        <f>IFERROR(VLOOKUP(C348,[3]Sheet2!$C$3:$F$1223,2,0),"")</f>
        <v/>
      </c>
      <c r="D348" s="18" t="str">
        <f>IFERROR(VLOOKUP(C348,[3]Sheet2!$C$1:$F$1223,3,0),"")</f>
        <v/>
      </c>
      <c r="E348" s="18" t="str">
        <f>IFERROR(VLOOKUP(C348,[3]Sheet2!$C$1:$F$1223,4,0),"")</f>
        <v/>
      </c>
    </row>
    <row r="349" spans="2:5">
      <c r="B349" s="17" t="str">
        <f>IFERROR(VLOOKUP(C349,[3]Sheet2!$C$3:$F$1223,2,0),"")</f>
        <v/>
      </c>
      <c r="D349" s="18" t="str">
        <f>IFERROR(VLOOKUP(C349,[3]Sheet2!$C$1:$F$1223,3,0),"")</f>
        <v/>
      </c>
      <c r="E349" s="18" t="str">
        <f>IFERROR(VLOOKUP(C349,[3]Sheet2!$C$1:$F$1223,4,0),"")</f>
        <v/>
      </c>
    </row>
    <row r="350" spans="2:5">
      <c r="B350" s="17" t="str">
        <f>IFERROR(VLOOKUP(C350,[3]Sheet2!$C$3:$F$1223,2,0),"")</f>
        <v/>
      </c>
      <c r="D350" s="18" t="str">
        <f>IFERROR(VLOOKUP(C350,[3]Sheet2!$C$1:$F$1223,3,0),"")</f>
        <v/>
      </c>
      <c r="E350" s="18" t="str">
        <f>IFERROR(VLOOKUP(C350,[3]Sheet2!$C$1:$F$1223,4,0),"")</f>
        <v/>
      </c>
    </row>
    <row r="351" spans="2:5">
      <c r="B351" s="17" t="str">
        <f>IFERROR(VLOOKUP(C351,[3]Sheet2!$C$3:$F$1223,2,0),"")</f>
        <v/>
      </c>
      <c r="D351" s="18" t="str">
        <f>IFERROR(VLOOKUP(C351,[3]Sheet2!$C$1:$F$1223,3,0),"")</f>
        <v/>
      </c>
      <c r="E351" s="18" t="str">
        <f>IFERROR(VLOOKUP(C351,[3]Sheet2!$C$1:$F$1223,4,0),"")</f>
        <v/>
      </c>
    </row>
    <row r="352" spans="2:5">
      <c r="B352" s="17" t="str">
        <f>IFERROR(VLOOKUP(C352,[3]Sheet2!$C$3:$F$1223,2,0),"")</f>
        <v/>
      </c>
      <c r="D352" s="18" t="str">
        <f>IFERROR(VLOOKUP(C352,[3]Sheet2!$C$1:$F$1223,3,0),"")</f>
        <v/>
      </c>
      <c r="E352" s="18" t="str">
        <f>IFERROR(VLOOKUP(C352,[3]Sheet2!$C$1:$F$1223,4,0),"")</f>
        <v/>
      </c>
    </row>
    <row r="353" spans="2:5">
      <c r="B353" s="17" t="str">
        <f>IFERROR(VLOOKUP(C353,[3]Sheet2!$C$3:$F$1223,2,0),"")</f>
        <v/>
      </c>
      <c r="D353" s="18" t="str">
        <f>IFERROR(VLOOKUP(C353,[3]Sheet2!$C$1:$F$1223,3,0),"")</f>
        <v/>
      </c>
      <c r="E353" s="18" t="str">
        <f>IFERROR(VLOOKUP(C353,[3]Sheet2!$C$1:$F$1223,4,0),"")</f>
        <v/>
      </c>
    </row>
    <row r="354" spans="2:5">
      <c r="B354" s="17" t="str">
        <f>IFERROR(VLOOKUP(C354,[3]Sheet2!$C$3:$F$1223,2,0),"")</f>
        <v/>
      </c>
      <c r="D354" s="18" t="str">
        <f>IFERROR(VLOOKUP(C354,[3]Sheet2!$C$1:$F$1223,3,0),"")</f>
        <v/>
      </c>
      <c r="E354" s="18" t="str">
        <f>IFERROR(VLOOKUP(C354,[3]Sheet2!$C$1:$F$1223,4,0),"")</f>
        <v/>
      </c>
    </row>
    <row r="355" spans="2:5">
      <c r="B355" s="17" t="str">
        <f>IFERROR(VLOOKUP(C355,[3]Sheet2!$C$3:$F$1223,2,0),"")</f>
        <v/>
      </c>
      <c r="D355" s="18" t="str">
        <f>IFERROR(VLOOKUP(C355,[3]Sheet2!$C$1:$F$1223,3,0),"")</f>
        <v/>
      </c>
      <c r="E355" s="18" t="str">
        <f>IFERROR(VLOOKUP(C355,[3]Sheet2!$C$1:$F$1223,4,0),"")</f>
        <v/>
      </c>
    </row>
    <row r="356" spans="2:5">
      <c r="B356" s="17" t="str">
        <f>IFERROR(VLOOKUP(C356,[3]Sheet2!$C$3:$F$1223,2,0),"")</f>
        <v/>
      </c>
      <c r="D356" s="18" t="str">
        <f>IFERROR(VLOOKUP(C356,[3]Sheet2!$C$1:$F$1223,3,0),"")</f>
        <v/>
      </c>
      <c r="E356" s="18" t="str">
        <f>IFERROR(VLOOKUP(C356,[3]Sheet2!$C$1:$F$1223,4,0),"")</f>
        <v/>
      </c>
    </row>
    <row r="357" spans="2:5">
      <c r="B357" s="17" t="str">
        <f>IFERROR(VLOOKUP(C357,[3]Sheet2!$C$3:$F$1223,2,0),"")</f>
        <v/>
      </c>
      <c r="D357" s="18" t="str">
        <f>IFERROR(VLOOKUP(C357,[3]Sheet2!$C$1:$F$1223,3,0),"")</f>
        <v/>
      </c>
      <c r="E357" s="18" t="str">
        <f>IFERROR(VLOOKUP(C357,[3]Sheet2!$C$1:$F$1223,4,0),"")</f>
        <v/>
      </c>
    </row>
    <row r="358" spans="2:5">
      <c r="B358" s="17" t="str">
        <f>IFERROR(VLOOKUP(C358,[3]Sheet2!$C$3:$F$1223,2,0),"")</f>
        <v/>
      </c>
      <c r="D358" s="18" t="str">
        <f>IFERROR(VLOOKUP(C358,[3]Sheet2!$C$1:$F$1223,3,0),"")</f>
        <v/>
      </c>
      <c r="E358" s="18" t="str">
        <f>IFERROR(VLOOKUP(C358,[3]Sheet2!$C$1:$F$1223,4,0),"")</f>
        <v/>
      </c>
    </row>
    <row r="359" spans="2:5">
      <c r="B359" s="17" t="str">
        <f>IFERROR(VLOOKUP(C359,[3]Sheet2!$C$3:$F$1223,2,0),"")</f>
        <v/>
      </c>
      <c r="D359" s="18" t="str">
        <f>IFERROR(VLOOKUP(C359,[3]Sheet2!$C$1:$F$1223,3,0),"")</f>
        <v/>
      </c>
      <c r="E359" s="18" t="str">
        <f>IFERROR(VLOOKUP(C359,[3]Sheet2!$C$1:$F$1223,4,0),"")</f>
        <v/>
      </c>
    </row>
    <row r="360" spans="2:5">
      <c r="B360" s="17" t="str">
        <f>IFERROR(VLOOKUP(C360,[3]Sheet2!$C$3:$F$1223,2,0),"")</f>
        <v/>
      </c>
      <c r="D360" s="18" t="str">
        <f>IFERROR(VLOOKUP(C360,[3]Sheet2!$C$1:$F$1223,3,0),"")</f>
        <v/>
      </c>
      <c r="E360" s="18" t="str">
        <f>IFERROR(VLOOKUP(C360,[3]Sheet2!$C$1:$F$1223,4,0),"")</f>
        <v/>
      </c>
    </row>
    <row r="361" spans="2:5">
      <c r="B361" s="17" t="str">
        <f>IFERROR(VLOOKUP(C361,[3]Sheet2!$C$3:$F$1223,2,0),"")</f>
        <v/>
      </c>
      <c r="D361" s="18" t="str">
        <f>IFERROR(VLOOKUP(C361,[3]Sheet2!$C$1:$F$1223,3,0),"")</f>
        <v/>
      </c>
      <c r="E361" s="18" t="str">
        <f>IFERROR(VLOOKUP(C361,[3]Sheet2!$C$1:$F$1223,4,0),"")</f>
        <v/>
      </c>
    </row>
    <row r="362" spans="2:5">
      <c r="B362" s="17" t="str">
        <f>IFERROR(VLOOKUP(C362,[3]Sheet2!$C$3:$F$1223,2,0),"")</f>
        <v/>
      </c>
      <c r="D362" s="18" t="str">
        <f>IFERROR(VLOOKUP(C362,[3]Sheet2!$C$1:$F$1223,3,0),"")</f>
        <v/>
      </c>
      <c r="E362" s="18" t="str">
        <f>IFERROR(VLOOKUP(C362,[3]Sheet2!$C$1:$F$1223,4,0),"")</f>
        <v/>
      </c>
    </row>
    <row r="363" spans="2:5">
      <c r="B363" s="17" t="str">
        <f>IFERROR(VLOOKUP(C363,[3]Sheet2!$C$3:$F$1223,2,0),"")</f>
        <v/>
      </c>
      <c r="D363" s="18" t="str">
        <f>IFERROR(VLOOKUP(C363,[3]Sheet2!$C$1:$F$1223,3,0),"")</f>
        <v/>
      </c>
      <c r="E363" s="18" t="str">
        <f>IFERROR(VLOOKUP(C363,[3]Sheet2!$C$1:$F$1223,4,0),"")</f>
        <v/>
      </c>
    </row>
    <row r="364" spans="2:5">
      <c r="B364" s="17" t="str">
        <f>IFERROR(VLOOKUP(C364,[3]Sheet2!$C$3:$F$1223,2,0),"")</f>
        <v/>
      </c>
      <c r="D364" s="18" t="str">
        <f>IFERROR(VLOOKUP(C364,[3]Sheet2!$C$1:$F$1223,3,0),"")</f>
        <v/>
      </c>
      <c r="E364" s="18" t="str">
        <f>IFERROR(VLOOKUP(C364,[3]Sheet2!$C$1:$F$1223,4,0),"")</f>
        <v/>
      </c>
    </row>
    <row r="365" spans="2:5">
      <c r="B365" s="17" t="str">
        <f>IFERROR(VLOOKUP(C365,[3]Sheet2!$C$3:$F$1223,2,0),"")</f>
        <v/>
      </c>
      <c r="D365" s="18" t="str">
        <f>IFERROR(VLOOKUP(C365,[3]Sheet2!$C$1:$F$1223,3,0),"")</f>
        <v/>
      </c>
      <c r="E365" s="18" t="str">
        <f>IFERROR(VLOOKUP(C365,[3]Sheet2!$C$1:$F$1223,4,0),"")</f>
        <v/>
      </c>
    </row>
    <row r="366" spans="2:5">
      <c r="B366" s="17" t="str">
        <f>IFERROR(VLOOKUP(C366,[3]Sheet2!$C$3:$F$1223,2,0),"")</f>
        <v/>
      </c>
      <c r="D366" s="18" t="str">
        <f>IFERROR(VLOOKUP(C366,[3]Sheet2!$C$1:$F$1223,3,0),"")</f>
        <v/>
      </c>
      <c r="E366" s="18" t="str">
        <f>IFERROR(VLOOKUP(C366,[3]Sheet2!$C$1:$F$1223,4,0),"")</f>
        <v/>
      </c>
    </row>
    <row r="367" spans="2:5">
      <c r="B367" s="17" t="str">
        <f>IFERROR(VLOOKUP(C367,[3]Sheet2!$C$3:$F$1223,2,0),"")</f>
        <v/>
      </c>
      <c r="D367" s="18" t="str">
        <f>IFERROR(VLOOKUP(C367,[3]Sheet2!$C$1:$F$1223,3,0),"")</f>
        <v/>
      </c>
      <c r="E367" s="18" t="str">
        <f>IFERROR(VLOOKUP(C367,[3]Sheet2!$C$1:$F$1223,4,0),"")</f>
        <v/>
      </c>
    </row>
    <row r="368" spans="2:5">
      <c r="B368" s="17" t="str">
        <f>IFERROR(VLOOKUP(C368,[3]Sheet2!$C$3:$F$1223,2,0),"")</f>
        <v/>
      </c>
      <c r="D368" s="18" t="str">
        <f>IFERROR(VLOOKUP(C368,[3]Sheet2!$C$1:$F$1223,3,0),"")</f>
        <v/>
      </c>
      <c r="E368" s="18" t="str">
        <f>IFERROR(VLOOKUP(C368,[3]Sheet2!$C$1:$F$1223,4,0),"")</f>
        <v/>
      </c>
    </row>
    <row r="369" spans="2:5">
      <c r="B369" s="17" t="str">
        <f>IFERROR(VLOOKUP(C369,[3]Sheet2!$C$3:$F$1223,2,0),"")</f>
        <v/>
      </c>
      <c r="D369" s="18" t="str">
        <f>IFERROR(VLOOKUP(C369,[3]Sheet2!$C$1:$F$1223,3,0),"")</f>
        <v/>
      </c>
      <c r="E369" s="18" t="str">
        <f>IFERROR(VLOOKUP(C369,[3]Sheet2!$C$1:$F$1223,4,0),"")</f>
        <v/>
      </c>
    </row>
    <row r="370" spans="2:5">
      <c r="B370" s="17" t="str">
        <f>IFERROR(VLOOKUP(C370,[3]Sheet2!$C$3:$F$1223,2,0),"")</f>
        <v/>
      </c>
      <c r="D370" s="18" t="str">
        <f>IFERROR(VLOOKUP(C370,[3]Sheet2!$C$1:$F$1223,3,0),"")</f>
        <v/>
      </c>
      <c r="E370" s="18" t="str">
        <f>IFERROR(VLOOKUP(C370,[3]Sheet2!$C$1:$F$1223,4,0),"")</f>
        <v/>
      </c>
    </row>
    <row r="371" spans="2:5">
      <c r="B371" s="17" t="str">
        <f>IFERROR(VLOOKUP(C371,[3]Sheet2!$C$3:$F$1223,2,0),"")</f>
        <v/>
      </c>
      <c r="D371" s="18" t="str">
        <f>IFERROR(VLOOKUP(C371,[3]Sheet2!$C$1:$F$1223,3,0),"")</f>
        <v/>
      </c>
      <c r="E371" s="18" t="str">
        <f>IFERROR(VLOOKUP(C371,[3]Sheet2!$C$1:$F$1223,4,0),"")</f>
        <v/>
      </c>
    </row>
    <row r="372" spans="2:5">
      <c r="B372" s="17" t="str">
        <f>IFERROR(VLOOKUP(C372,[3]Sheet2!$C$3:$F$1223,2,0),"")</f>
        <v/>
      </c>
      <c r="D372" s="18" t="str">
        <f>IFERROR(VLOOKUP(C372,[3]Sheet2!$C$1:$F$1223,3,0),"")</f>
        <v/>
      </c>
      <c r="E372" s="18" t="str">
        <f>IFERROR(VLOOKUP(C372,[3]Sheet2!$C$1:$F$1223,4,0),"")</f>
        <v/>
      </c>
    </row>
    <row r="373" spans="2:5">
      <c r="B373" s="17" t="str">
        <f>IFERROR(VLOOKUP(C373,[3]Sheet2!$C$3:$F$1223,2,0),"")</f>
        <v/>
      </c>
      <c r="D373" s="18" t="str">
        <f>IFERROR(VLOOKUP(C373,[3]Sheet2!$C$1:$F$1223,3,0),"")</f>
        <v/>
      </c>
      <c r="E373" s="18" t="str">
        <f>IFERROR(VLOOKUP(C373,[3]Sheet2!$C$1:$F$1223,4,0),"")</f>
        <v/>
      </c>
    </row>
    <row r="374" spans="2:5">
      <c r="B374" s="17" t="str">
        <f>IFERROR(VLOOKUP(C374,[3]Sheet2!$C$3:$F$1223,2,0),"")</f>
        <v/>
      </c>
      <c r="D374" s="18" t="str">
        <f>IFERROR(VLOOKUP(C374,[3]Sheet2!$C$1:$F$1223,3,0),"")</f>
        <v/>
      </c>
      <c r="E374" s="18" t="str">
        <f>IFERROR(VLOOKUP(C374,[3]Sheet2!$C$1:$F$1223,4,0),"")</f>
        <v/>
      </c>
    </row>
    <row r="375" spans="2:5">
      <c r="B375" s="17" t="str">
        <f>IFERROR(VLOOKUP(C375,[3]Sheet2!$C$3:$F$1223,2,0),"")</f>
        <v/>
      </c>
      <c r="D375" s="18" t="str">
        <f>IFERROR(VLOOKUP(C375,[3]Sheet2!$C$1:$F$1223,3,0),"")</f>
        <v/>
      </c>
      <c r="E375" s="18" t="str">
        <f>IFERROR(VLOOKUP(C375,[3]Sheet2!$C$1:$F$1223,4,0),"")</f>
        <v/>
      </c>
    </row>
    <row r="376" spans="2:5">
      <c r="B376" s="17" t="str">
        <f>IFERROR(VLOOKUP(C376,[3]Sheet2!$C$3:$F$1223,2,0),"")</f>
        <v/>
      </c>
      <c r="D376" s="18" t="str">
        <f>IFERROR(VLOOKUP(C376,[3]Sheet2!$C$1:$F$1223,3,0),"")</f>
        <v/>
      </c>
      <c r="E376" s="18" t="str">
        <f>IFERROR(VLOOKUP(C376,[3]Sheet2!$C$1:$F$1223,4,0),"")</f>
        <v/>
      </c>
    </row>
    <row r="377" spans="2:5">
      <c r="B377" s="17" t="str">
        <f>IFERROR(VLOOKUP(C377,[3]Sheet2!$C$3:$F$1223,2,0),"")</f>
        <v/>
      </c>
      <c r="D377" s="18" t="str">
        <f>IFERROR(VLOOKUP(C377,[3]Sheet2!$C$1:$F$1223,3,0),"")</f>
        <v/>
      </c>
      <c r="E377" s="18" t="str">
        <f>IFERROR(VLOOKUP(C377,[3]Sheet2!$C$1:$F$1223,4,0),"")</f>
        <v/>
      </c>
    </row>
    <row r="378" spans="2:5">
      <c r="B378" s="17" t="str">
        <f>IFERROR(VLOOKUP(C378,[3]Sheet2!$C$3:$F$1223,2,0),"")</f>
        <v/>
      </c>
      <c r="D378" s="18" t="str">
        <f>IFERROR(VLOOKUP(C378,[3]Sheet2!$C$1:$F$1223,3,0),"")</f>
        <v/>
      </c>
      <c r="E378" s="18" t="str">
        <f>IFERROR(VLOOKUP(C378,[3]Sheet2!$C$1:$F$1223,4,0),"")</f>
        <v/>
      </c>
    </row>
    <row r="379" spans="2:5">
      <c r="B379" s="17" t="str">
        <f>IFERROR(VLOOKUP(C379,[3]Sheet2!$C$3:$F$1223,2,0),"")</f>
        <v/>
      </c>
      <c r="D379" s="18" t="str">
        <f>IFERROR(VLOOKUP(C379,[3]Sheet2!$C$1:$F$1223,3,0),"")</f>
        <v/>
      </c>
      <c r="E379" s="18" t="str">
        <f>IFERROR(VLOOKUP(C379,[3]Sheet2!$C$1:$F$1223,4,0),"")</f>
        <v/>
      </c>
    </row>
    <row r="380" spans="2:5">
      <c r="B380" s="17" t="str">
        <f>IFERROR(VLOOKUP(C380,[3]Sheet2!$C$3:$F$1223,2,0),"")</f>
        <v/>
      </c>
      <c r="D380" s="18" t="str">
        <f>IFERROR(VLOOKUP(C380,[3]Sheet2!$C$1:$F$1223,3,0),"")</f>
        <v/>
      </c>
      <c r="E380" s="18" t="str">
        <f>IFERROR(VLOOKUP(C380,[3]Sheet2!$C$1:$F$1223,4,0),"")</f>
        <v/>
      </c>
    </row>
    <row r="381" spans="2:5">
      <c r="B381" s="17" t="str">
        <f>IFERROR(VLOOKUP(C381,[3]Sheet2!$C$3:$F$1223,2,0),"")</f>
        <v/>
      </c>
      <c r="D381" s="18" t="str">
        <f>IFERROR(VLOOKUP(C381,[3]Sheet2!$C$1:$F$1223,3,0),"")</f>
        <v/>
      </c>
      <c r="E381" s="18" t="str">
        <f>IFERROR(VLOOKUP(C381,[3]Sheet2!$C$1:$F$1223,4,0),"")</f>
        <v/>
      </c>
    </row>
    <row r="382" spans="2:5">
      <c r="B382" s="17" t="str">
        <f>IFERROR(VLOOKUP(C382,[3]Sheet2!$C$3:$F$1223,2,0),"")</f>
        <v/>
      </c>
      <c r="D382" s="18" t="str">
        <f>IFERROR(VLOOKUP(C382,[3]Sheet2!$C$1:$F$1223,3,0),"")</f>
        <v/>
      </c>
      <c r="E382" s="18" t="str">
        <f>IFERROR(VLOOKUP(C382,[3]Sheet2!$C$1:$F$1223,4,0),"")</f>
        <v/>
      </c>
    </row>
    <row r="383" spans="2:5">
      <c r="B383" s="17" t="str">
        <f>IFERROR(VLOOKUP(C383,[3]Sheet2!$C$3:$F$1223,2,0),"")</f>
        <v/>
      </c>
      <c r="D383" s="18" t="str">
        <f>IFERROR(VLOOKUP(C383,[3]Sheet2!$C$1:$F$1223,3,0),"")</f>
        <v/>
      </c>
      <c r="E383" s="18" t="str">
        <f>IFERROR(VLOOKUP(C383,[3]Sheet2!$C$1:$F$1223,4,0),"")</f>
        <v/>
      </c>
    </row>
    <row r="384" spans="2:5">
      <c r="B384" s="17" t="str">
        <f>IFERROR(VLOOKUP(C384,[3]Sheet2!$C$3:$F$1223,2,0),"")</f>
        <v/>
      </c>
      <c r="D384" s="18" t="str">
        <f>IFERROR(VLOOKUP(C384,[3]Sheet2!$C$1:$F$1223,3,0),"")</f>
        <v/>
      </c>
      <c r="E384" s="18" t="str">
        <f>IFERROR(VLOOKUP(C384,[3]Sheet2!$C$1:$F$1223,4,0),"")</f>
        <v/>
      </c>
    </row>
    <row r="385" spans="2:5">
      <c r="B385" s="17" t="str">
        <f>IFERROR(VLOOKUP(C385,[3]Sheet2!$C$3:$F$1223,2,0),"")</f>
        <v/>
      </c>
      <c r="D385" s="18" t="str">
        <f>IFERROR(VLOOKUP(C385,[3]Sheet2!$C$1:$F$1223,3,0),"")</f>
        <v/>
      </c>
      <c r="E385" s="18" t="str">
        <f>IFERROR(VLOOKUP(C385,[3]Sheet2!$C$1:$F$1223,4,0),"")</f>
        <v/>
      </c>
    </row>
    <row r="386" spans="2:5">
      <c r="B386" s="17" t="str">
        <f>IFERROR(VLOOKUP(C386,[3]Sheet2!$C$3:$F$1223,2,0),"")</f>
        <v/>
      </c>
      <c r="D386" s="18" t="str">
        <f>IFERROR(VLOOKUP(C386,[3]Sheet2!$C$1:$F$1223,3,0),"")</f>
        <v/>
      </c>
      <c r="E386" s="18" t="str">
        <f>IFERROR(VLOOKUP(C386,[3]Sheet2!$C$1:$F$1223,4,0),"")</f>
        <v/>
      </c>
    </row>
    <row r="387" spans="2:5">
      <c r="B387" s="17" t="str">
        <f>IFERROR(VLOOKUP(C387,[3]Sheet2!$C$3:$F$1223,2,0),"")</f>
        <v/>
      </c>
      <c r="D387" s="18" t="str">
        <f>IFERROR(VLOOKUP(C387,[3]Sheet2!$C$1:$F$1223,3,0),"")</f>
        <v/>
      </c>
      <c r="E387" s="18" t="str">
        <f>IFERROR(VLOOKUP(C387,[3]Sheet2!$C$1:$F$1223,4,0),"")</f>
        <v/>
      </c>
    </row>
    <row r="388" spans="2:5">
      <c r="B388" s="17" t="str">
        <f>IFERROR(VLOOKUP(C388,[3]Sheet2!$C$3:$F$1223,2,0),"")</f>
        <v/>
      </c>
      <c r="D388" s="18" t="str">
        <f>IFERROR(VLOOKUP(C388,[3]Sheet2!$C$1:$F$1223,3,0),"")</f>
        <v/>
      </c>
      <c r="E388" s="18" t="str">
        <f>IFERROR(VLOOKUP(C388,[3]Sheet2!$C$1:$F$1223,4,0),"")</f>
        <v/>
      </c>
    </row>
    <row r="389" spans="2:5">
      <c r="B389" s="17" t="str">
        <f>IFERROR(VLOOKUP(C389,[3]Sheet2!$C$3:$F$1223,2,0),"")</f>
        <v/>
      </c>
      <c r="D389" s="18" t="str">
        <f>IFERROR(VLOOKUP(C389,[3]Sheet2!$C$1:$F$1223,3,0),"")</f>
        <v/>
      </c>
      <c r="E389" s="18" t="str">
        <f>IFERROR(VLOOKUP(C389,[3]Sheet2!$C$1:$F$1223,4,0),"")</f>
        <v/>
      </c>
    </row>
    <row r="390" spans="2:5">
      <c r="B390" s="17" t="str">
        <f>IFERROR(VLOOKUP(C390,[3]Sheet2!$C$3:$F$1223,2,0),"")</f>
        <v/>
      </c>
      <c r="D390" s="18" t="str">
        <f>IFERROR(VLOOKUP(C390,[3]Sheet2!$C$1:$F$1223,3,0),"")</f>
        <v/>
      </c>
      <c r="E390" s="18" t="str">
        <f>IFERROR(VLOOKUP(C390,[3]Sheet2!$C$1:$F$1223,4,0),"")</f>
        <v/>
      </c>
    </row>
    <row r="391" spans="2:5">
      <c r="B391" s="17" t="str">
        <f>IFERROR(VLOOKUP(C391,[3]Sheet2!$C$3:$F$1223,2,0),"")</f>
        <v/>
      </c>
      <c r="D391" s="18" t="str">
        <f>IFERROR(VLOOKUP(C391,[3]Sheet2!$C$1:$F$1223,3,0),"")</f>
        <v/>
      </c>
      <c r="E391" s="18" t="str">
        <f>IFERROR(VLOOKUP(C391,[3]Sheet2!$C$1:$F$1223,4,0),"")</f>
        <v/>
      </c>
    </row>
    <row r="392" spans="2:5">
      <c r="B392" s="17" t="str">
        <f>IFERROR(VLOOKUP(C392,[3]Sheet2!$C$3:$F$1223,2,0),"")</f>
        <v/>
      </c>
      <c r="D392" s="18" t="str">
        <f>IFERROR(VLOOKUP(C392,[3]Sheet2!$C$1:$F$1223,3,0),"")</f>
        <v/>
      </c>
      <c r="E392" s="18" t="str">
        <f>IFERROR(VLOOKUP(C392,[3]Sheet2!$C$1:$F$1223,4,0),"")</f>
        <v/>
      </c>
    </row>
    <row r="393" spans="2:5">
      <c r="B393" s="17" t="str">
        <f>IFERROR(VLOOKUP(C393,[3]Sheet2!$C$3:$F$1223,2,0),"")</f>
        <v/>
      </c>
      <c r="D393" s="18" t="str">
        <f>IFERROR(VLOOKUP(C393,[3]Sheet2!$C$1:$F$1223,3,0),"")</f>
        <v/>
      </c>
      <c r="E393" s="18" t="str">
        <f>IFERROR(VLOOKUP(C393,[3]Sheet2!$C$1:$F$1223,4,0),"")</f>
        <v/>
      </c>
    </row>
    <row r="394" spans="2:5">
      <c r="B394" s="17" t="str">
        <f>IFERROR(VLOOKUP(C394,[3]Sheet2!$C$3:$F$1223,2,0),"")</f>
        <v/>
      </c>
      <c r="D394" s="18" t="str">
        <f>IFERROR(VLOOKUP(C394,[3]Sheet2!$C$1:$F$1223,3,0),"")</f>
        <v/>
      </c>
      <c r="E394" s="18" t="str">
        <f>IFERROR(VLOOKUP(C394,[3]Sheet2!$C$1:$F$1223,4,0),"")</f>
        <v/>
      </c>
    </row>
    <row r="395" spans="2:5">
      <c r="B395" s="17" t="str">
        <f>IFERROR(VLOOKUP(C395,[3]Sheet2!$C$3:$F$1223,2,0),"")</f>
        <v/>
      </c>
      <c r="D395" s="18" t="str">
        <f>IFERROR(VLOOKUP(C395,[3]Sheet2!$C$1:$F$1223,3,0),"")</f>
        <v/>
      </c>
      <c r="E395" s="18" t="str">
        <f>IFERROR(VLOOKUP(C395,[3]Sheet2!$C$1:$F$1223,4,0),"")</f>
        <v/>
      </c>
    </row>
    <row r="396" spans="2:5">
      <c r="B396" s="17" t="str">
        <f>IFERROR(VLOOKUP(C396,[3]Sheet2!$C$3:$F$1223,2,0),"")</f>
        <v/>
      </c>
      <c r="D396" s="18" t="str">
        <f>IFERROR(VLOOKUP(C396,[3]Sheet2!$C$1:$F$1223,3,0),"")</f>
        <v/>
      </c>
      <c r="E396" s="18" t="str">
        <f>IFERROR(VLOOKUP(C396,[3]Sheet2!$C$1:$F$1223,4,0),"")</f>
        <v/>
      </c>
    </row>
    <row r="397" spans="2:5">
      <c r="B397" s="17" t="str">
        <f>IFERROR(VLOOKUP(C397,[3]Sheet2!$C$3:$F$1223,2,0),"")</f>
        <v/>
      </c>
      <c r="D397" s="18" t="str">
        <f>IFERROR(VLOOKUP(C397,[3]Sheet2!$C$1:$F$1223,3,0),"")</f>
        <v/>
      </c>
      <c r="E397" s="18" t="str">
        <f>IFERROR(VLOOKUP(C397,[3]Sheet2!$C$1:$F$1223,4,0),"")</f>
        <v/>
      </c>
    </row>
    <row r="398" spans="2:5">
      <c r="B398" s="17" t="str">
        <f>IFERROR(VLOOKUP(C398,[3]Sheet2!$C$3:$F$1223,2,0),"")</f>
        <v/>
      </c>
      <c r="D398" s="18" t="str">
        <f>IFERROR(VLOOKUP(C398,[3]Sheet2!$C$1:$F$1223,3,0),"")</f>
        <v/>
      </c>
      <c r="E398" s="18" t="str">
        <f>IFERROR(VLOOKUP(C398,[3]Sheet2!$C$1:$F$1223,4,0),"")</f>
        <v/>
      </c>
    </row>
    <row r="399" spans="2:5">
      <c r="B399" s="17" t="str">
        <f>IFERROR(VLOOKUP(C399,[3]Sheet2!$C$3:$F$1223,2,0),"")</f>
        <v/>
      </c>
      <c r="D399" s="18" t="str">
        <f>IFERROR(VLOOKUP(C399,[3]Sheet2!$C$1:$F$1223,3,0),"")</f>
        <v/>
      </c>
      <c r="E399" s="18" t="str">
        <f>IFERROR(VLOOKUP(C399,[3]Sheet2!$C$1:$F$1223,4,0),"")</f>
        <v/>
      </c>
    </row>
    <row r="400" spans="2:5">
      <c r="B400" s="17" t="str">
        <f>IFERROR(VLOOKUP(C400,[3]Sheet2!$C$3:$F$1223,2,0),"")</f>
        <v/>
      </c>
      <c r="D400" s="18" t="str">
        <f>IFERROR(VLOOKUP(C400,[3]Sheet2!$C$1:$F$1223,3,0),"")</f>
        <v/>
      </c>
      <c r="E400" s="18" t="str">
        <f>IFERROR(VLOOKUP(C400,[3]Sheet2!$C$1:$F$1223,4,0),"")</f>
        <v/>
      </c>
    </row>
    <row r="401" spans="2:5">
      <c r="B401" s="17" t="str">
        <f>IFERROR(VLOOKUP(C401,[3]Sheet2!$C$3:$F$1223,2,0),"")</f>
        <v/>
      </c>
      <c r="D401" s="18" t="str">
        <f>IFERROR(VLOOKUP(C401,[3]Sheet2!$C$1:$F$1223,3,0),"")</f>
        <v/>
      </c>
      <c r="E401" s="18" t="str">
        <f>IFERROR(VLOOKUP(C401,[3]Sheet2!$C$1:$F$1223,4,0),"")</f>
        <v/>
      </c>
    </row>
    <row r="402" spans="2:5">
      <c r="B402" s="17" t="str">
        <f>IFERROR(VLOOKUP(C402,[3]Sheet2!$C$3:$F$1223,2,0),"")</f>
        <v/>
      </c>
      <c r="D402" s="18" t="str">
        <f>IFERROR(VLOOKUP(C402,[3]Sheet2!$C$1:$F$1223,3,0),"")</f>
        <v/>
      </c>
      <c r="E402" s="18" t="str">
        <f>IFERROR(VLOOKUP(C402,[3]Sheet2!$C$1:$F$1223,4,0),"")</f>
        <v/>
      </c>
    </row>
    <row r="403" spans="2:5">
      <c r="B403" s="17" t="str">
        <f>IFERROR(VLOOKUP(C403,[3]Sheet2!$C$3:$F$1223,2,0),"")</f>
        <v/>
      </c>
      <c r="D403" s="18" t="str">
        <f>IFERROR(VLOOKUP(C403,[3]Sheet2!$C$1:$F$1223,3,0),"")</f>
        <v/>
      </c>
      <c r="E403" s="18" t="str">
        <f>IFERROR(VLOOKUP(C403,[3]Sheet2!$C$1:$F$1223,4,0),"")</f>
        <v/>
      </c>
    </row>
    <row r="404" spans="2:5">
      <c r="B404" s="17" t="str">
        <f>IFERROR(VLOOKUP(C404,[3]Sheet2!$C$3:$F$1223,2,0),"")</f>
        <v/>
      </c>
      <c r="D404" s="18" t="str">
        <f>IFERROR(VLOOKUP(C404,[3]Sheet2!$C$1:$F$1223,3,0),"")</f>
        <v/>
      </c>
      <c r="E404" s="18" t="str">
        <f>IFERROR(VLOOKUP(C404,[3]Sheet2!$C$1:$F$1223,4,0),"")</f>
        <v/>
      </c>
    </row>
    <row r="405" spans="2:5">
      <c r="B405" s="17" t="str">
        <f>IFERROR(VLOOKUP(C405,[3]Sheet2!$C$3:$F$1223,2,0),"")</f>
        <v/>
      </c>
      <c r="D405" s="18" t="str">
        <f>IFERROR(VLOOKUP(C405,[3]Sheet2!$C$1:$F$1223,3,0),"")</f>
        <v/>
      </c>
      <c r="E405" s="18" t="str">
        <f>IFERROR(VLOOKUP(C405,[3]Sheet2!$C$1:$F$1223,4,0),"")</f>
        <v/>
      </c>
    </row>
    <row r="406" spans="2:5">
      <c r="B406" s="17" t="str">
        <f>IFERROR(VLOOKUP(C406,[3]Sheet2!$C$3:$F$1223,2,0),"")</f>
        <v/>
      </c>
      <c r="D406" s="18" t="str">
        <f>IFERROR(VLOOKUP(C406,[3]Sheet2!$C$1:$F$1223,3,0),"")</f>
        <v/>
      </c>
      <c r="E406" s="18" t="str">
        <f>IFERROR(VLOOKUP(C406,[3]Sheet2!$C$1:$F$1223,4,0),"")</f>
        <v/>
      </c>
    </row>
    <row r="407" spans="2:5">
      <c r="B407" s="17" t="str">
        <f>IFERROR(VLOOKUP(C407,[3]Sheet2!$C$3:$F$1223,2,0),"")</f>
        <v/>
      </c>
      <c r="D407" s="18" t="str">
        <f>IFERROR(VLOOKUP(C407,[3]Sheet2!$C$1:$F$1223,3,0),"")</f>
        <v/>
      </c>
      <c r="E407" s="18" t="str">
        <f>IFERROR(VLOOKUP(C407,[3]Sheet2!$C$1:$F$1223,4,0),"")</f>
        <v/>
      </c>
    </row>
    <row r="408" spans="2:5">
      <c r="B408" s="17" t="str">
        <f>IFERROR(VLOOKUP(C408,[3]Sheet2!$C$3:$F$1223,2,0),"")</f>
        <v/>
      </c>
      <c r="D408" s="18" t="str">
        <f>IFERROR(VLOOKUP(C408,[3]Sheet2!$C$1:$F$1223,3,0),"")</f>
        <v/>
      </c>
      <c r="E408" s="18" t="str">
        <f>IFERROR(VLOOKUP(C408,[3]Sheet2!$C$1:$F$1223,4,0),"")</f>
        <v/>
      </c>
    </row>
    <row r="409" spans="2:5">
      <c r="B409" s="17" t="str">
        <f>IFERROR(VLOOKUP(C409,[3]Sheet2!$C$3:$F$1223,2,0),"")</f>
        <v/>
      </c>
      <c r="D409" s="18" t="str">
        <f>IFERROR(VLOOKUP(C409,[3]Sheet2!$C$1:$F$1223,3,0),"")</f>
        <v/>
      </c>
      <c r="E409" s="18" t="str">
        <f>IFERROR(VLOOKUP(C409,[3]Sheet2!$C$1:$F$1223,4,0),"")</f>
        <v/>
      </c>
    </row>
    <row r="410" spans="2:5">
      <c r="B410" s="17" t="str">
        <f>IFERROR(VLOOKUP(C410,[3]Sheet2!$C$3:$F$1223,2,0),"")</f>
        <v/>
      </c>
      <c r="D410" s="18" t="str">
        <f>IFERROR(VLOOKUP(C410,[3]Sheet2!$C$1:$F$1223,3,0),"")</f>
        <v/>
      </c>
      <c r="E410" s="18" t="str">
        <f>IFERROR(VLOOKUP(C410,[3]Sheet2!$C$1:$F$1223,4,0),"")</f>
        <v/>
      </c>
    </row>
    <row r="411" spans="2:5">
      <c r="B411" s="17" t="str">
        <f>IFERROR(VLOOKUP(C411,[3]Sheet2!$C$3:$F$1223,2,0),"")</f>
        <v/>
      </c>
      <c r="D411" s="18" t="str">
        <f>IFERROR(VLOOKUP(C411,[3]Sheet2!$C$1:$F$1223,3,0),"")</f>
        <v/>
      </c>
      <c r="E411" s="18" t="str">
        <f>IFERROR(VLOOKUP(C411,[3]Sheet2!$C$1:$F$1223,4,0),"")</f>
        <v/>
      </c>
    </row>
    <row r="412" spans="2:5">
      <c r="B412" s="17" t="str">
        <f>IFERROR(VLOOKUP(C412,[3]Sheet2!$C$3:$F$1223,2,0),"")</f>
        <v/>
      </c>
      <c r="D412" s="18" t="str">
        <f>IFERROR(VLOOKUP(C412,[3]Sheet2!$C$1:$F$1223,3,0),"")</f>
        <v/>
      </c>
      <c r="E412" s="18" t="str">
        <f>IFERROR(VLOOKUP(C412,[3]Sheet2!$C$1:$F$1223,4,0),"")</f>
        <v/>
      </c>
    </row>
    <row r="413" spans="2:5">
      <c r="B413" s="17" t="str">
        <f>IFERROR(VLOOKUP(C413,[3]Sheet2!$C$3:$F$1223,2,0),"")</f>
        <v/>
      </c>
      <c r="D413" s="18" t="str">
        <f>IFERROR(VLOOKUP(C413,[3]Sheet2!$C$1:$F$1223,3,0),"")</f>
        <v/>
      </c>
      <c r="E413" s="18" t="str">
        <f>IFERROR(VLOOKUP(C413,[3]Sheet2!$C$1:$F$1223,4,0),"")</f>
        <v/>
      </c>
    </row>
    <row r="414" spans="2:5">
      <c r="B414" s="17" t="str">
        <f>IFERROR(VLOOKUP(C414,[3]Sheet2!$C$3:$F$1223,2,0),"")</f>
        <v/>
      </c>
      <c r="D414" s="18" t="str">
        <f>IFERROR(VLOOKUP(C414,[3]Sheet2!$C$1:$F$1223,3,0),"")</f>
        <v/>
      </c>
      <c r="E414" s="18" t="str">
        <f>IFERROR(VLOOKUP(C414,[3]Sheet2!$C$1:$F$1223,4,0),"")</f>
        <v/>
      </c>
    </row>
    <row r="415" spans="2:5">
      <c r="B415" s="17" t="str">
        <f>IFERROR(VLOOKUP(C415,[3]Sheet2!$C$3:$F$1223,2,0),"")</f>
        <v/>
      </c>
      <c r="D415" s="18" t="str">
        <f>IFERROR(VLOOKUP(C415,[3]Sheet2!$C$1:$F$1223,3,0),"")</f>
        <v/>
      </c>
      <c r="E415" s="18" t="str">
        <f>IFERROR(VLOOKUP(C415,[3]Sheet2!$C$1:$F$1223,4,0),"")</f>
        <v/>
      </c>
    </row>
    <row r="416" spans="2:5">
      <c r="B416" s="17" t="str">
        <f>IFERROR(VLOOKUP(C416,[3]Sheet2!$C$3:$F$1223,2,0),"")</f>
        <v/>
      </c>
      <c r="D416" s="18" t="str">
        <f>IFERROR(VLOOKUP(C416,[3]Sheet2!$C$1:$F$1223,3,0),"")</f>
        <v/>
      </c>
      <c r="E416" s="18" t="str">
        <f>IFERROR(VLOOKUP(C416,[3]Sheet2!$C$1:$F$1223,4,0),"")</f>
        <v/>
      </c>
    </row>
    <row r="417" spans="2:5">
      <c r="B417" s="17" t="str">
        <f>IFERROR(VLOOKUP(C417,[3]Sheet2!$C$3:$F$1223,2,0),"")</f>
        <v/>
      </c>
      <c r="D417" s="18" t="str">
        <f>IFERROR(VLOOKUP(C417,[3]Sheet2!$C$1:$F$1223,3,0),"")</f>
        <v/>
      </c>
      <c r="E417" s="18" t="str">
        <f>IFERROR(VLOOKUP(C417,[3]Sheet2!$C$1:$F$1223,4,0),"")</f>
        <v/>
      </c>
    </row>
    <row r="418" spans="2:5">
      <c r="B418" s="17" t="str">
        <f>IFERROR(VLOOKUP(C418,[3]Sheet2!$C$3:$F$1223,2,0),"")</f>
        <v/>
      </c>
      <c r="D418" s="18" t="str">
        <f>IFERROR(VLOOKUP(C418,[3]Sheet2!$C$1:$F$1223,3,0),"")</f>
        <v/>
      </c>
      <c r="E418" s="18" t="str">
        <f>IFERROR(VLOOKUP(C418,[3]Sheet2!$C$1:$F$1223,4,0),"")</f>
        <v/>
      </c>
    </row>
    <row r="419" spans="2:5">
      <c r="B419" s="17" t="str">
        <f>IFERROR(VLOOKUP(C419,[3]Sheet2!$C$3:$F$1223,2,0),"")</f>
        <v/>
      </c>
      <c r="D419" s="18" t="str">
        <f>IFERROR(VLOOKUP(C419,[3]Sheet2!$C$1:$F$1223,3,0),"")</f>
        <v/>
      </c>
      <c r="E419" s="18" t="str">
        <f>IFERROR(VLOOKUP(C419,[3]Sheet2!$C$1:$F$1223,4,0),"")</f>
        <v/>
      </c>
    </row>
    <row r="420" spans="2:5">
      <c r="B420" s="17" t="str">
        <f>IFERROR(VLOOKUP(C420,[3]Sheet2!$C$3:$F$1223,2,0),"")</f>
        <v/>
      </c>
      <c r="D420" s="18" t="str">
        <f>IFERROR(VLOOKUP(C420,[3]Sheet2!$C$1:$F$1223,3,0),"")</f>
        <v/>
      </c>
      <c r="E420" s="18" t="str">
        <f>IFERROR(VLOOKUP(C420,[3]Sheet2!$C$1:$F$1223,4,0),"")</f>
        <v/>
      </c>
    </row>
    <row r="421" spans="2:5">
      <c r="B421" s="17" t="str">
        <f>IFERROR(VLOOKUP(C421,[3]Sheet2!$C$3:$F$1223,2,0),"")</f>
        <v/>
      </c>
      <c r="D421" s="18" t="str">
        <f>IFERROR(VLOOKUP(C421,[3]Sheet2!$C$1:$F$1223,3,0),"")</f>
        <v/>
      </c>
      <c r="E421" s="18" t="str">
        <f>IFERROR(VLOOKUP(C421,[3]Sheet2!$C$1:$F$1223,4,0),"")</f>
        <v/>
      </c>
    </row>
    <row r="422" spans="2:5">
      <c r="B422" s="17" t="str">
        <f>IFERROR(VLOOKUP(C422,[3]Sheet2!$C$3:$F$1223,2,0),"")</f>
        <v/>
      </c>
      <c r="D422" s="18" t="str">
        <f>IFERROR(VLOOKUP(C422,[3]Sheet2!$C$1:$F$1223,3,0),"")</f>
        <v/>
      </c>
      <c r="E422" s="18" t="str">
        <f>IFERROR(VLOOKUP(C422,[3]Sheet2!$C$1:$F$1223,4,0),"")</f>
        <v/>
      </c>
    </row>
    <row r="423" spans="2:5">
      <c r="B423" s="17" t="str">
        <f>IFERROR(VLOOKUP(C423,[3]Sheet2!$C$3:$F$1223,2,0),"")</f>
        <v/>
      </c>
      <c r="D423" s="18" t="str">
        <f>IFERROR(VLOOKUP(C423,[3]Sheet2!$C$1:$F$1223,3,0),"")</f>
        <v/>
      </c>
      <c r="E423" s="18" t="str">
        <f>IFERROR(VLOOKUP(C423,[3]Sheet2!$C$1:$F$1223,4,0),"")</f>
        <v/>
      </c>
    </row>
    <row r="424" spans="2:5">
      <c r="B424" s="17" t="str">
        <f>IFERROR(VLOOKUP(C424,[3]Sheet2!$C$3:$F$1223,2,0),"")</f>
        <v/>
      </c>
      <c r="D424" s="18" t="str">
        <f>IFERROR(VLOOKUP(C424,[3]Sheet2!$C$1:$F$1223,3,0),"")</f>
        <v/>
      </c>
      <c r="E424" s="18" t="str">
        <f>IFERROR(VLOOKUP(C424,[3]Sheet2!$C$1:$F$1223,4,0),"")</f>
        <v/>
      </c>
    </row>
    <row r="425" spans="2:5">
      <c r="B425" s="17" t="str">
        <f>IFERROR(VLOOKUP(C425,[3]Sheet2!$C$3:$F$1223,2,0),"")</f>
        <v/>
      </c>
      <c r="D425" s="18" t="str">
        <f>IFERROR(VLOOKUP(C425,[3]Sheet2!$C$1:$F$1223,3,0),"")</f>
        <v/>
      </c>
      <c r="E425" s="18" t="str">
        <f>IFERROR(VLOOKUP(C425,[3]Sheet2!$C$1:$F$1223,4,0),"")</f>
        <v/>
      </c>
    </row>
    <row r="426" spans="2:5">
      <c r="B426" s="17" t="str">
        <f>IFERROR(VLOOKUP(C426,[3]Sheet2!$C$3:$F$1223,2,0),"")</f>
        <v/>
      </c>
      <c r="D426" s="18" t="str">
        <f>IFERROR(VLOOKUP(C426,[3]Sheet2!$C$1:$F$1223,3,0),"")</f>
        <v/>
      </c>
      <c r="E426" s="18" t="str">
        <f>IFERROR(VLOOKUP(C426,[3]Sheet2!$C$1:$F$1223,4,0),"")</f>
        <v/>
      </c>
    </row>
    <row r="427" spans="2:5">
      <c r="B427" s="17" t="str">
        <f>IFERROR(VLOOKUP(C427,[3]Sheet2!$C$3:$F$1223,2,0),"")</f>
        <v/>
      </c>
      <c r="D427" s="18" t="str">
        <f>IFERROR(VLOOKUP(C427,[3]Sheet2!$C$1:$F$1223,3,0),"")</f>
        <v/>
      </c>
      <c r="E427" s="18" t="str">
        <f>IFERROR(VLOOKUP(C427,[3]Sheet2!$C$1:$F$1223,4,0),"")</f>
        <v/>
      </c>
    </row>
    <row r="428" spans="2:5">
      <c r="B428" s="17" t="str">
        <f>IFERROR(VLOOKUP(C428,[3]Sheet2!$C$3:$F$1223,2,0),"")</f>
        <v/>
      </c>
      <c r="D428" s="18" t="str">
        <f>IFERROR(VLOOKUP(C428,[3]Sheet2!$C$1:$F$1223,3,0),"")</f>
        <v/>
      </c>
      <c r="E428" s="18" t="str">
        <f>IFERROR(VLOOKUP(C428,[3]Sheet2!$C$1:$F$1223,4,0),"")</f>
        <v/>
      </c>
    </row>
    <row r="429" spans="2:5">
      <c r="B429" s="17" t="str">
        <f>IFERROR(VLOOKUP(C429,[3]Sheet2!$C$3:$F$1223,2,0),"")</f>
        <v/>
      </c>
      <c r="D429" s="18" t="str">
        <f>IFERROR(VLOOKUP(C429,[3]Sheet2!$C$1:$F$1223,3,0),"")</f>
        <v/>
      </c>
      <c r="E429" s="18" t="str">
        <f>IFERROR(VLOOKUP(C429,[3]Sheet2!$C$1:$F$1223,4,0),"")</f>
        <v/>
      </c>
    </row>
    <row r="430" spans="2:5">
      <c r="B430" s="17" t="str">
        <f>IFERROR(VLOOKUP(C430,[3]Sheet2!$C$3:$F$1223,2,0),"")</f>
        <v/>
      </c>
      <c r="D430" s="18" t="str">
        <f>IFERROR(VLOOKUP(C430,[3]Sheet2!$C$1:$F$1223,3,0),"")</f>
        <v/>
      </c>
      <c r="E430" s="18" t="str">
        <f>IFERROR(VLOOKUP(C430,[3]Sheet2!$C$1:$F$1223,4,0),"")</f>
        <v/>
      </c>
    </row>
    <row r="431" spans="2:5">
      <c r="B431" s="17" t="str">
        <f>IFERROR(VLOOKUP(C431,[3]Sheet2!$C$3:$F$1223,2,0),"")</f>
        <v/>
      </c>
      <c r="D431" s="18" t="str">
        <f>IFERROR(VLOOKUP(C431,[3]Sheet2!$C$1:$F$1223,3,0),"")</f>
        <v/>
      </c>
      <c r="E431" s="18" t="str">
        <f>IFERROR(VLOOKUP(C431,[3]Sheet2!$C$1:$F$1223,4,0),"")</f>
        <v/>
      </c>
    </row>
    <row r="432" spans="2:5">
      <c r="B432" s="17" t="str">
        <f>IFERROR(VLOOKUP(C432,[3]Sheet2!$C$3:$F$1223,2,0),"")</f>
        <v/>
      </c>
      <c r="D432" s="18" t="str">
        <f>IFERROR(VLOOKUP(C432,[3]Sheet2!$C$1:$F$1223,3,0),"")</f>
        <v/>
      </c>
      <c r="E432" s="18" t="str">
        <f>IFERROR(VLOOKUP(C432,[3]Sheet2!$C$1:$F$1223,4,0),"")</f>
        <v/>
      </c>
    </row>
    <row r="433" spans="2:5">
      <c r="B433" s="17" t="str">
        <f>IFERROR(VLOOKUP(C433,[3]Sheet2!$C$3:$F$1223,2,0),"")</f>
        <v/>
      </c>
      <c r="D433" s="18" t="str">
        <f>IFERROR(VLOOKUP(C433,[3]Sheet2!$C$1:$F$1223,3,0),"")</f>
        <v/>
      </c>
      <c r="E433" s="18" t="str">
        <f>IFERROR(VLOOKUP(C433,[3]Sheet2!$C$1:$F$1223,4,0),"")</f>
        <v/>
      </c>
    </row>
    <row r="434" spans="2:5">
      <c r="B434" s="17" t="str">
        <f>IFERROR(VLOOKUP(C434,[3]Sheet2!$C$3:$F$1223,2,0),"")</f>
        <v/>
      </c>
      <c r="D434" s="18" t="str">
        <f>IFERROR(VLOOKUP(C434,[3]Sheet2!$C$1:$F$1223,3,0),"")</f>
        <v/>
      </c>
      <c r="E434" s="18" t="str">
        <f>IFERROR(VLOOKUP(C434,[3]Sheet2!$C$1:$F$1223,4,0),"")</f>
        <v/>
      </c>
    </row>
    <row r="435" spans="2:5">
      <c r="B435" s="17" t="str">
        <f>IFERROR(VLOOKUP(C435,[3]Sheet2!$C$3:$F$1223,2,0),"")</f>
        <v/>
      </c>
      <c r="D435" s="18" t="str">
        <f>IFERROR(VLOOKUP(C435,[3]Sheet2!$C$1:$F$1223,3,0),"")</f>
        <v/>
      </c>
      <c r="E435" s="18" t="str">
        <f>IFERROR(VLOOKUP(C435,[3]Sheet2!$C$1:$F$1223,4,0),"")</f>
        <v/>
      </c>
    </row>
    <row r="436" spans="2:5">
      <c r="B436" s="17" t="str">
        <f>IFERROR(VLOOKUP(C436,[3]Sheet2!$C$3:$F$1223,2,0),"")</f>
        <v/>
      </c>
      <c r="D436" s="18" t="str">
        <f>IFERROR(VLOOKUP(C436,[3]Sheet2!$C$1:$F$1223,3,0),"")</f>
        <v/>
      </c>
      <c r="E436" s="18" t="str">
        <f>IFERROR(VLOOKUP(C436,[3]Sheet2!$C$1:$F$1223,4,0),"")</f>
        <v/>
      </c>
    </row>
    <row r="437" spans="2:5">
      <c r="B437" s="17" t="str">
        <f>IFERROR(VLOOKUP(C437,[3]Sheet2!$C$3:$F$1223,2,0),"")</f>
        <v/>
      </c>
      <c r="D437" s="18" t="str">
        <f>IFERROR(VLOOKUP(C437,[3]Sheet2!$C$1:$F$1223,3,0),"")</f>
        <v/>
      </c>
      <c r="E437" s="18" t="str">
        <f>IFERROR(VLOOKUP(C437,[3]Sheet2!$C$1:$F$1223,4,0),"")</f>
        <v/>
      </c>
    </row>
    <row r="438" spans="2:5">
      <c r="B438" s="17" t="str">
        <f>IFERROR(VLOOKUP(C438,[3]Sheet2!$C$3:$F$1223,2,0),"")</f>
        <v/>
      </c>
      <c r="D438" s="18" t="str">
        <f>IFERROR(VLOOKUP(C438,[3]Sheet2!$C$1:$F$1223,3,0),"")</f>
        <v/>
      </c>
      <c r="E438" s="18" t="str">
        <f>IFERROR(VLOOKUP(C438,[3]Sheet2!$C$1:$F$1223,4,0),"")</f>
        <v/>
      </c>
    </row>
    <row r="439" spans="2:5">
      <c r="B439" s="17" t="str">
        <f>IFERROR(VLOOKUP(C439,[3]Sheet2!$C$3:$F$1223,2,0),"")</f>
        <v/>
      </c>
      <c r="D439" s="18" t="str">
        <f>IFERROR(VLOOKUP(C439,[3]Sheet2!$C$1:$F$1223,3,0),"")</f>
        <v/>
      </c>
      <c r="E439" s="18" t="str">
        <f>IFERROR(VLOOKUP(C439,[3]Sheet2!$C$1:$F$1223,4,0),"")</f>
        <v/>
      </c>
    </row>
    <row r="440" spans="2:5">
      <c r="B440" s="17" t="str">
        <f>IFERROR(VLOOKUP(C440,[3]Sheet2!$C$3:$F$1223,2,0),"")</f>
        <v/>
      </c>
      <c r="D440" s="18" t="str">
        <f>IFERROR(VLOOKUP(C440,[3]Sheet2!$C$1:$F$1223,3,0),"")</f>
        <v/>
      </c>
      <c r="E440" s="18" t="str">
        <f>IFERROR(VLOOKUP(C440,[3]Sheet2!$C$1:$F$1223,4,0),"")</f>
        <v/>
      </c>
    </row>
    <row r="441" spans="2:5">
      <c r="B441" s="17" t="str">
        <f>IFERROR(VLOOKUP(C441,[3]Sheet2!$C$3:$F$1223,2,0),"")</f>
        <v/>
      </c>
      <c r="D441" s="18" t="str">
        <f>IFERROR(VLOOKUP(C441,[3]Sheet2!$C$1:$F$1223,3,0),"")</f>
        <v/>
      </c>
      <c r="E441" s="18" t="str">
        <f>IFERROR(VLOOKUP(C441,[3]Sheet2!$C$1:$F$1223,4,0),"")</f>
        <v/>
      </c>
    </row>
    <row r="442" spans="2:5">
      <c r="B442" s="17" t="str">
        <f>IFERROR(VLOOKUP(C442,[3]Sheet2!$C$3:$F$1223,2,0),"")</f>
        <v/>
      </c>
      <c r="D442" s="18" t="str">
        <f>IFERROR(VLOOKUP(C442,[3]Sheet2!$C$1:$F$1223,3,0),"")</f>
        <v/>
      </c>
      <c r="E442" s="18" t="str">
        <f>IFERROR(VLOOKUP(C442,[3]Sheet2!$C$1:$F$1223,4,0),"")</f>
        <v/>
      </c>
    </row>
    <row r="443" spans="2:5">
      <c r="B443" s="17" t="str">
        <f>IFERROR(VLOOKUP(C443,[3]Sheet2!$C$3:$F$1223,2,0),"")</f>
        <v/>
      </c>
      <c r="D443" s="18" t="str">
        <f>IFERROR(VLOOKUP(C443,[3]Sheet2!$C$1:$F$1223,3,0),"")</f>
        <v/>
      </c>
      <c r="E443" s="18" t="str">
        <f>IFERROR(VLOOKUP(C443,[3]Sheet2!$C$1:$F$1223,4,0),"")</f>
        <v/>
      </c>
    </row>
    <row r="444" spans="2:5">
      <c r="B444" s="17" t="str">
        <f>IFERROR(VLOOKUP(C444,[3]Sheet2!$C$3:$F$1223,2,0),"")</f>
        <v/>
      </c>
      <c r="D444" s="18" t="str">
        <f>IFERROR(VLOOKUP(C444,[3]Sheet2!$C$1:$F$1223,3,0),"")</f>
        <v/>
      </c>
      <c r="E444" s="18" t="str">
        <f>IFERROR(VLOOKUP(C444,[3]Sheet2!$C$1:$F$1223,4,0),"")</f>
        <v/>
      </c>
    </row>
    <row r="445" spans="2:5">
      <c r="B445" s="17" t="str">
        <f>IFERROR(VLOOKUP(C445,[3]Sheet2!$C$3:$F$1223,2,0),"")</f>
        <v/>
      </c>
      <c r="D445" s="18" t="str">
        <f>IFERROR(VLOOKUP(C445,[3]Sheet2!$C$1:$F$1223,3,0),"")</f>
        <v/>
      </c>
      <c r="E445" s="18" t="str">
        <f>IFERROR(VLOOKUP(C445,[3]Sheet2!$C$1:$F$1223,4,0),"")</f>
        <v/>
      </c>
    </row>
    <row r="446" spans="2:5">
      <c r="B446" s="17" t="str">
        <f>IFERROR(VLOOKUP(C446,[3]Sheet2!$C$3:$F$1223,2,0),"")</f>
        <v/>
      </c>
      <c r="D446" s="18" t="str">
        <f>IFERROR(VLOOKUP(C446,[3]Sheet2!$C$1:$F$1223,3,0),"")</f>
        <v/>
      </c>
      <c r="E446" s="18" t="str">
        <f>IFERROR(VLOOKUP(C446,[3]Sheet2!$C$1:$F$1223,4,0),"")</f>
        <v/>
      </c>
    </row>
    <row r="447" spans="2:5">
      <c r="B447" s="17" t="str">
        <f>IFERROR(VLOOKUP(C447,[3]Sheet2!$C$3:$F$1223,2,0),"")</f>
        <v/>
      </c>
      <c r="D447" s="18" t="str">
        <f>IFERROR(VLOOKUP(C447,[3]Sheet2!$C$1:$F$1223,3,0),"")</f>
        <v/>
      </c>
      <c r="E447" s="18" t="str">
        <f>IFERROR(VLOOKUP(C447,[3]Sheet2!$C$1:$F$1223,4,0),"")</f>
        <v/>
      </c>
    </row>
    <row r="448" spans="2:5">
      <c r="B448" s="17" t="str">
        <f>IFERROR(VLOOKUP(C448,[3]Sheet2!$C$3:$F$1223,2,0),"")</f>
        <v/>
      </c>
      <c r="D448" s="18" t="str">
        <f>IFERROR(VLOOKUP(C448,[3]Sheet2!$C$1:$F$1223,3,0),"")</f>
        <v/>
      </c>
      <c r="E448" s="18" t="str">
        <f>IFERROR(VLOOKUP(C448,[3]Sheet2!$C$1:$F$1223,4,0),"")</f>
        <v/>
      </c>
    </row>
    <row r="449" spans="2:5">
      <c r="B449" s="17" t="str">
        <f>IFERROR(VLOOKUP(C449,[3]Sheet2!$C$3:$F$1223,2,0),"")</f>
        <v/>
      </c>
      <c r="D449" s="18" t="str">
        <f>IFERROR(VLOOKUP(C449,[3]Sheet2!$C$1:$F$1223,3,0),"")</f>
        <v/>
      </c>
      <c r="E449" s="18" t="str">
        <f>IFERROR(VLOOKUP(C449,[3]Sheet2!$C$1:$F$1223,4,0),"")</f>
        <v/>
      </c>
    </row>
    <row r="450" spans="2:5">
      <c r="B450" s="17" t="str">
        <f>IFERROR(VLOOKUP(C450,[3]Sheet2!$C$3:$F$1223,2,0),"")</f>
        <v/>
      </c>
      <c r="D450" s="18" t="str">
        <f>IFERROR(VLOOKUP(C450,[3]Sheet2!$C$1:$F$1223,3,0),"")</f>
        <v/>
      </c>
      <c r="E450" s="18" t="str">
        <f>IFERROR(VLOOKUP(C450,[3]Sheet2!$C$1:$F$1223,4,0),"")</f>
        <v/>
      </c>
    </row>
    <row r="451" spans="2:5">
      <c r="B451" s="17" t="str">
        <f>IFERROR(VLOOKUP(C451,[3]Sheet2!$C$3:$F$1223,2,0),"")</f>
        <v/>
      </c>
      <c r="D451" s="18" t="str">
        <f>IFERROR(VLOOKUP(C451,[3]Sheet2!$C$1:$F$1223,3,0),"")</f>
        <v/>
      </c>
      <c r="E451" s="18" t="str">
        <f>IFERROR(VLOOKUP(C451,[3]Sheet2!$C$1:$F$1223,4,0),"")</f>
        <v/>
      </c>
    </row>
    <row r="452" spans="2:5">
      <c r="B452" s="17" t="str">
        <f>IFERROR(VLOOKUP(C452,[3]Sheet2!$C$3:$F$1223,2,0),"")</f>
        <v/>
      </c>
      <c r="D452" s="18" t="str">
        <f>IFERROR(VLOOKUP(C452,[3]Sheet2!$C$1:$F$1223,3,0),"")</f>
        <v/>
      </c>
      <c r="E452" s="18" t="str">
        <f>IFERROR(VLOOKUP(C452,[3]Sheet2!$C$1:$F$1223,4,0),"")</f>
        <v/>
      </c>
    </row>
    <row r="453" spans="2:5">
      <c r="B453" s="17" t="str">
        <f>IFERROR(VLOOKUP(C453,[3]Sheet2!$C$3:$F$1223,2,0),"")</f>
        <v/>
      </c>
      <c r="D453" s="18" t="str">
        <f>IFERROR(VLOOKUP(C453,[3]Sheet2!$C$1:$F$1223,3,0),"")</f>
        <v/>
      </c>
      <c r="E453" s="18" t="str">
        <f>IFERROR(VLOOKUP(C453,[3]Sheet2!$C$1:$F$1223,4,0),"")</f>
        <v/>
      </c>
    </row>
    <row r="454" spans="2:5">
      <c r="B454" s="17" t="str">
        <f>IFERROR(VLOOKUP(C454,[3]Sheet2!$C$3:$F$1223,2,0),"")</f>
        <v/>
      </c>
      <c r="D454" s="18" t="str">
        <f>IFERROR(VLOOKUP(C454,[3]Sheet2!$C$1:$F$1223,3,0),"")</f>
        <v/>
      </c>
      <c r="E454" s="18" t="str">
        <f>IFERROR(VLOOKUP(C454,[3]Sheet2!$C$1:$F$1223,4,0),"")</f>
        <v/>
      </c>
    </row>
    <row r="455" spans="2:5">
      <c r="B455" s="17" t="str">
        <f>IFERROR(VLOOKUP(C455,[3]Sheet2!$C$3:$F$1223,2,0),"")</f>
        <v/>
      </c>
      <c r="D455" s="18" t="str">
        <f>IFERROR(VLOOKUP(C455,[3]Sheet2!$C$1:$F$1223,3,0),"")</f>
        <v/>
      </c>
      <c r="E455" s="18" t="str">
        <f>IFERROR(VLOOKUP(C455,[3]Sheet2!$C$1:$F$1223,4,0),"")</f>
        <v/>
      </c>
    </row>
    <row r="456" spans="2:5">
      <c r="B456" s="17" t="str">
        <f>IFERROR(VLOOKUP(C456,[3]Sheet2!$C$3:$F$1223,2,0),"")</f>
        <v/>
      </c>
      <c r="D456" s="18" t="str">
        <f>IFERROR(VLOOKUP(C456,[3]Sheet2!$C$1:$F$1223,3,0),"")</f>
        <v/>
      </c>
      <c r="E456" s="18" t="str">
        <f>IFERROR(VLOOKUP(C456,[3]Sheet2!$C$1:$F$1223,4,0),"")</f>
        <v/>
      </c>
    </row>
    <row r="457" spans="2:5">
      <c r="B457" s="17" t="str">
        <f>IFERROR(VLOOKUP(C457,[3]Sheet2!$C$3:$F$1223,2,0),"")</f>
        <v/>
      </c>
      <c r="D457" s="18" t="str">
        <f>IFERROR(VLOOKUP(C457,[3]Sheet2!$C$1:$F$1223,3,0),"")</f>
        <v/>
      </c>
      <c r="E457" s="18" t="str">
        <f>IFERROR(VLOOKUP(C457,[3]Sheet2!$C$1:$F$1223,4,0),"")</f>
        <v/>
      </c>
    </row>
    <row r="458" spans="2:5">
      <c r="B458" s="17" t="str">
        <f>IFERROR(VLOOKUP(C458,[3]Sheet2!$C$3:$F$1223,2,0),"")</f>
        <v/>
      </c>
      <c r="D458" s="18" t="str">
        <f>IFERROR(VLOOKUP(C458,[3]Sheet2!$C$1:$F$1223,3,0),"")</f>
        <v/>
      </c>
      <c r="E458" s="18" t="str">
        <f>IFERROR(VLOOKUP(C458,[3]Sheet2!$C$1:$F$1223,4,0),"")</f>
        <v/>
      </c>
    </row>
    <row r="459" spans="2:5">
      <c r="B459" s="17" t="str">
        <f>IFERROR(VLOOKUP(C459,[3]Sheet2!$C$3:$F$1223,2,0),"")</f>
        <v/>
      </c>
      <c r="D459" s="18" t="str">
        <f>IFERROR(VLOOKUP(C459,[3]Sheet2!$C$1:$F$1223,3,0),"")</f>
        <v/>
      </c>
      <c r="E459" s="18" t="str">
        <f>IFERROR(VLOOKUP(C459,[3]Sheet2!$C$1:$F$1223,4,0),"")</f>
        <v/>
      </c>
    </row>
    <row r="460" spans="2:5">
      <c r="B460" s="17" t="str">
        <f>IFERROR(VLOOKUP(C460,[3]Sheet2!$C$3:$F$1223,2,0),"")</f>
        <v/>
      </c>
      <c r="D460" s="18" t="str">
        <f>IFERROR(VLOOKUP(C460,[3]Sheet2!$C$1:$F$1223,3,0),"")</f>
        <v/>
      </c>
      <c r="E460" s="18" t="str">
        <f>IFERROR(VLOOKUP(C460,[3]Sheet2!$C$1:$F$1223,4,0),"")</f>
        <v/>
      </c>
    </row>
    <row r="461" spans="2:5">
      <c r="B461" s="17" t="str">
        <f>IFERROR(VLOOKUP(C461,[3]Sheet2!$C$3:$F$1223,2,0),"")</f>
        <v/>
      </c>
      <c r="D461" s="18" t="str">
        <f>IFERROR(VLOOKUP(C461,[3]Sheet2!$C$1:$F$1223,3,0),"")</f>
        <v/>
      </c>
      <c r="E461" s="18" t="str">
        <f>IFERROR(VLOOKUP(C461,[3]Sheet2!$C$1:$F$1223,4,0),"")</f>
        <v/>
      </c>
    </row>
    <row r="462" spans="2:5">
      <c r="B462" s="17" t="str">
        <f>IFERROR(VLOOKUP(C462,[3]Sheet2!$C$3:$F$1223,2,0),"")</f>
        <v/>
      </c>
      <c r="D462" s="18" t="str">
        <f>IFERROR(VLOOKUP(C462,[3]Sheet2!$C$1:$F$1223,3,0),"")</f>
        <v/>
      </c>
      <c r="E462" s="18" t="str">
        <f>IFERROR(VLOOKUP(C462,[3]Sheet2!$C$1:$F$1223,4,0),"")</f>
        <v/>
      </c>
    </row>
    <row r="463" spans="2:5">
      <c r="B463" s="17" t="str">
        <f>IFERROR(VLOOKUP(C463,[3]Sheet2!$C$3:$F$1223,2,0),"")</f>
        <v/>
      </c>
      <c r="D463" s="18" t="str">
        <f>IFERROR(VLOOKUP(C463,[3]Sheet2!$C$1:$F$1223,3,0),"")</f>
        <v/>
      </c>
      <c r="E463" s="18" t="str">
        <f>IFERROR(VLOOKUP(C463,[3]Sheet2!$C$1:$F$1223,4,0),"")</f>
        <v/>
      </c>
    </row>
    <row r="464" spans="2:5">
      <c r="B464" s="17" t="str">
        <f>IFERROR(VLOOKUP(C464,[3]Sheet2!$C$3:$F$1223,2,0),"")</f>
        <v/>
      </c>
      <c r="D464" s="18" t="str">
        <f>IFERROR(VLOOKUP(C464,[3]Sheet2!$C$1:$F$1223,3,0),"")</f>
        <v/>
      </c>
      <c r="E464" s="18" t="str">
        <f>IFERROR(VLOOKUP(C464,[3]Sheet2!$C$1:$F$1223,4,0),"")</f>
        <v/>
      </c>
    </row>
    <row r="465" spans="2:5">
      <c r="B465" s="17" t="str">
        <f>IFERROR(VLOOKUP(C465,[3]Sheet2!$C$3:$F$1223,2,0),"")</f>
        <v/>
      </c>
      <c r="D465" s="18" t="str">
        <f>IFERROR(VLOOKUP(C465,[3]Sheet2!$C$1:$F$1223,3,0),"")</f>
        <v/>
      </c>
      <c r="E465" s="18" t="str">
        <f>IFERROR(VLOOKUP(C465,[3]Sheet2!$C$1:$F$1223,4,0),"")</f>
        <v/>
      </c>
    </row>
    <row r="466" spans="2:5">
      <c r="B466" s="17" t="str">
        <f>IFERROR(VLOOKUP(C466,[3]Sheet2!$C$3:$F$1223,2,0),"")</f>
        <v/>
      </c>
      <c r="D466" s="18" t="str">
        <f>IFERROR(VLOOKUP(C466,[3]Sheet2!$C$1:$F$1223,3,0),"")</f>
        <v/>
      </c>
      <c r="E466" s="18" t="str">
        <f>IFERROR(VLOOKUP(C466,[3]Sheet2!$C$1:$F$1223,4,0),"")</f>
        <v/>
      </c>
    </row>
    <row r="467" spans="2:5">
      <c r="B467" s="17" t="str">
        <f>IFERROR(VLOOKUP(C467,[3]Sheet2!$C$3:$F$1223,2,0),"")</f>
        <v/>
      </c>
      <c r="D467" s="18" t="str">
        <f>IFERROR(VLOOKUP(C467,[3]Sheet2!$C$1:$F$1223,3,0),"")</f>
        <v/>
      </c>
      <c r="E467" s="18" t="str">
        <f>IFERROR(VLOOKUP(C467,[3]Sheet2!$C$1:$F$1223,4,0),"")</f>
        <v/>
      </c>
    </row>
    <row r="468" spans="2:5">
      <c r="B468" s="17" t="str">
        <f>IFERROR(VLOOKUP(C468,[3]Sheet2!$C$3:$F$1223,2,0),"")</f>
        <v/>
      </c>
      <c r="D468" s="18" t="str">
        <f>IFERROR(VLOOKUP(C468,[3]Sheet2!$C$1:$F$1223,3,0),"")</f>
        <v/>
      </c>
      <c r="E468" s="18" t="str">
        <f>IFERROR(VLOOKUP(C468,[3]Sheet2!$C$1:$F$1223,4,0),"")</f>
        <v/>
      </c>
    </row>
    <row r="469" spans="2:5">
      <c r="B469" s="17" t="str">
        <f>IFERROR(VLOOKUP(C469,[3]Sheet2!$C$3:$F$1223,2,0),"")</f>
        <v/>
      </c>
      <c r="D469" s="18" t="str">
        <f>IFERROR(VLOOKUP(C469,[3]Sheet2!$C$1:$F$1223,3,0),"")</f>
        <v/>
      </c>
      <c r="E469" s="18" t="str">
        <f>IFERROR(VLOOKUP(C469,[3]Sheet2!$C$1:$F$1223,4,0),"")</f>
        <v/>
      </c>
    </row>
    <row r="470" spans="2:5">
      <c r="B470" s="17" t="str">
        <f>IFERROR(VLOOKUP(C470,[3]Sheet2!$C$3:$F$1223,2,0),"")</f>
        <v/>
      </c>
      <c r="D470" s="18" t="str">
        <f>IFERROR(VLOOKUP(C470,[3]Sheet2!$C$1:$F$1223,3,0),"")</f>
        <v/>
      </c>
      <c r="E470" s="18" t="str">
        <f>IFERROR(VLOOKUP(C470,[3]Sheet2!$C$1:$F$1223,4,0),"")</f>
        <v/>
      </c>
    </row>
    <row r="471" spans="2:5">
      <c r="B471" s="17" t="str">
        <f>IFERROR(VLOOKUP(C471,[3]Sheet2!$C$3:$F$1223,2,0),"")</f>
        <v/>
      </c>
      <c r="D471" s="18" t="str">
        <f>IFERROR(VLOOKUP(C471,[3]Sheet2!$C$1:$F$1223,3,0),"")</f>
        <v/>
      </c>
      <c r="E471" s="18" t="str">
        <f>IFERROR(VLOOKUP(C471,[3]Sheet2!$C$1:$F$1223,4,0),"")</f>
        <v/>
      </c>
    </row>
    <row r="472" spans="2:5">
      <c r="B472" s="17" t="str">
        <f>IFERROR(VLOOKUP(C472,[3]Sheet2!$C$3:$F$1223,2,0),"")</f>
        <v/>
      </c>
      <c r="D472" s="18" t="str">
        <f>IFERROR(VLOOKUP(C472,[3]Sheet2!$C$1:$F$1223,3,0),"")</f>
        <v/>
      </c>
      <c r="E472" s="18" t="str">
        <f>IFERROR(VLOOKUP(C472,[3]Sheet2!$C$1:$F$1223,4,0),"")</f>
        <v/>
      </c>
    </row>
    <row r="473" spans="2:5">
      <c r="B473" s="17" t="str">
        <f>IFERROR(VLOOKUP(C473,[3]Sheet2!$C$3:$F$1223,2,0),"")</f>
        <v/>
      </c>
      <c r="D473" s="18" t="str">
        <f>IFERROR(VLOOKUP(C473,[3]Sheet2!$C$1:$F$1223,3,0),"")</f>
        <v/>
      </c>
      <c r="E473" s="18" t="str">
        <f>IFERROR(VLOOKUP(C473,[3]Sheet2!$C$1:$F$1223,4,0),"")</f>
        <v/>
      </c>
    </row>
    <row r="474" spans="2:5">
      <c r="B474" s="17" t="str">
        <f>IFERROR(VLOOKUP(C474,[3]Sheet2!$C$3:$F$1223,2,0),"")</f>
        <v/>
      </c>
      <c r="D474" s="18" t="str">
        <f>IFERROR(VLOOKUP(C474,[3]Sheet2!$C$1:$F$1223,3,0),"")</f>
        <v/>
      </c>
      <c r="E474" s="18" t="str">
        <f>IFERROR(VLOOKUP(C474,[3]Sheet2!$C$1:$F$1223,4,0),"")</f>
        <v/>
      </c>
    </row>
    <row r="475" spans="2:5">
      <c r="B475" s="17" t="str">
        <f>IFERROR(VLOOKUP(C475,[3]Sheet2!$C$3:$F$1223,2,0),"")</f>
        <v/>
      </c>
      <c r="D475" s="18" t="str">
        <f>IFERROR(VLOOKUP(C475,[3]Sheet2!$C$1:$F$1223,3,0),"")</f>
        <v/>
      </c>
      <c r="E475" s="18" t="str">
        <f>IFERROR(VLOOKUP(C475,[3]Sheet2!$C$1:$F$1223,4,0),"")</f>
        <v/>
      </c>
    </row>
    <row r="476" spans="2:5">
      <c r="B476" s="17" t="str">
        <f>IFERROR(VLOOKUP(C476,[3]Sheet2!$C$3:$F$1223,2,0),"")</f>
        <v/>
      </c>
      <c r="D476" s="18" t="str">
        <f>IFERROR(VLOOKUP(C476,[3]Sheet2!$C$1:$F$1223,3,0),"")</f>
        <v/>
      </c>
      <c r="E476" s="18" t="str">
        <f>IFERROR(VLOOKUP(C476,[3]Sheet2!$C$1:$F$1223,4,0),"")</f>
        <v/>
      </c>
    </row>
    <row r="477" spans="2:5">
      <c r="B477" s="17" t="str">
        <f>IFERROR(VLOOKUP(C477,[3]Sheet2!$C$3:$F$1223,2,0),"")</f>
        <v/>
      </c>
      <c r="D477" s="18" t="str">
        <f>IFERROR(VLOOKUP(C477,[3]Sheet2!$C$1:$F$1223,3,0),"")</f>
        <v/>
      </c>
      <c r="E477" s="18" t="str">
        <f>IFERROR(VLOOKUP(C477,[3]Sheet2!$C$1:$F$1223,4,0),"")</f>
        <v/>
      </c>
    </row>
    <row r="478" spans="2:5">
      <c r="B478" s="17" t="str">
        <f>IFERROR(VLOOKUP(C478,[3]Sheet2!$C$3:$F$1223,2,0),"")</f>
        <v/>
      </c>
      <c r="D478" s="18" t="str">
        <f>IFERROR(VLOOKUP(C478,[3]Sheet2!$C$1:$F$1223,3,0),"")</f>
        <v/>
      </c>
      <c r="E478" s="18" t="str">
        <f>IFERROR(VLOOKUP(C478,[3]Sheet2!$C$1:$F$1223,4,0),"")</f>
        <v/>
      </c>
    </row>
    <row r="479" spans="2:5">
      <c r="B479" s="17" t="str">
        <f>IFERROR(VLOOKUP(C479,[3]Sheet2!$C$3:$F$1223,2,0),"")</f>
        <v/>
      </c>
      <c r="D479" s="18" t="str">
        <f>IFERROR(VLOOKUP(C479,[3]Sheet2!$C$1:$F$1223,3,0),"")</f>
        <v/>
      </c>
      <c r="E479" s="18" t="str">
        <f>IFERROR(VLOOKUP(C479,[3]Sheet2!$C$1:$F$1223,4,0),"")</f>
        <v/>
      </c>
    </row>
    <row r="480" spans="2:5">
      <c r="B480" s="17" t="str">
        <f>IFERROR(VLOOKUP(C480,[3]Sheet2!$C$3:$F$1223,2,0),"")</f>
        <v/>
      </c>
      <c r="D480" s="18" t="str">
        <f>IFERROR(VLOOKUP(C480,[3]Sheet2!$C$1:$F$1223,3,0),"")</f>
        <v/>
      </c>
      <c r="E480" s="18" t="str">
        <f>IFERROR(VLOOKUP(C480,[3]Sheet2!$C$1:$F$1223,4,0),"")</f>
        <v/>
      </c>
    </row>
    <row r="481" spans="2:5">
      <c r="B481" s="17" t="str">
        <f>IFERROR(VLOOKUP(C481,[3]Sheet2!$C$3:$F$1223,2,0),"")</f>
        <v/>
      </c>
      <c r="D481" s="18" t="str">
        <f>IFERROR(VLOOKUP(C481,[3]Sheet2!$C$1:$F$1223,3,0),"")</f>
        <v/>
      </c>
      <c r="E481" s="18" t="str">
        <f>IFERROR(VLOOKUP(C481,[3]Sheet2!$C$1:$F$1223,4,0),"")</f>
        <v/>
      </c>
    </row>
    <row r="482" spans="2:5">
      <c r="B482" s="17" t="str">
        <f>IFERROR(VLOOKUP(C482,[3]Sheet2!$C$3:$F$1223,2,0),"")</f>
        <v/>
      </c>
      <c r="D482" s="18" t="str">
        <f>IFERROR(VLOOKUP(C482,[3]Sheet2!$C$1:$F$1223,3,0),"")</f>
        <v/>
      </c>
      <c r="E482" s="18" t="str">
        <f>IFERROR(VLOOKUP(C482,[3]Sheet2!$C$1:$F$1223,4,0),"")</f>
        <v/>
      </c>
    </row>
    <row r="483" spans="2:5">
      <c r="B483" s="17" t="str">
        <f>IFERROR(VLOOKUP(C483,[3]Sheet2!$C$3:$F$1223,2,0),"")</f>
        <v/>
      </c>
      <c r="D483" s="18" t="str">
        <f>IFERROR(VLOOKUP(C483,[3]Sheet2!$C$1:$F$1223,3,0),"")</f>
        <v/>
      </c>
      <c r="E483" s="18" t="str">
        <f>IFERROR(VLOOKUP(C483,[3]Sheet2!$C$1:$F$1223,4,0),"")</f>
        <v/>
      </c>
    </row>
    <row r="484" spans="2:5">
      <c r="B484" s="17" t="str">
        <f>IFERROR(VLOOKUP(C484,[3]Sheet2!$C$3:$F$1223,2,0),"")</f>
        <v/>
      </c>
      <c r="D484" s="18" t="str">
        <f>IFERROR(VLOOKUP(C484,[3]Sheet2!$C$1:$F$1223,3,0),"")</f>
        <v/>
      </c>
      <c r="E484" s="18" t="str">
        <f>IFERROR(VLOOKUP(C484,[3]Sheet2!$C$1:$F$1223,4,0),"")</f>
        <v/>
      </c>
    </row>
    <row r="485" spans="2:5">
      <c r="B485" s="17" t="str">
        <f>IFERROR(VLOOKUP(C485,[3]Sheet2!$C$3:$F$1223,2,0),"")</f>
        <v/>
      </c>
      <c r="D485" s="18" t="str">
        <f>IFERROR(VLOOKUP(C485,[3]Sheet2!$C$1:$F$1223,3,0),"")</f>
        <v/>
      </c>
      <c r="E485" s="18" t="str">
        <f>IFERROR(VLOOKUP(C485,[3]Sheet2!$C$1:$F$1223,4,0),"")</f>
        <v/>
      </c>
    </row>
    <row r="486" spans="2:5">
      <c r="B486" s="17" t="str">
        <f>IFERROR(VLOOKUP(C486,[3]Sheet2!$C$3:$F$1223,2,0),"")</f>
        <v/>
      </c>
      <c r="D486" s="18" t="str">
        <f>IFERROR(VLOOKUP(C486,[3]Sheet2!$C$1:$F$1223,3,0),"")</f>
        <v/>
      </c>
      <c r="E486" s="18" t="str">
        <f>IFERROR(VLOOKUP(C486,[3]Sheet2!$C$1:$F$1223,4,0),"")</f>
        <v/>
      </c>
    </row>
    <row r="487" spans="2:5">
      <c r="B487" s="17" t="str">
        <f>IFERROR(VLOOKUP(C487,[3]Sheet2!$C$3:$F$1223,2,0),"")</f>
        <v/>
      </c>
      <c r="D487" s="18" t="str">
        <f>IFERROR(VLOOKUP(C487,[3]Sheet2!$C$1:$F$1223,3,0),"")</f>
        <v/>
      </c>
      <c r="E487" s="18" t="str">
        <f>IFERROR(VLOOKUP(C487,[3]Sheet2!$C$1:$F$1223,4,0),"")</f>
        <v/>
      </c>
    </row>
    <row r="488" spans="2:5">
      <c r="B488" s="17" t="str">
        <f>IFERROR(VLOOKUP(C488,[3]Sheet2!$C$3:$F$1223,2,0),"")</f>
        <v/>
      </c>
      <c r="D488" s="18" t="str">
        <f>IFERROR(VLOOKUP(C488,[3]Sheet2!$C$1:$F$1223,3,0),"")</f>
        <v/>
      </c>
      <c r="E488" s="18" t="str">
        <f>IFERROR(VLOOKUP(C488,[3]Sheet2!$C$1:$F$1223,4,0),"")</f>
        <v/>
      </c>
    </row>
    <row r="489" spans="2:5">
      <c r="B489" s="17" t="str">
        <f>IFERROR(VLOOKUP(C489,[3]Sheet2!$C$3:$F$1223,2,0),"")</f>
        <v/>
      </c>
      <c r="D489" s="18" t="str">
        <f>IFERROR(VLOOKUP(C489,[3]Sheet2!$C$1:$F$1223,3,0),"")</f>
        <v/>
      </c>
      <c r="E489" s="18" t="str">
        <f>IFERROR(VLOOKUP(C489,[3]Sheet2!$C$1:$F$1223,4,0),"")</f>
        <v/>
      </c>
    </row>
    <row r="490" spans="2:5">
      <c r="B490" s="17" t="str">
        <f>IFERROR(VLOOKUP(C490,[3]Sheet2!$C$3:$F$1223,2,0),"")</f>
        <v/>
      </c>
      <c r="D490" s="18" t="str">
        <f>IFERROR(VLOOKUP(C490,[3]Sheet2!$C$1:$F$1223,3,0),"")</f>
        <v/>
      </c>
      <c r="E490" s="18" t="str">
        <f>IFERROR(VLOOKUP(C490,[3]Sheet2!$C$1:$F$1223,4,0),"")</f>
        <v/>
      </c>
    </row>
    <row r="491" spans="2:5">
      <c r="B491" s="17" t="str">
        <f>IFERROR(VLOOKUP(C491,[3]Sheet2!$C$3:$F$1223,2,0),"")</f>
        <v/>
      </c>
      <c r="D491" s="18" t="str">
        <f>IFERROR(VLOOKUP(C491,[3]Sheet2!$C$1:$F$1223,3,0),"")</f>
        <v/>
      </c>
      <c r="E491" s="18" t="str">
        <f>IFERROR(VLOOKUP(C491,[3]Sheet2!$C$1:$F$1223,4,0),"")</f>
        <v/>
      </c>
    </row>
    <row r="492" spans="2:5">
      <c r="B492" s="17" t="str">
        <f>IFERROR(VLOOKUP(C492,[3]Sheet2!$C$3:$F$1223,2,0),"")</f>
        <v/>
      </c>
      <c r="D492" s="18" t="str">
        <f>IFERROR(VLOOKUP(C492,[3]Sheet2!$C$1:$F$1223,3,0),"")</f>
        <v/>
      </c>
      <c r="E492" s="18" t="str">
        <f>IFERROR(VLOOKUP(C492,[3]Sheet2!$C$1:$F$1223,4,0),"")</f>
        <v/>
      </c>
    </row>
    <row r="493" spans="2:5">
      <c r="B493" s="17" t="str">
        <f>IFERROR(VLOOKUP(C493,[3]Sheet2!$C$3:$F$1223,2,0),"")</f>
        <v/>
      </c>
      <c r="D493" s="18" t="str">
        <f>IFERROR(VLOOKUP(C493,[3]Sheet2!$C$1:$F$1223,3,0),"")</f>
        <v/>
      </c>
      <c r="E493" s="18" t="str">
        <f>IFERROR(VLOOKUP(C493,[3]Sheet2!$C$1:$F$1223,4,0),"")</f>
        <v/>
      </c>
    </row>
    <row r="494" spans="2:5">
      <c r="B494" s="17" t="str">
        <f>IFERROR(VLOOKUP(C494,[3]Sheet2!$C$3:$F$1223,2,0),"")</f>
        <v/>
      </c>
      <c r="D494" s="18" t="str">
        <f>IFERROR(VLOOKUP(C494,[3]Sheet2!$C$1:$F$1223,3,0),"")</f>
        <v/>
      </c>
      <c r="E494" s="18" t="str">
        <f>IFERROR(VLOOKUP(C494,[3]Sheet2!$C$1:$F$1223,4,0),"")</f>
        <v/>
      </c>
    </row>
    <row r="495" spans="2:5">
      <c r="B495" s="17" t="str">
        <f>IFERROR(VLOOKUP(C495,[3]Sheet2!$C$3:$F$1223,2,0),"")</f>
        <v/>
      </c>
      <c r="D495" s="18" t="str">
        <f>IFERROR(VLOOKUP(C495,[3]Sheet2!$C$1:$F$1223,3,0),"")</f>
        <v/>
      </c>
      <c r="E495" s="18" t="str">
        <f>IFERROR(VLOOKUP(C495,[3]Sheet2!$C$1:$F$1223,4,0),"")</f>
        <v/>
      </c>
    </row>
    <row r="496" spans="2:5">
      <c r="B496" s="17" t="str">
        <f>IFERROR(VLOOKUP(C496,[3]Sheet2!$C$3:$F$1223,2,0),"")</f>
        <v/>
      </c>
      <c r="D496" s="18" t="str">
        <f>IFERROR(VLOOKUP(C496,[3]Sheet2!$C$1:$F$1223,3,0),"")</f>
        <v/>
      </c>
      <c r="E496" s="18" t="str">
        <f>IFERROR(VLOOKUP(C496,[3]Sheet2!$C$1:$F$1223,4,0),"")</f>
        <v/>
      </c>
    </row>
    <row r="497" spans="2:5">
      <c r="B497" s="17" t="str">
        <f>IFERROR(VLOOKUP(C497,[3]Sheet2!$C$3:$F$1223,2,0),"")</f>
        <v/>
      </c>
      <c r="D497" s="18" t="str">
        <f>IFERROR(VLOOKUP(C497,[3]Sheet2!$C$1:$F$1223,3,0),"")</f>
        <v/>
      </c>
      <c r="E497" s="18" t="str">
        <f>IFERROR(VLOOKUP(C497,[3]Sheet2!$C$1:$F$1223,4,0),"")</f>
        <v/>
      </c>
    </row>
    <row r="498" spans="2:5">
      <c r="B498" s="17" t="str">
        <f>IFERROR(VLOOKUP(C498,[3]Sheet2!$C$3:$F$1223,2,0),"")</f>
        <v/>
      </c>
      <c r="D498" s="18" t="str">
        <f>IFERROR(VLOOKUP(C498,[3]Sheet2!$C$1:$F$1223,3,0),"")</f>
        <v/>
      </c>
      <c r="E498" s="18" t="str">
        <f>IFERROR(VLOOKUP(C498,[3]Sheet2!$C$1:$F$1223,4,0),"")</f>
        <v/>
      </c>
    </row>
    <row r="499" spans="2:5">
      <c r="B499" s="17" t="str">
        <f>IFERROR(VLOOKUP(C499,[3]Sheet2!$C$3:$F$1223,2,0),"")</f>
        <v/>
      </c>
      <c r="D499" s="18" t="str">
        <f>IFERROR(VLOOKUP(C499,[3]Sheet2!$C$1:$F$1223,3,0),"")</f>
        <v/>
      </c>
      <c r="E499" s="18" t="str">
        <f>IFERROR(VLOOKUP(C499,[3]Sheet2!$C$1:$F$1223,4,0),"")</f>
        <v/>
      </c>
    </row>
    <row r="500" spans="2:5">
      <c r="B500" s="17" t="str">
        <f>IFERROR(VLOOKUP(C500,[3]Sheet2!$C$3:$F$1223,2,0),"")</f>
        <v/>
      </c>
      <c r="D500" s="18" t="str">
        <f>IFERROR(VLOOKUP(C500,[3]Sheet2!$C$1:$F$1223,3,0),"")</f>
        <v/>
      </c>
      <c r="E500" s="18" t="str">
        <f>IFERROR(VLOOKUP(C500,[3]Sheet2!$C$1:$F$1223,4,0),"")</f>
        <v/>
      </c>
    </row>
    <row r="501" spans="2:5">
      <c r="B501" s="17" t="str">
        <f>IFERROR(VLOOKUP(C501,[3]Sheet2!$C$3:$F$1223,2,0),"")</f>
        <v/>
      </c>
      <c r="D501" s="18" t="str">
        <f>IFERROR(VLOOKUP(C501,[3]Sheet2!$C$1:$F$1223,3,0),"")</f>
        <v/>
      </c>
      <c r="E501" s="18" t="str">
        <f>IFERROR(VLOOKUP(C501,[3]Sheet2!$C$1:$F$1223,4,0),"")</f>
        <v/>
      </c>
    </row>
    <row r="502" spans="2:5">
      <c r="B502" s="17" t="str">
        <f>IFERROR(VLOOKUP(C502,[3]Sheet2!$C$3:$F$1223,2,0),"")</f>
        <v/>
      </c>
      <c r="D502" s="18" t="str">
        <f>IFERROR(VLOOKUP(C502,[3]Sheet2!$C$1:$F$1223,3,0),"")</f>
        <v/>
      </c>
      <c r="E502" s="18" t="str">
        <f>IFERROR(VLOOKUP(C502,[3]Sheet2!$C$1:$F$1223,4,0),"")</f>
        <v/>
      </c>
    </row>
    <row r="503" spans="2:5">
      <c r="B503" s="17" t="str">
        <f>IFERROR(VLOOKUP(C503,[3]Sheet2!$C$3:$F$1223,2,0),"")</f>
        <v/>
      </c>
      <c r="D503" s="18" t="str">
        <f>IFERROR(VLOOKUP(C503,[3]Sheet2!$C$1:$F$1223,3,0),"")</f>
        <v/>
      </c>
      <c r="E503" s="18" t="str">
        <f>IFERROR(VLOOKUP(C503,[3]Sheet2!$C$1:$F$1223,4,0),"")</f>
        <v/>
      </c>
    </row>
    <row r="504" spans="2:5">
      <c r="B504" s="17" t="str">
        <f>IFERROR(VLOOKUP(C504,[3]Sheet2!$C$3:$F$1223,2,0),"")</f>
        <v/>
      </c>
      <c r="D504" s="18" t="str">
        <f>IFERROR(VLOOKUP(C504,[3]Sheet2!$C$1:$F$1223,3,0),"")</f>
        <v/>
      </c>
      <c r="E504" s="18" t="str">
        <f>IFERROR(VLOOKUP(C504,[3]Sheet2!$C$1:$F$1223,4,0),"")</f>
        <v/>
      </c>
    </row>
    <row r="505" spans="2:5">
      <c r="B505" s="17" t="str">
        <f>IFERROR(VLOOKUP(C505,[3]Sheet2!$C$3:$F$1223,2,0),"")</f>
        <v/>
      </c>
      <c r="D505" s="18" t="str">
        <f>IFERROR(VLOOKUP(C505,[3]Sheet2!$C$1:$F$1223,3,0),"")</f>
        <v/>
      </c>
      <c r="E505" s="18" t="str">
        <f>IFERROR(VLOOKUP(C505,[3]Sheet2!$C$1:$F$1223,4,0),"")</f>
        <v/>
      </c>
    </row>
    <row r="506" spans="2:5">
      <c r="B506" s="17" t="str">
        <f>IFERROR(VLOOKUP(C506,[3]Sheet2!$C$3:$F$1223,2,0),"")</f>
        <v/>
      </c>
      <c r="D506" s="18" t="str">
        <f>IFERROR(VLOOKUP(C506,[3]Sheet2!$C$1:$F$1223,3,0),"")</f>
        <v/>
      </c>
      <c r="E506" s="18" t="str">
        <f>IFERROR(VLOOKUP(C506,[3]Sheet2!$C$1:$F$1223,4,0),"")</f>
        <v/>
      </c>
    </row>
    <row r="507" spans="2:5">
      <c r="B507" s="17" t="str">
        <f>IFERROR(VLOOKUP(C507,[3]Sheet2!$C$3:$F$1223,2,0),"")</f>
        <v/>
      </c>
      <c r="D507" s="18" t="str">
        <f>IFERROR(VLOOKUP(C507,[3]Sheet2!$C$1:$F$1223,3,0),"")</f>
        <v/>
      </c>
      <c r="E507" s="18" t="str">
        <f>IFERROR(VLOOKUP(C507,[3]Sheet2!$C$1:$F$1223,4,0),"")</f>
        <v/>
      </c>
    </row>
    <row r="508" spans="2:5">
      <c r="B508" s="17" t="str">
        <f>IFERROR(VLOOKUP(C508,[3]Sheet2!$C$3:$F$1223,2,0),"")</f>
        <v/>
      </c>
      <c r="D508" s="18" t="str">
        <f>IFERROR(VLOOKUP(C508,[3]Sheet2!$C$1:$F$1223,3,0),"")</f>
        <v/>
      </c>
      <c r="E508" s="18" t="str">
        <f>IFERROR(VLOOKUP(C508,[3]Sheet2!$C$1:$F$1223,4,0),"")</f>
        <v/>
      </c>
    </row>
    <row r="509" spans="2:5">
      <c r="B509" s="17" t="str">
        <f>IFERROR(VLOOKUP(C509,[3]Sheet2!$C$3:$F$1223,2,0),"")</f>
        <v/>
      </c>
      <c r="D509" s="18" t="str">
        <f>IFERROR(VLOOKUP(C509,[3]Sheet2!$C$1:$F$1223,3,0),"")</f>
        <v/>
      </c>
      <c r="E509" s="18" t="str">
        <f>IFERROR(VLOOKUP(C509,[3]Sheet2!$C$1:$F$1223,4,0),"")</f>
        <v/>
      </c>
    </row>
    <row r="510" spans="2:5">
      <c r="B510" s="17" t="str">
        <f>IFERROR(VLOOKUP(C510,[3]Sheet2!$C$3:$F$1223,2,0),"")</f>
        <v/>
      </c>
      <c r="D510" s="18" t="str">
        <f>IFERROR(VLOOKUP(C510,[3]Sheet2!$C$1:$F$1223,3,0),"")</f>
        <v/>
      </c>
      <c r="E510" s="18" t="str">
        <f>IFERROR(VLOOKUP(C510,[3]Sheet2!$C$1:$F$1223,4,0),"")</f>
        <v/>
      </c>
    </row>
    <row r="511" spans="2:5">
      <c r="B511" s="17" t="str">
        <f>IFERROR(VLOOKUP(C511,[3]Sheet2!$C$3:$F$1223,2,0),"")</f>
        <v/>
      </c>
      <c r="D511" s="18" t="str">
        <f>IFERROR(VLOOKUP(C511,[3]Sheet2!$C$1:$F$1223,3,0),"")</f>
        <v/>
      </c>
      <c r="E511" s="18" t="str">
        <f>IFERROR(VLOOKUP(C511,[3]Sheet2!$C$1:$F$1223,4,0),"")</f>
        <v/>
      </c>
    </row>
    <row r="512" spans="2:5">
      <c r="B512" s="17" t="str">
        <f>IFERROR(VLOOKUP(C512,[3]Sheet2!$C$3:$F$1223,2,0),"")</f>
        <v/>
      </c>
      <c r="D512" s="18" t="str">
        <f>IFERROR(VLOOKUP(C512,[3]Sheet2!$C$1:$F$1223,3,0),"")</f>
        <v/>
      </c>
      <c r="E512" s="18" t="str">
        <f>IFERROR(VLOOKUP(C512,[3]Sheet2!$C$1:$F$1223,4,0),"")</f>
        <v/>
      </c>
    </row>
    <row r="513" spans="2:5">
      <c r="B513" s="17" t="str">
        <f>IFERROR(VLOOKUP(C513,[3]Sheet2!$C$3:$F$1223,2,0),"")</f>
        <v/>
      </c>
      <c r="D513" s="18" t="str">
        <f>IFERROR(VLOOKUP(C513,[3]Sheet2!$C$1:$F$1223,3,0),"")</f>
        <v/>
      </c>
      <c r="E513" s="18" t="str">
        <f>IFERROR(VLOOKUP(C513,[3]Sheet2!$C$1:$F$1223,4,0),"")</f>
        <v/>
      </c>
    </row>
    <row r="514" spans="2:5">
      <c r="B514" s="17" t="str">
        <f>IFERROR(VLOOKUP(C514,[3]Sheet2!$C$3:$F$1223,2,0),"")</f>
        <v/>
      </c>
      <c r="D514" s="18" t="str">
        <f>IFERROR(VLOOKUP(C514,[3]Sheet2!$C$1:$F$1223,3,0),"")</f>
        <v/>
      </c>
      <c r="E514" s="18" t="str">
        <f>IFERROR(VLOOKUP(C514,[3]Sheet2!$C$1:$F$1223,4,0),"")</f>
        <v/>
      </c>
    </row>
    <row r="515" spans="2:5">
      <c r="B515" s="17" t="str">
        <f>IFERROR(VLOOKUP(C515,[3]Sheet2!$C$3:$F$1223,2,0),"")</f>
        <v/>
      </c>
      <c r="D515" s="18" t="str">
        <f>IFERROR(VLOOKUP(C515,[3]Sheet2!$C$1:$F$1223,3,0),"")</f>
        <v/>
      </c>
      <c r="E515" s="18" t="str">
        <f>IFERROR(VLOOKUP(C515,[3]Sheet2!$C$1:$F$1223,4,0),"")</f>
        <v/>
      </c>
    </row>
    <row r="516" spans="2:5">
      <c r="B516" s="17" t="str">
        <f>IFERROR(VLOOKUP(C516,[3]Sheet2!$C$3:$F$1223,2,0),"")</f>
        <v/>
      </c>
      <c r="D516" s="18" t="str">
        <f>IFERROR(VLOOKUP(C516,[3]Sheet2!$C$1:$F$1223,3,0),"")</f>
        <v/>
      </c>
      <c r="E516" s="18" t="str">
        <f>IFERROR(VLOOKUP(C516,[3]Sheet2!$C$1:$F$1223,4,0),"")</f>
        <v/>
      </c>
    </row>
    <row r="517" spans="2:5">
      <c r="B517" s="17" t="str">
        <f>IFERROR(VLOOKUP(C517,[3]Sheet2!$C$3:$F$1223,2,0),"")</f>
        <v/>
      </c>
      <c r="D517" s="18" t="str">
        <f>IFERROR(VLOOKUP(C517,[3]Sheet2!$C$1:$F$1223,3,0),"")</f>
        <v/>
      </c>
      <c r="E517" s="18" t="str">
        <f>IFERROR(VLOOKUP(C517,[3]Sheet2!$C$1:$F$1223,4,0),"")</f>
        <v/>
      </c>
    </row>
    <row r="518" spans="2:5">
      <c r="B518" s="17" t="str">
        <f>IFERROR(VLOOKUP(C518,[3]Sheet2!$C$3:$F$1223,2,0),"")</f>
        <v/>
      </c>
      <c r="D518" s="18" t="str">
        <f>IFERROR(VLOOKUP(C518,[3]Sheet2!$C$1:$F$1223,3,0),"")</f>
        <v/>
      </c>
      <c r="E518" s="18" t="str">
        <f>IFERROR(VLOOKUP(C518,[3]Sheet2!$C$1:$F$1223,4,0),"")</f>
        <v/>
      </c>
    </row>
    <row r="519" spans="2:5">
      <c r="B519" s="17" t="str">
        <f>IFERROR(VLOOKUP(C519,[3]Sheet2!$C$3:$F$1223,2,0),"")</f>
        <v/>
      </c>
      <c r="D519" s="18" t="str">
        <f>IFERROR(VLOOKUP(C519,[3]Sheet2!$C$1:$F$1223,3,0),"")</f>
        <v/>
      </c>
      <c r="E519" s="18" t="str">
        <f>IFERROR(VLOOKUP(C519,[3]Sheet2!$C$1:$F$1223,4,0),"")</f>
        <v/>
      </c>
    </row>
    <row r="520" spans="2:5">
      <c r="B520" s="17" t="str">
        <f>IFERROR(VLOOKUP(C520,[3]Sheet2!$C$3:$F$1223,2,0),"")</f>
        <v/>
      </c>
      <c r="D520" s="18" t="str">
        <f>IFERROR(VLOOKUP(C520,[3]Sheet2!$C$1:$F$1223,3,0),"")</f>
        <v/>
      </c>
      <c r="E520" s="18" t="str">
        <f>IFERROR(VLOOKUP(C520,[3]Sheet2!$C$1:$F$1223,4,0),"")</f>
        <v/>
      </c>
    </row>
    <row r="521" spans="2:5">
      <c r="B521" s="17" t="str">
        <f>IFERROR(VLOOKUP(C521,[3]Sheet2!$C$3:$F$1223,2,0),"")</f>
        <v/>
      </c>
      <c r="D521" s="18" t="str">
        <f>IFERROR(VLOOKUP(C521,[3]Sheet2!$C$1:$F$1223,3,0),"")</f>
        <v/>
      </c>
      <c r="E521" s="18" t="str">
        <f>IFERROR(VLOOKUP(C521,[3]Sheet2!$C$1:$F$1223,4,0),"")</f>
        <v/>
      </c>
    </row>
    <row r="522" spans="2:5">
      <c r="B522" s="17" t="str">
        <f>IFERROR(VLOOKUP(C522,[3]Sheet2!$C$3:$F$1223,2,0),"")</f>
        <v/>
      </c>
      <c r="D522" s="18" t="str">
        <f>IFERROR(VLOOKUP(C522,[3]Sheet2!$C$1:$F$1223,3,0),"")</f>
        <v/>
      </c>
      <c r="E522" s="18" t="str">
        <f>IFERROR(VLOOKUP(C522,[3]Sheet2!$C$1:$F$1223,4,0),"")</f>
        <v/>
      </c>
    </row>
    <row r="523" spans="2:5">
      <c r="B523" s="17" t="str">
        <f>IFERROR(VLOOKUP(C523,[3]Sheet2!$C$3:$F$1223,2,0),"")</f>
        <v/>
      </c>
      <c r="D523" s="18" t="str">
        <f>IFERROR(VLOOKUP(C523,[3]Sheet2!$C$1:$F$1223,3,0),"")</f>
        <v/>
      </c>
      <c r="E523" s="18" t="str">
        <f>IFERROR(VLOOKUP(C523,[3]Sheet2!$C$1:$F$1223,4,0),"")</f>
        <v/>
      </c>
    </row>
    <row r="524" spans="2:5">
      <c r="B524" s="17" t="str">
        <f>IFERROR(VLOOKUP(C524,[3]Sheet2!$C$3:$F$1223,2,0),"")</f>
        <v/>
      </c>
      <c r="D524" s="18" t="str">
        <f>IFERROR(VLOOKUP(C524,[3]Sheet2!$C$1:$F$1223,3,0),"")</f>
        <v/>
      </c>
      <c r="E524" s="18" t="str">
        <f>IFERROR(VLOOKUP(C524,[3]Sheet2!$C$1:$F$1223,4,0),"")</f>
        <v/>
      </c>
    </row>
    <row r="525" spans="2:5">
      <c r="B525" s="17" t="str">
        <f>IFERROR(VLOOKUP(C525,[3]Sheet2!$C$3:$F$1223,2,0),"")</f>
        <v/>
      </c>
      <c r="D525" s="18" t="str">
        <f>IFERROR(VLOOKUP(C525,[3]Sheet2!$C$1:$F$1223,3,0),"")</f>
        <v/>
      </c>
      <c r="E525" s="18" t="str">
        <f>IFERROR(VLOOKUP(C525,[3]Sheet2!$C$1:$F$1223,4,0),"")</f>
        <v/>
      </c>
    </row>
    <row r="526" spans="2:5">
      <c r="B526" s="17" t="str">
        <f>IFERROR(VLOOKUP(C526,[3]Sheet2!$C$3:$F$1223,2,0),"")</f>
        <v/>
      </c>
      <c r="D526" s="18" t="str">
        <f>IFERROR(VLOOKUP(C526,[3]Sheet2!$C$1:$F$1223,3,0),"")</f>
        <v/>
      </c>
      <c r="E526" s="18" t="str">
        <f>IFERROR(VLOOKUP(C526,[3]Sheet2!$C$1:$F$1223,4,0),"")</f>
        <v/>
      </c>
    </row>
    <row r="527" spans="2:5">
      <c r="B527" s="17" t="str">
        <f>IFERROR(VLOOKUP(C527,[3]Sheet2!$C$3:$F$1223,2,0),"")</f>
        <v/>
      </c>
      <c r="D527" s="18" t="str">
        <f>IFERROR(VLOOKUP(C527,[3]Sheet2!$C$1:$F$1223,3,0),"")</f>
        <v/>
      </c>
      <c r="E527" s="18" t="str">
        <f>IFERROR(VLOOKUP(C527,[3]Sheet2!$C$1:$F$1223,4,0),"")</f>
        <v/>
      </c>
    </row>
    <row r="528" spans="2:5">
      <c r="B528" s="17" t="str">
        <f>IFERROR(VLOOKUP(C528,[3]Sheet2!$C$3:$F$1223,2,0),"")</f>
        <v/>
      </c>
      <c r="D528" s="18" t="str">
        <f>IFERROR(VLOOKUP(C528,[3]Sheet2!$C$1:$F$1223,3,0),"")</f>
        <v/>
      </c>
      <c r="E528" s="18" t="str">
        <f>IFERROR(VLOOKUP(C528,[3]Sheet2!$C$1:$F$1223,4,0),"")</f>
        <v/>
      </c>
    </row>
    <row r="529" spans="2:5">
      <c r="B529" s="17" t="str">
        <f>IFERROR(VLOOKUP(C529,[3]Sheet2!$C$3:$F$1223,2,0),"")</f>
        <v/>
      </c>
      <c r="D529" s="18" t="str">
        <f>IFERROR(VLOOKUP(C529,[3]Sheet2!$C$1:$F$1223,3,0),"")</f>
        <v/>
      </c>
      <c r="E529" s="18" t="str">
        <f>IFERROR(VLOOKUP(C529,[3]Sheet2!$C$1:$F$1223,4,0),"")</f>
        <v/>
      </c>
    </row>
    <row r="530" spans="2:5">
      <c r="B530" s="17" t="str">
        <f>IFERROR(VLOOKUP(C530,[3]Sheet2!$C$3:$F$1223,2,0),"")</f>
        <v/>
      </c>
      <c r="D530" s="18" t="str">
        <f>IFERROR(VLOOKUP(C530,[3]Sheet2!$C$1:$F$1223,3,0),"")</f>
        <v/>
      </c>
      <c r="E530" s="18" t="str">
        <f>IFERROR(VLOOKUP(C530,[3]Sheet2!$C$1:$F$1223,4,0),"")</f>
        <v/>
      </c>
    </row>
    <row r="531" spans="2:5">
      <c r="B531" s="17" t="str">
        <f>IFERROR(VLOOKUP(C531,[3]Sheet2!$C$3:$F$1223,2,0),"")</f>
        <v/>
      </c>
      <c r="D531" s="18" t="str">
        <f>IFERROR(VLOOKUP(C531,[3]Sheet2!$C$1:$F$1223,3,0),"")</f>
        <v/>
      </c>
      <c r="E531" s="18" t="str">
        <f>IFERROR(VLOOKUP(C531,[3]Sheet2!$C$1:$F$1223,4,0),"")</f>
        <v/>
      </c>
    </row>
    <row r="532" spans="2:5">
      <c r="B532" s="17" t="str">
        <f>IFERROR(VLOOKUP(C532,[3]Sheet2!$C$3:$F$1223,2,0),"")</f>
        <v/>
      </c>
      <c r="D532" s="18" t="str">
        <f>IFERROR(VLOOKUP(C532,[3]Sheet2!$C$1:$F$1223,3,0),"")</f>
        <v/>
      </c>
      <c r="E532" s="18" t="str">
        <f>IFERROR(VLOOKUP(C532,[3]Sheet2!$C$1:$F$1223,4,0),"")</f>
        <v/>
      </c>
    </row>
    <row r="533" spans="2:5">
      <c r="B533" s="17" t="str">
        <f>IFERROR(VLOOKUP(C533,[3]Sheet2!$C$3:$F$1223,2,0),"")</f>
        <v/>
      </c>
      <c r="D533" s="18" t="str">
        <f>IFERROR(VLOOKUP(C533,[3]Sheet2!$C$1:$F$1223,3,0),"")</f>
        <v/>
      </c>
      <c r="E533" s="18" t="str">
        <f>IFERROR(VLOOKUP(C533,[3]Sheet2!$C$1:$F$1223,4,0),"")</f>
        <v/>
      </c>
    </row>
    <row r="534" spans="2:5">
      <c r="B534" s="17" t="str">
        <f>IFERROR(VLOOKUP(C534,[3]Sheet2!$C$3:$F$1223,2,0),"")</f>
        <v/>
      </c>
      <c r="D534" s="18" t="str">
        <f>IFERROR(VLOOKUP(C534,[3]Sheet2!$C$1:$F$1223,3,0),"")</f>
        <v/>
      </c>
      <c r="E534" s="18" t="str">
        <f>IFERROR(VLOOKUP(C534,[3]Sheet2!$C$1:$F$1223,4,0),"")</f>
        <v/>
      </c>
    </row>
    <row r="535" spans="2:5">
      <c r="B535" s="17" t="str">
        <f>IFERROR(VLOOKUP(C535,[3]Sheet2!$C$3:$F$1223,2,0),"")</f>
        <v/>
      </c>
      <c r="D535" s="18" t="str">
        <f>IFERROR(VLOOKUP(C535,[3]Sheet2!$C$1:$F$1223,3,0),"")</f>
        <v/>
      </c>
      <c r="E535" s="18" t="str">
        <f>IFERROR(VLOOKUP(C535,[3]Sheet2!$C$1:$F$1223,4,0),"")</f>
        <v/>
      </c>
    </row>
    <row r="536" spans="2:5">
      <c r="B536" s="17" t="str">
        <f>IFERROR(VLOOKUP(C536,[3]Sheet2!$C$3:$F$1223,2,0),"")</f>
        <v/>
      </c>
      <c r="D536" s="18" t="str">
        <f>IFERROR(VLOOKUP(C536,[3]Sheet2!$C$1:$F$1223,3,0),"")</f>
        <v/>
      </c>
      <c r="E536" s="18" t="str">
        <f>IFERROR(VLOOKUP(C536,[3]Sheet2!$C$1:$F$1223,4,0),"")</f>
        <v/>
      </c>
    </row>
    <row r="537" spans="2:5">
      <c r="B537" s="17" t="str">
        <f>IFERROR(VLOOKUP(C537,[3]Sheet2!$C$3:$F$1223,2,0),"")</f>
        <v/>
      </c>
      <c r="D537" s="18" t="str">
        <f>IFERROR(VLOOKUP(C537,[3]Sheet2!$C$1:$F$1223,3,0),"")</f>
        <v/>
      </c>
      <c r="E537" s="18" t="str">
        <f>IFERROR(VLOOKUP(C537,[3]Sheet2!$C$1:$F$1223,4,0),"")</f>
        <v/>
      </c>
    </row>
    <row r="538" spans="2:5">
      <c r="B538" s="17" t="str">
        <f>IFERROR(VLOOKUP(C538,[3]Sheet2!$C$3:$F$1223,2,0),"")</f>
        <v/>
      </c>
      <c r="D538" s="18" t="str">
        <f>IFERROR(VLOOKUP(C538,[3]Sheet2!$C$1:$F$1223,3,0),"")</f>
        <v/>
      </c>
      <c r="E538" s="18" t="str">
        <f>IFERROR(VLOOKUP(C538,[3]Sheet2!$C$1:$F$1223,4,0),"")</f>
        <v/>
      </c>
    </row>
    <row r="539" spans="2:5">
      <c r="B539" s="17" t="str">
        <f>IFERROR(VLOOKUP(C539,[3]Sheet2!$C$3:$F$1223,2,0),"")</f>
        <v/>
      </c>
      <c r="D539" s="18" t="str">
        <f>IFERROR(VLOOKUP(C539,[3]Sheet2!$C$1:$F$1223,3,0),"")</f>
        <v/>
      </c>
      <c r="E539" s="18" t="str">
        <f>IFERROR(VLOOKUP(C539,[3]Sheet2!$C$1:$F$1223,4,0),"")</f>
        <v/>
      </c>
    </row>
    <row r="540" spans="2:5">
      <c r="B540" s="17" t="str">
        <f>IFERROR(VLOOKUP(C540,[3]Sheet2!$C$3:$F$1223,2,0),"")</f>
        <v/>
      </c>
      <c r="D540" s="18" t="str">
        <f>IFERROR(VLOOKUP(C540,[3]Sheet2!$C$1:$F$1223,3,0),"")</f>
        <v/>
      </c>
      <c r="E540" s="18" t="str">
        <f>IFERROR(VLOOKUP(C540,[3]Sheet2!$C$1:$F$1223,4,0),"")</f>
        <v/>
      </c>
    </row>
    <row r="541" spans="2:5">
      <c r="B541" s="17" t="str">
        <f>IFERROR(VLOOKUP(C541,[3]Sheet2!$C$3:$F$1223,2,0),"")</f>
        <v/>
      </c>
      <c r="D541" s="18" t="str">
        <f>IFERROR(VLOOKUP(C541,[3]Sheet2!$C$1:$F$1223,3,0),"")</f>
        <v/>
      </c>
      <c r="E541" s="18" t="str">
        <f>IFERROR(VLOOKUP(C541,[3]Sheet2!$C$1:$F$1223,4,0),"")</f>
        <v/>
      </c>
    </row>
    <row r="542" spans="2:5">
      <c r="B542" s="17" t="str">
        <f>IFERROR(VLOOKUP(C542,[3]Sheet2!$C$3:$F$1223,2,0),"")</f>
        <v/>
      </c>
      <c r="D542" s="18" t="str">
        <f>IFERROR(VLOOKUP(C542,[3]Sheet2!$C$1:$F$1223,3,0),"")</f>
        <v/>
      </c>
      <c r="E542" s="18" t="str">
        <f>IFERROR(VLOOKUP(C542,[3]Sheet2!$C$1:$F$1223,4,0),"")</f>
        <v/>
      </c>
    </row>
    <row r="543" spans="2:5">
      <c r="B543" s="17" t="str">
        <f>IFERROR(VLOOKUP(C543,[3]Sheet2!$C$3:$F$1223,2,0),"")</f>
        <v/>
      </c>
      <c r="D543" s="18" t="str">
        <f>IFERROR(VLOOKUP(C543,[3]Sheet2!$C$1:$F$1223,3,0),"")</f>
        <v/>
      </c>
      <c r="E543" s="18" t="str">
        <f>IFERROR(VLOOKUP(C543,[3]Sheet2!$C$1:$F$1223,4,0),"")</f>
        <v/>
      </c>
    </row>
    <row r="544" spans="2:5">
      <c r="B544" s="17" t="str">
        <f>IFERROR(VLOOKUP(C544,[3]Sheet2!$C$3:$F$1223,2,0),"")</f>
        <v/>
      </c>
      <c r="D544" s="18" t="str">
        <f>IFERROR(VLOOKUP(C544,[3]Sheet2!$C$1:$F$1223,3,0),"")</f>
        <v/>
      </c>
      <c r="E544" s="18" t="str">
        <f>IFERROR(VLOOKUP(C544,[3]Sheet2!$C$1:$F$1223,4,0),"")</f>
        <v/>
      </c>
    </row>
    <row r="545" spans="2:5">
      <c r="B545" s="17" t="str">
        <f>IFERROR(VLOOKUP(C545,[3]Sheet2!$C$3:$F$1223,2,0),"")</f>
        <v/>
      </c>
      <c r="D545" s="18" t="str">
        <f>IFERROR(VLOOKUP(C545,[3]Sheet2!$C$1:$F$1223,3,0),"")</f>
        <v/>
      </c>
      <c r="E545" s="18" t="str">
        <f>IFERROR(VLOOKUP(C545,[3]Sheet2!$C$1:$F$1223,4,0),"")</f>
        <v/>
      </c>
    </row>
    <row r="546" spans="2:5">
      <c r="B546" s="17" t="str">
        <f>IFERROR(VLOOKUP(C546,[3]Sheet2!$C$3:$F$1223,2,0),"")</f>
        <v/>
      </c>
      <c r="D546" s="18" t="str">
        <f>IFERROR(VLOOKUP(C546,[3]Sheet2!$C$1:$F$1223,3,0),"")</f>
        <v/>
      </c>
      <c r="E546" s="18" t="str">
        <f>IFERROR(VLOOKUP(C546,[3]Sheet2!$C$1:$F$1223,4,0),"")</f>
        <v/>
      </c>
    </row>
    <row r="547" spans="2:5">
      <c r="B547" s="17" t="str">
        <f>IFERROR(VLOOKUP(C547,[3]Sheet2!$C$3:$F$1223,2,0),"")</f>
        <v/>
      </c>
      <c r="D547" s="18" t="str">
        <f>IFERROR(VLOOKUP(C547,[3]Sheet2!$C$1:$F$1223,3,0),"")</f>
        <v/>
      </c>
      <c r="E547" s="18" t="str">
        <f>IFERROR(VLOOKUP(C547,[3]Sheet2!$C$1:$F$1223,4,0),"")</f>
        <v/>
      </c>
    </row>
    <row r="548" spans="2:5">
      <c r="B548" s="17" t="str">
        <f>IFERROR(VLOOKUP(C548,[3]Sheet2!$C$3:$F$1223,2,0),"")</f>
        <v/>
      </c>
      <c r="D548" s="18" t="str">
        <f>IFERROR(VLOOKUP(C548,[3]Sheet2!$C$1:$F$1223,3,0),"")</f>
        <v/>
      </c>
      <c r="E548" s="18" t="str">
        <f>IFERROR(VLOOKUP(C548,[3]Sheet2!$C$1:$F$1223,4,0),"")</f>
        <v/>
      </c>
    </row>
    <row r="549" spans="2:5">
      <c r="B549" s="17" t="str">
        <f>IFERROR(VLOOKUP(C549,[3]Sheet2!$C$3:$F$1223,2,0),"")</f>
        <v/>
      </c>
      <c r="D549" s="18" t="str">
        <f>IFERROR(VLOOKUP(C549,[3]Sheet2!$C$1:$F$1223,3,0),"")</f>
        <v/>
      </c>
      <c r="E549" s="18" t="str">
        <f>IFERROR(VLOOKUP(C549,[3]Sheet2!$C$1:$F$1223,4,0),"")</f>
        <v/>
      </c>
    </row>
    <row r="550" spans="2:5">
      <c r="B550" s="17" t="str">
        <f>IFERROR(VLOOKUP(C550,[3]Sheet2!$C$3:$F$1223,2,0),"")</f>
        <v/>
      </c>
      <c r="D550" s="18" t="str">
        <f>IFERROR(VLOOKUP(C550,[3]Sheet2!$C$1:$F$1223,3,0),"")</f>
        <v/>
      </c>
      <c r="E550" s="18" t="str">
        <f>IFERROR(VLOOKUP(C550,[3]Sheet2!$C$1:$F$1223,4,0),"")</f>
        <v/>
      </c>
    </row>
    <row r="551" spans="2:5">
      <c r="B551" s="17" t="str">
        <f>IFERROR(VLOOKUP(C551,[3]Sheet2!$C$3:$F$1223,2,0),"")</f>
        <v/>
      </c>
      <c r="D551" s="18" t="str">
        <f>IFERROR(VLOOKUP(C551,[3]Sheet2!$C$1:$F$1223,3,0),"")</f>
        <v/>
      </c>
      <c r="E551" s="18" t="str">
        <f>IFERROR(VLOOKUP(C551,[3]Sheet2!$C$1:$F$1223,4,0),"")</f>
        <v/>
      </c>
    </row>
    <row r="552" spans="2:5">
      <c r="B552" s="17" t="str">
        <f>IFERROR(VLOOKUP(C552,[3]Sheet2!$C$3:$F$1223,2,0),"")</f>
        <v/>
      </c>
      <c r="D552" s="18" t="str">
        <f>IFERROR(VLOOKUP(C552,[3]Sheet2!$C$1:$F$1223,3,0),"")</f>
        <v/>
      </c>
      <c r="E552" s="18" t="str">
        <f>IFERROR(VLOOKUP(C552,[3]Sheet2!$C$1:$F$1223,4,0),"")</f>
        <v/>
      </c>
    </row>
    <row r="553" spans="2:5">
      <c r="B553" s="17" t="str">
        <f>IFERROR(VLOOKUP(C553,[3]Sheet2!$C$3:$F$1223,2,0),"")</f>
        <v/>
      </c>
      <c r="D553" s="18" t="str">
        <f>IFERROR(VLOOKUP(C553,[3]Sheet2!$C$1:$F$1223,3,0),"")</f>
        <v/>
      </c>
      <c r="E553" s="18" t="str">
        <f>IFERROR(VLOOKUP(C553,[3]Sheet2!$C$1:$F$1223,4,0),"")</f>
        <v/>
      </c>
    </row>
    <row r="554" spans="2:5">
      <c r="B554" s="17" t="str">
        <f>IFERROR(VLOOKUP(C554,[3]Sheet2!$C$3:$F$1223,2,0),"")</f>
        <v/>
      </c>
      <c r="D554" s="18" t="str">
        <f>IFERROR(VLOOKUP(C554,[3]Sheet2!$C$1:$F$1223,3,0),"")</f>
        <v/>
      </c>
      <c r="E554" s="18" t="str">
        <f>IFERROR(VLOOKUP(C554,[3]Sheet2!$C$1:$F$1223,4,0),"")</f>
        <v/>
      </c>
    </row>
    <row r="555" spans="2:5">
      <c r="B555" s="17" t="str">
        <f>IFERROR(VLOOKUP(C555,[3]Sheet2!$C$3:$F$1223,2,0),"")</f>
        <v/>
      </c>
      <c r="D555" s="18" t="str">
        <f>IFERROR(VLOOKUP(C555,[3]Sheet2!$C$1:$F$1223,3,0),"")</f>
        <v/>
      </c>
      <c r="E555" s="18" t="str">
        <f>IFERROR(VLOOKUP(C555,[3]Sheet2!$C$1:$F$1223,4,0),"")</f>
        <v/>
      </c>
    </row>
    <row r="556" spans="2:5">
      <c r="B556" s="17" t="str">
        <f>IFERROR(VLOOKUP(C556,[3]Sheet2!$C$3:$F$1223,2,0),"")</f>
        <v/>
      </c>
      <c r="D556" s="18" t="str">
        <f>IFERROR(VLOOKUP(C556,[3]Sheet2!$C$1:$F$1223,3,0),"")</f>
        <v/>
      </c>
      <c r="E556" s="18" t="str">
        <f>IFERROR(VLOOKUP(C556,[3]Sheet2!$C$1:$F$1223,4,0),"")</f>
        <v/>
      </c>
    </row>
    <row r="557" spans="2:5">
      <c r="B557" s="17" t="str">
        <f>IFERROR(VLOOKUP(C557,[3]Sheet2!$C$3:$F$1223,2,0),"")</f>
        <v/>
      </c>
      <c r="D557" s="18" t="str">
        <f>IFERROR(VLOOKUP(C557,[3]Sheet2!$C$1:$F$1223,3,0),"")</f>
        <v/>
      </c>
      <c r="E557" s="18" t="str">
        <f>IFERROR(VLOOKUP(C557,[3]Sheet2!$C$1:$F$1223,4,0),"")</f>
        <v/>
      </c>
    </row>
    <row r="558" spans="2:5">
      <c r="B558" s="17" t="str">
        <f>IFERROR(VLOOKUP(C558,[3]Sheet2!$C$3:$F$1223,2,0),"")</f>
        <v/>
      </c>
      <c r="D558" s="18" t="str">
        <f>IFERROR(VLOOKUP(C558,[3]Sheet2!$C$1:$F$1223,3,0),"")</f>
        <v/>
      </c>
      <c r="E558" s="18" t="str">
        <f>IFERROR(VLOOKUP(C558,[3]Sheet2!$C$1:$F$1223,4,0),"")</f>
        <v/>
      </c>
    </row>
    <row r="559" spans="2:5">
      <c r="B559" s="17" t="str">
        <f>IFERROR(VLOOKUP(C559,[3]Sheet2!$C$3:$F$1223,2,0),"")</f>
        <v/>
      </c>
      <c r="D559" s="18" t="str">
        <f>IFERROR(VLOOKUP(C559,[3]Sheet2!$C$1:$F$1223,3,0),"")</f>
        <v/>
      </c>
      <c r="E559" s="18" t="str">
        <f>IFERROR(VLOOKUP(C559,[3]Sheet2!$C$1:$F$1223,4,0),"")</f>
        <v/>
      </c>
    </row>
    <row r="560" spans="2:5">
      <c r="B560" s="17" t="str">
        <f>IFERROR(VLOOKUP(C560,[3]Sheet2!$C$3:$F$1223,2,0),"")</f>
        <v/>
      </c>
      <c r="D560" s="18" t="str">
        <f>IFERROR(VLOOKUP(C560,[3]Sheet2!$C$1:$F$1223,3,0),"")</f>
        <v/>
      </c>
      <c r="E560" s="18" t="str">
        <f>IFERROR(VLOOKUP(C560,[3]Sheet2!$C$1:$F$1223,4,0),"")</f>
        <v/>
      </c>
    </row>
    <row r="561" spans="2:5">
      <c r="B561" s="17" t="str">
        <f>IFERROR(VLOOKUP(C561,[3]Sheet2!$C$3:$F$1223,2,0),"")</f>
        <v/>
      </c>
      <c r="D561" s="18" t="str">
        <f>IFERROR(VLOOKUP(C561,[3]Sheet2!$C$1:$F$1223,3,0),"")</f>
        <v/>
      </c>
      <c r="E561" s="18" t="str">
        <f>IFERROR(VLOOKUP(C561,[3]Sheet2!$C$1:$F$1223,4,0),"")</f>
        <v/>
      </c>
    </row>
    <row r="562" spans="2:5">
      <c r="B562" s="17" t="str">
        <f>IFERROR(VLOOKUP(C562,[3]Sheet2!$C$3:$F$1223,2,0),"")</f>
        <v/>
      </c>
      <c r="D562" s="18" t="str">
        <f>IFERROR(VLOOKUP(C562,[3]Sheet2!$C$1:$F$1223,3,0),"")</f>
        <v/>
      </c>
      <c r="E562" s="18" t="str">
        <f>IFERROR(VLOOKUP(C562,[3]Sheet2!$C$1:$F$1223,4,0),"")</f>
        <v/>
      </c>
    </row>
    <row r="563" spans="2:5">
      <c r="B563" s="17" t="str">
        <f>IFERROR(VLOOKUP(C563,[3]Sheet2!$C$3:$F$1223,2,0),"")</f>
        <v/>
      </c>
      <c r="D563" s="18" t="str">
        <f>IFERROR(VLOOKUP(C563,[3]Sheet2!$C$1:$F$1223,3,0),"")</f>
        <v/>
      </c>
      <c r="E563" s="18" t="str">
        <f>IFERROR(VLOOKUP(C563,[3]Sheet2!$C$1:$F$1223,4,0),"")</f>
        <v/>
      </c>
    </row>
    <row r="564" spans="2:5">
      <c r="B564" s="17" t="str">
        <f>IFERROR(VLOOKUP(C564,[3]Sheet2!$C$3:$F$1223,2,0),"")</f>
        <v/>
      </c>
      <c r="D564" s="18" t="str">
        <f>IFERROR(VLOOKUP(C564,[3]Sheet2!$C$1:$F$1223,3,0),"")</f>
        <v/>
      </c>
      <c r="E564" s="18" t="str">
        <f>IFERROR(VLOOKUP(C564,[3]Sheet2!$C$1:$F$1223,4,0),"")</f>
        <v/>
      </c>
    </row>
    <row r="565" spans="2:5">
      <c r="B565" s="17" t="str">
        <f>IFERROR(VLOOKUP(C565,[3]Sheet2!$C$3:$F$1223,2,0),"")</f>
        <v/>
      </c>
      <c r="D565" s="18" t="str">
        <f>IFERROR(VLOOKUP(C565,[3]Sheet2!$C$1:$F$1223,3,0),"")</f>
        <v/>
      </c>
      <c r="E565" s="18" t="str">
        <f>IFERROR(VLOOKUP(C565,[3]Sheet2!$C$1:$F$1223,4,0),"")</f>
        <v/>
      </c>
    </row>
    <row r="566" spans="2:5">
      <c r="B566" s="17" t="str">
        <f>IFERROR(VLOOKUP(C566,[3]Sheet2!$C$3:$F$1223,2,0),"")</f>
        <v/>
      </c>
      <c r="D566" s="18" t="str">
        <f>IFERROR(VLOOKUP(C566,[3]Sheet2!$C$1:$F$1223,3,0),"")</f>
        <v/>
      </c>
      <c r="E566" s="18" t="str">
        <f>IFERROR(VLOOKUP(C566,[3]Sheet2!$C$1:$F$1223,4,0),"")</f>
        <v/>
      </c>
    </row>
    <row r="567" spans="2:5">
      <c r="B567" s="17" t="str">
        <f>IFERROR(VLOOKUP(C567,[3]Sheet2!$C$3:$F$1223,2,0),"")</f>
        <v/>
      </c>
      <c r="D567" s="18" t="str">
        <f>IFERROR(VLOOKUP(C567,[3]Sheet2!$C$1:$F$1223,3,0),"")</f>
        <v/>
      </c>
      <c r="E567" s="18" t="str">
        <f>IFERROR(VLOOKUP(C567,[3]Sheet2!$C$1:$F$1223,4,0),"")</f>
        <v/>
      </c>
    </row>
    <row r="568" spans="2:5">
      <c r="B568" s="17" t="str">
        <f>IFERROR(VLOOKUP(C568,[3]Sheet2!$C$3:$F$1223,2,0),"")</f>
        <v/>
      </c>
      <c r="D568" s="18" t="str">
        <f>IFERROR(VLOOKUP(C568,[3]Sheet2!$C$1:$F$1223,3,0),"")</f>
        <v/>
      </c>
      <c r="E568" s="18" t="str">
        <f>IFERROR(VLOOKUP(C568,[3]Sheet2!$C$1:$F$1223,4,0),"")</f>
        <v/>
      </c>
    </row>
    <row r="569" spans="2:5">
      <c r="B569" s="17" t="str">
        <f>IFERROR(VLOOKUP(C569,[3]Sheet2!$C$3:$F$1223,2,0),"")</f>
        <v/>
      </c>
      <c r="D569" s="18" t="str">
        <f>IFERROR(VLOOKUP(C569,[3]Sheet2!$C$1:$F$1223,3,0),"")</f>
        <v/>
      </c>
      <c r="E569" s="18" t="str">
        <f>IFERROR(VLOOKUP(C569,[3]Sheet2!$C$1:$F$1223,4,0),"")</f>
        <v/>
      </c>
    </row>
    <row r="570" spans="2:5">
      <c r="B570" s="17" t="str">
        <f>IFERROR(VLOOKUP(C570,[3]Sheet2!$C$3:$F$1223,2,0),"")</f>
        <v/>
      </c>
      <c r="D570" s="18" t="str">
        <f>IFERROR(VLOOKUP(C570,[3]Sheet2!$C$1:$F$1223,3,0),"")</f>
        <v/>
      </c>
      <c r="E570" s="18" t="str">
        <f>IFERROR(VLOOKUP(C570,[3]Sheet2!$C$1:$F$1223,4,0),"")</f>
        <v/>
      </c>
    </row>
    <row r="571" spans="2:5">
      <c r="B571" s="17" t="str">
        <f>IFERROR(VLOOKUP(C571,[3]Sheet2!$C$3:$F$1223,2,0),"")</f>
        <v/>
      </c>
      <c r="D571" s="18" t="str">
        <f>IFERROR(VLOOKUP(C571,[3]Sheet2!$C$1:$F$1223,3,0),"")</f>
        <v/>
      </c>
      <c r="E571" s="18" t="str">
        <f>IFERROR(VLOOKUP(C571,[3]Sheet2!$C$1:$F$1223,4,0),"")</f>
        <v/>
      </c>
    </row>
    <row r="572" spans="2:5">
      <c r="B572" s="17" t="str">
        <f>IFERROR(VLOOKUP(C572,[3]Sheet2!$C$3:$F$1223,2,0),"")</f>
        <v/>
      </c>
      <c r="D572" s="18" t="str">
        <f>IFERROR(VLOOKUP(C572,[3]Sheet2!$C$1:$F$1223,3,0),"")</f>
        <v/>
      </c>
      <c r="E572" s="18" t="str">
        <f>IFERROR(VLOOKUP(C572,[3]Sheet2!$C$1:$F$1223,4,0),"")</f>
        <v/>
      </c>
    </row>
    <row r="573" spans="2:5">
      <c r="B573" s="17" t="str">
        <f>IFERROR(VLOOKUP(C573,[3]Sheet2!$C$3:$F$1223,2,0),"")</f>
        <v/>
      </c>
      <c r="D573" s="18" t="str">
        <f>IFERROR(VLOOKUP(C573,[3]Sheet2!$C$1:$F$1223,3,0),"")</f>
        <v/>
      </c>
      <c r="E573" s="18" t="str">
        <f>IFERROR(VLOOKUP(C573,[3]Sheet2!$C$1:$F$1223,4,0),"")</f>
        <v/>
      </c>
    </row>
    <row r="574" spans="2:5">
      <c r="B574" s="17" t="str">
        <f>IFERROR(VLOOKUP(C574,[3]Sheet2!$C$3:$F$1223,2,0),"")</f>
        <v/>
      </c>
      <c r="D574" s="18" t="str">
        <f>IFERROR(VLOOKUP(C574,[3]Sheet2!$C$1:$F$1223,3,0),"")</f>
        <v/>
      </c>
      <c r="E574" s="18" t="str">
        <f>IFERROR(VLOOKUP(C574,[3]Sheet2!$C$1:$F$1223,4,0),"")</f>
        <v/>
      </c>
    </row>
    <row r="575" spans="2:5">
      <c r="B575" s="17" t="str">
        <f>IFERROR(VLOOKUP(C575,[3]Sheet2!$C$3:$F$1223,2,0),"")</f>
        <v/>
      </c>
      <c r="D575" s="18" t="str">
        <f>IFERROR(VLOOKUP(C575,[3]Sheet2!$C$1:$F$1223,3,0),"")</f>
        <v/>
      </c>
      <c r="E575" s="18" t="str">
        <f>IFERROR(VLOOKUP(C575,[3]Sheet2!$C$1:$F$1223,4,0),"")</f>
        <v/>
      </c>
    </row>
    <row r="576" spans="2:5">
      <c r="B576" s="17" t="str">
        <f>IFERROR(VLOOKUP(C576,[3]Sheet2!$C$3:$F$1223,2,0),"")</f>
        <v/>
      </c>
      <c r="D576" s="18" t="str">
        <f>IFERROR(VLOOKUP(C576,[3]Sheet2!$C$1:$F$1223,3,0),"")</f>
        <v/>
      </c>
      <c r="E576" s="18" t="str">
        <f>IFERROR(VLOOKUP(C576,[3]Sheet2!$C$1:$F$1223,4,0),"")</f>
        <v/>
      </c>
    </row>
    <row r="577" spans="2:5">
      <c r="B577" s="17" t="str">
        <f>IFERROR(VLOOKUP(C577,[3]Sheet2!$C$3:$F$1223,2,0),"")</f>
        <v/>
      </c>
      <c r="D577" s="18" t="str">
        <f>IFERROR(VLOOKUP(C577,[3]Sheet2!$C$1:$F$1223,3,0),"")</f>
        <v/>
      </c>
      <c r="E577" s="18" t="str">
        <f>IFERROR(VLOOKUP(C577,[3]Sheet2!$C$1:$F$1223,4,0),"")</f>
        <v/>
      </c>
    </row>
    <row r="578" spans="2:5">
      <c r="B578" s="17" t="str">
        <f>IFERROR(VLOOKUP(C578,[3]Sheet2!$C$3:$F$1223,2,0),"")</f>
        <v/>
      </c>
      <c r="D578" s="18" t="str">
        <f>IFERROR(VLOOKUP(C578,[3]Sheet2!$C$1:$F$1223,3,0),"")</f>
        <v/>
      </c>
      <c r="E578" s="18" t="str">
        <f>IFERROR(VLOOKUP(C578,[3]Sheet2!$C$1:$F$1223,4,0),"")</f>
        <v/>
      </c>
    </row>
    <row r="579" spans="2:5">
      <c r="B579" s="17" t="str">
        <f>IFERROR(VLOOKUP(C579,[3]Sheet2!$C$3:$F$1223,2,0),"")</f>
        <v/>
      </c>
      <c r="D579" s="18" t="str">
        <f>IFERROR(VLOOKUP(C579,[3]Sheet2!$C$1:$F$1223,3,0),"")</f>
        <v/>
      </c>
      <c r="E579" s="18" t="str">
        <f>IFERROR(VLOOKUP(C579,[3]Sheet2!$C$1:$F$1223,4,0),"")</f>
        <v/>
      </c>
    </row>
    <row r="580" spans="2:5">
      <c r="B580" s="17" t="str">
        <f>IFERROR(VLOOKUP(C580,[3]Sheet2!$C$3:$F$1223,2,0),"")</f>
        <v/>
      </c>
      <c r="D580" s="18" t="str">
        <f>IFERROR(VLOOKUP(C580,[3]Sheet2!$C$1:$F$1223,3,0),"")</f>
        <v/>
      </c>
      <c r="E580" s="18" t="str">
        <f>IFERROR(VLOOKUP(C580,[3]Sheet2!$C$1:$F$1223,4,0),"")</f>
        <v/>
      </c>
    </row>
    <row r="581" spans="2:5">
      <c r="B581" s="17" t="str">
        <f>IFERROR(VLOOKUP(C581,[3]Sheet2!$C$3:$F$1223,2,0),"")</f>
        <v/>
      </c>
      <c r="D581" s="18" t="str">
        <f>IFERROR(VLOOKUP(C581,[3]Sheet2!$C$1:$F$1223,3,0),"")</f>
        <v/>
      </c>
      <c r="E581" s="18" t="str">
        <f>IFERROR(VLOOKUP(C581,[3]Sheet2!$C$1:$F$1223,4,0),"")</f>
        <v/>
      </c>
    </row>
    <row r="582" spans="2:5">
      <c r="B582" s="17" t="str">
        <f>IFERROR(VLOOKUP(C582,[3]Sheet2!$C$3:$F$1223,2,0),"")</f>
        <v/>
      </c>
      <c r="D582" s="18" t="str">
        <f>IFERROR(VLOOKUP(C582,[3]Sheet2!$C$1:$F$1223,3,0),"")</f>
        <v/>
      </c>
      <c r="E582" s="18" t="str">
        <f>IFERROR(VLOOKUP(C582,[3]Sheet2!$C$1:$F$1223,4,0),"")</f>
        <v/>
      </c>
    </row>
    <row r="583" spans="2:5">
      <c r="B583" s="17" t="str">
        <f>IFERROR(VLOOKUP(C583,[3]Sheet2!$C$3:$F$1223,2,0),"")</f>
        <v/>
      </c>
      <c r="D583" s="18" t="str">
        <f>IFERROR(VLOOKUP(C583,[3]Sheet2!$C$1:$F$1223,3,0),"")</f>
        <v/>
      </c>
      <c r="E583" s="18" t="str">
        <f>IFERROR(VLOOKUP(C583,[3]Sheet2!$C$1:$F$1223,4,0),"")</f>
        <v/>
      </c>
    </row>
    <row r="584" spans="2:5">
      <c r="B584" s="17" t="str">
        <f>IFERROR(VLOOKUP(C584,[3]Sheet2!$C$3:$F$1223,2,0),"")</f>
        <v/>
      </c>
      <c r="D584" s="18" t="str">
        <f>IFERROR(VLOOKUP(C584,[3]Sheet2!$C$1:$F$1223,3,0),"")</f>
        <v/>
      </c>
      <c r="E584" s="18" t="str">
        <f>IFERROR(VLOOKUP(C584,[3]Sheet2!$C$1:$F$1223,4,0),"")</f>
        <v/>
      </c>
    </row>
    <row r="585" spans="2:5">
      <c r="B585" s="17" t="str">
        <f>IFERROR(VLOOKUP(C585,[3]Sheet2!$C$3:$F$1223,2,0),"")</f>
        <v/>
      </c>
      <c r="D585" s="18" t="str">
        <f>IFERROR(VLOOKUP(C585,[3]Sheet2!$C$1:$F$1223,3,0),"")</f>
        <v/>
      </c>
      <c r="E585" s="18" t="str">
        <f>IFERROR(VLOOKUP(C585,[3]Sheet2!$C$1:$F$1223,4,0),"")</f>
        <v/>
      </c>
    </row>
    <row r="586" spans="2:5">
      <c r="B586" s="17" t="str">
        <f>IFERROR(VLOOKUP(C586,[3]Sheet2!$C$3:$F$1223,2,0),"")</f>
        <v/>
      </c>
      <c r="D586" s="18" t="str">
        <f>IFERROR(VLOOKUP(C586,[3]Sheet2!$C$1:$F$1223,3,0),"")</f>
        <v/>
      </c>
      <c r="E586" s="18" t="str">
        <f>IFERROR(VLOOKUP(C586,[3]Sheet2!$C$1:$F$1223,4,0),"")</f>
        <v/>
      </c>
    </row>
    <row r="587" spans="2:5">
      <c r="B587" s="17" t="str">
        <f>IFERROR(VLOOKUP(C587,[3]Sheet2!$C$3:$F$1223,2,0),"")</f>
        <v/>
      </c>
      <c r="D587" s="18" t="str">
        <f>IFERROR(VLOOKUP(C587,[3]Sheet2!$C$1:$F$1223,3,0),"")</f>
        <v/>
      </c>
      <c r="E587" s="18" t="str">
        <f>IFERROR(VLOOKUP(C587,[3]Sheet2!$C$1:$F$1223,4,0),"")</f>
        <v/>
      </c>
    </row>
    <row r="588" spans="2:5">
      <c r="B588" s="17" t="str">
        <f>IFERROR(VLOOKUP(C588,[3]Sheet2!$C$3:$F$1223,2,0),"")</f>
        <v/>
      </c>
      <c r="D588" s="18" t="str">
        <f>IFERROR(VLOOKUP(C588,[3]Sheet2!$C$1:$F$1223,3,0),"")</f>
        <v/>
      </c>
      <c r="E588" s="18" t="str">
        <f>IFERROR(VLOOKUP(C588,[3]Sheet2!$C$1:$F$1223,4,0),"")</f>
        <v/>
      </c>
    </row>
    <row r="589" spans="2:5">
      <c r="B589" s="17" t="str">
        <f>IFERROR(VLOOKUP(C589,[3]Sheet2!$C$3:$F$1223,2,0),"")</f>
        <v/>
      </c>
      <c r="D589" s="18" t="str">
        <f>IFERROR(VLOOKUP(C589,[3]Sheet2!$C$1:$F$1223,3,0),"")</f>
        <v/>
      </c>
      <c r="E589" s="18" t="str">
        <f>IFERROR(VLOOKUP(C589,[3]Sheet2!$C$1:$F$1223,4,0),"")</f>
        <v/>
      </c>
    </row>
    <row r="590" spans="2:5">
      <c r="B590" s="17" t="str">
        <f>IFERROR(VLOOKUP(C590,[3]Sheet2!$C$3:$F$1223,2,0),"")</f>
        <v/>
      </c>
      <c r="D590" s="18" t="str">
        <f>IFERROR(VLOOKUP(C590,[3]Sheet2!$C$1:$F$1223,3,0),"")</f>
        <v/>
      </c>
      <c r="E590" s="18" t="str">
        <f>IFERROR(VLOOKUP(C590,[3]Sheet2!$C$1:$F$1223,4,0),"")</f>
        <v/>
      </c>
    </row>
    <row r="591" spans="2:5">
      <c r="B591" s="17" t="str">
        <f>IFERROR(VLOOKUP(C591,[3]Sheet2!$C$3:$F$1223,2,0),"")</f>
        <v/>
      </c>
      <c r="D591" s="18" t="str">
        <f>IFERROR(VLOOKUP(C591,[3]Sheet2!$C$1:$F$1223,3,0),"")</f>
        <v/>
      </c>
      <c r="E591" s="18" t="str">
        <f>IFERROR(VLOOKUP(C591,[3]Sheet2!$C$1:$F$1223,4,0),"")</f>
        <v/>
      </c>
    </row>
    <row r="592" spans="2:5">
      <c r="B592" s="17" t="str">
        <f>IFERROR(VLOOKUP(C592,[3]Sheet2!$C$3:$F$1223,2,0),"")</f>
        <v/>
      </c>
      <c r="D592" s="18" t="str">
        <f>IFERROR(VLOOKUP(C592,[3]Sheet2!$C$1:$F$1223,3,0),"")</f>
        <v/>
      </c>
      <c r="E592" s="18" t="str">
        <f>IFERROR(VLOOKUP(C592,[3]Sheet2!$C$1:$F$1223,4,0),"")</f>
        <v/>
      </c>
    </row>
    <row r="593" spans="2:5">
      <c r="B593" s="17" t="str">
        <f>IFERROR(VLOOKUP(C593,[3]Sheet2!$C$3:$F$1223,2,0),"")</f>
        <v/>
      </c>
      <c r="D593" s="18" t="str">
        <f>IFERROR(VLOOKUP(C593,[3]Sheet2!$C$1:$F$1223,3,0),"")</f>
        <v/>
      </c>
      <c r="E593" s="18" t="str">
        <f>IFERROR(VLOOKUP(C593,[3]Sheet2!$C$1:$F$1223,4,0),"")</f>
        <v/>
      </c>
    </row>
    <row r="594" spans="2:5">
      <c r="B594" s="17" t="str">
        <f>IFERROR(VLOOKUP(C594,[3]Sheet2!$C$3:$F$1223,2,0),"")</f>
        <v/>
      </c>
      <c r="D594" s="18" t="str">
        <f>IFERROR(VLOOKUP(C594,[3]Sheet2!$C$1:$F$1223,3,0),"")</f>
        <v/>
      </c>
      <c r="E594" s="18" t="str">
        <f>IFERROR(VLOOKUP(C594,[3]Sheet2!$C$1:$F$1223,4,0),"")</f>
        <v/>
      </c>
    </row>
    <row r="595" spans="2:5">
      <c r="B595" s="17" t="str">
        <f>IFERROR(VLOOKUP(C595,[3]Sheet2!$C$3:$F$1223,2,0),"")</f>
        <v/>
      </c>
      <c r="D595" s="18" t="str">
        <f>IFERROR(VLOOKUP(C595,[3]Sheet2!$C$1:$F$1223,3,0),"")</f>
        <v/>
      </c>
      <c r="E595" s="18" t="str">
        <f>IFERROR(VLOOKUP(C595,[3]Sheet2!$C$1:$F$1223,4,0),"")</f>
        <v/>
      </c>
    </row>
    <row r="596" spans="2:5">
      <c r="B596" s="17" t="str">
        <f>IFERROR(VLOOKUP(C596,[3]Sheet2!$C$3:$F$1223,2,0),"")</f>
        <v/>
      </c>
      <c r="D596" s="18" t="str">
        <f>IFERROR(VLOOKUP(C596,[3]Sheet2!$C$1:$F$1223,3,0),"")</f>
        <v/>
      </c>
      <c r="E596" s="18" t="str">
        <f>IFERROR(VLOOKUP(C596,[3]Sheet2!$C$1:$F$1223,4,0),"")</f>
        <v/>
      </c>
    </row>
    <row r="597" spans="2:5">
      <c r="B597" s="17" t="str">
        <f>IFERROR(VLOOKUP(C597,[3]Sheet2!$C$3:$F$1223,2,0),"")</f>
        <v/>
      </c>
      <c r="D597" s="18" t="str">
        <f>IFERROR(VLOOKUP(C597,[3]Sheet2!$C$1:$F$1223,3,0),"")</f>
        <v/>
      </c>
      <c r="E597" s="18" t="str">
        <f>IFERROR(VLOOKUP(C597,[3]Sheet2!$C$1:$F$1223,4,0),"")</f>
        <v/>
      </c>
    </row>
    <row r="598" spans="2:5">
      <c r="B598" s="17" t="str">
        <f>IFERROR(VLOOKUP(C598,[3]Sheet2!$C$3:$F$1223,2,0),"")</f>
        <v/>
      </c>
      <c r="D598" s="18" t="str">
        <f>IFERROR(VLOOKUP(C598,[3]Sheet2!$C$1:$F$1223,3,0),"")</f>
        <v/>
      </c>
      <c r="E598" s="18" t="str">
        <f>IFERROR(VLOOKUP(C598,[3]Sheet2!$C$1:$F$1223,4,0),"")</f>
        <v/>
      </c>
    </row>
    <row r="599" spans="2:5">
      <c r="B599" s="17" t="str">
        <f>IFERROR(VLOOKUP(C599,[3]Sheet2!$C$3:$F$1223,2,0),"")</f>
        <v/>
      </c>
      <c r="D599" s="18" t="str">
        <f>IFERROR(VLOOKUP(C599,[3]Sheet2!$C$1:$F$1223,3,0),"")</f>
        <v/>
      </c>
      <c r="E599" s="18" t="str">
        <f>IFERROR(VLOOKUP(C599,[3]Sheet2!$C$1:$F$1223,4,0),"")</f>
        <v/>
      </c>
    </row>
    <row r="600" spans="2:5">
      <c r="B600" s="17" t="str">
        <f>IFERROR(VLOOKUP(C600,[3]Sheet2!$C$3:$F$1223,2,0),"")</f>
        <v/>
      </c>
      <c r="D600" s="18" t="str">
        <f>IFERROR(VLOOKUP(C600,[3]Sheet2!$C$1:$F$1223,3,0),"")</f>
        <v/>
      </c>
      <c r="E600" s="18" t="str">
        <f>IFERROR(VLOOKUP(C600,[3]Sheet2!$C$1:$F$1223,4,0),"")</f>
        <v/>
      </c>
    </row>
    <row r="601" spans="2:5">
      <c r="B601" s="17" t="str">
        <f>IFERROR(VLOOKUP(C601,[3]Sheet2!$C$3:$F$1223,2,0),"")</f>
        <v/>
      </c>
      <c r="D601" s="18" t="str">
        <f>IFERROR(VLOOKUP(C601,[3]Sheet2!$C$1:$F$1223,3,0),"")</f>
        <v/>
      </c>
      <c r="E601" s="18" t="str">
        <f>IFERROR(VLOOKUP(C601,[3]Sheet2!$C$1:$F$1223,4,0),"")</f>
        <v/>
      </c>
    </row>
    <row r="602" spans="2:5">
      <c r="B602" s="17" t="str">
        <f>IFERROR(VLOOKUP(C602,[3]Sheet2!$C$3:$F$1223,2,0),"")</f>
        <v/>
      </c>
      <c r="D602" s="18" t="str">
        <f>IFERROR(VLOOKUP(C602,[3]Sheet2!$C$1:$F$1223,3,0),"")</f>
        <v/>
      </c>
      <c r="E602" s="18" t="str">
        <f>IFERROR(VLOOKUP(C602,[3]Sheet2!$C$1:$F$1223,4,0),"")</f>
        <v/>
      </c>
    </row>
    <row r="603" spans="2:5">
      <c r="B603" s="17" t="str">
        <f>IFERROR(VLOOKUP(C603,[3]Sheet2!$C$3:$F$1223,2,0),"")</f>
        <v/>
      </c>
      <c r="D603" s="18" t="str">
        <f>IFERROR(VLOOKUP(C603,[3]Sheet2!$C$1:$F$1223,3,0),"")</f>
        <v/>
      </c>
      <c r="E603" s="18" t="str">
        <f>IFERROR(VLOOKUP(C603,[3]Sheet2!$C$1:$F$1223,4,0),"")</f>
        <v/>
      </c>
    </row>
    <row r="604" spans="2:5">
      <c r="B604" s="17" t="str">
        <f>IFERROR(VLOOKUP(C604,[3]Sheet2!$C$3:$F$1223,2,0),"")</f>
        <v/>
      </c>
      <c r="D604" s="18" t="str">
        <f>IFERROR(VLOOKUP(C604,[3]Sheet2!$C$1:$F$1223,3,0),"")</f>
        <v/>
      </c>
      <c r="E604" s="18" t="str">
        <f>IFERROR(VLOOKUP(C604,[3]Sheet2!$C$1:$F$1223,4,0),"")</f>
        <v/>
      </c>
    </row>
    <row r="605" spans="2:5">
      <c r="B605" s="17" t="str">
        <f>IFERROR(VLOOKUP(C605,[3]Sheet2!$C$3:$F$1223,2,0),"")</f>
        <v/>
      </c>
      <c r="D605" s="18" t="str">
        <f>IFERROR(VLOOKUP(C605,[3]Sheet2!$C$1:$F$1223,3,0),"")</f>
        <v/>
      </c>
      <c r="E605" s="18" t="str">
        <f>IFERROR(VLOOKUP(C605,[3]Sheet2!$C$1:$F$1223,4,0),"")</f>
        <v/>
      </c>
    </row>
    <row r="606" spans="2:5">
      <c r="B606" s="17" t="str">
        <f>IFERROR(VLOOKUP(C606,[3]Sheet2!$C$3:$F$1223,2,0),"")</f>
        <v/>
      </c>
      <c r="D606" s="18" t="str">
        <f>IFERROR(VLOOKUP(C606,[3]Sheet2!$C$1:$F$1223,3,0),"")</f>
        <v/>
      </c>
      <c r="E606" s="18" t="str">
        <f>IFERROR(VLOOKUP(C606,[3]Sheet2!$C$1:$F$1223,4,0),"")</f>
        <v/>
      </c>
    </row>
    <row r="607" spans="2:5">
      <c r="B607" s="17" t="str">
        <f>IFERROR(VLOOKUP(C607,[3]Sheet2!$C$3:$F$1223,2,0),"")</f>
        <v/>
      </c>
      <c r="D607" s="18" t="str">
        <f>IFERROR(VLOOKUP(C607,[3]Sheet2!$C$1:$F$1223,3,0),"")</f>
        <v/>
      </c>
      <c r="E607" s="18" t="str">
        <f>IFERROR(VLOOKUP(C607,[3]Sheet2!$C$1:$F$1223,4,0),"")</f>
        <v/>
      </c>
    </row>
    <row r="608" spans="2:5">
      <c r="B608" s="17" t="str">
        <f>IFERROR(VLOOKUP(C608,[3]Sheet2!$C$3:$F$1223,2,0),"")</f>
        <v/>
      </c>
      <c r="D608" s="18" t="str">
        <f>IFERROR(VLOOKUP(C608,[3]Sheet2!$C$1:$F$1223,3,0),"")</f>
        <v/>
      </c>
      <c r="E608" s="18" t="str">
        <f>IFERROR(VLOOKUP(C608,[3]Sheet2!$C$1:$F$1223,4,0),"")</f>
        <v/>
      </c>
    </row>
    <row r="609" spans="2:5">
      <c r="B609" s="17" t="str">
        <f>IFERROR(VLOOKUP(C609,[3]Sheet2!$C$3:$F$1223,2,0),"")</f>
        <v/>
      </c>
      <c r="D609" s="18" t="str">
        <f>IFERROR(VLOOKUP(C609,[3]Sheet2!$C$1:$F$1223,3,0),"")</f>
        <v/>
      </c>
      <c r="E609" s="18" t="str">
        <f>IFERROR(VLOOKUP(C609,[3]Sheet2!$C$1:$F$1223,4,0),"")</f>
        <v/>
      </c>
    </row>
    <row r="610" spans="2:5">
      <c r="B610" s="17" t="str">
        <f>IFERROR(VLOOKUP(C610,[3]Sheet2!$C$3:$F$1223,2,0),"")</f>
        <v/>
      </c>
      <c r="D610" s="18" t="str">
        <f>IFERROR(VLOOKUP(C610,[3]Sheet2!$C$1:$F$1223,3,0),"")</f>
        <v/>
      </c>
      <c r="E610" s="18" t="str">
        <f>IFERROR(VLOOKUP(C610,[3]Sheet2!$C$1:$F$1223,4,0),"")</f>
        <v/>
      </c>
    </row>
    <row r="611" spans="2:5">
      <c r="B611" s="17" t="str">
        <f>IFERROR(VLOOKUP(C611,[3]Sheet2!$C$3:$F$1223,2,0),"")</f>
        <v/>
      </c>
      <c r="D611" s="18" t="str">
        <f>IFERROR(VLOOKUP(C611,[3]Sheet2!$C$1:$F$1223,3,0),"")</f>
        <v/>
      </c>
      <c r="E611" s="18" t="str">
        <f>IFERROR(VLOOKUP(C611,[3]Sheet2!$C$1:$F$1223,4,0),"")</f>
        <v/>
      </c>
    </row>
    <row r="612" spans="2:5">
      <c r="B612" s="17" t="str">
        <f>IFERROR(VLOOKUP(C612,[3]Sheet2!$C$3:$F$1223,2,0),"")</f>
        <v/>
      </c>
      <c r="D612" s="18" t="str">
        <f>IFERROR(VLOOKUP(C612,[3]Sheet2!$C$1:$F$1223,3,0),"")</f>
        <v/>
      </c>
      <c r="E612" s="18" t="str">
        <f>IFERROR(VLOOKUP(C612,[3]Sheet2!$C$1:$F$1223,4,0),"")</f>
        <v/>
      </c>
    </row>
    <row r="613" spans="2:5">
      <c r="B613" s="17" t="str">
        <f>IFERROR(VLOOKUP(C613,[3]Sheet2!$C$3:$F$1223,2,0),"")</f>
        <v/>
      </c>
      <c r="D613" s="18" t="str">
        <f>IFERROR(VLOOKUP(C613,[3]Sheet2!$C$1:$F$1223,3,0),"")</f>
        <v/>
      </c>
      <c r="E613" s="18" t="str">
        <f>IFERROR(VLOOKUP(C613,[3]Sheet2!$C$1:$F$1223,4,0),"")</f>
        <v/>
      </c>
    </row>
    <row r="614" spans="2:5">
      <c r="B614" s="17" t="str">
        <f>IFERROR(VLOOKUP(C614,[3]Sheet2!$C$3:$F$1223,2,0),"")</f>
        <v/>
      </c>
      <c r="D614" s="18" t="str">
        <f>IFERROR(VLOOKUP(C614,[3]Sheet2!$C$1:$F$1223,3,0),"")</f>
        <v/>
      </c>
      <c r="E614" s="18" t="str">
        <f>IFERROR(VLOOKUP(C614,[3]Sheet2!$C$1:$F$1223,4,0),"")</f>
        <v/>
      </c>
    </row>
    <row r="615" spans="2:5">
      <c r="B615" s="17" t="str">
        <f>IFERROR(VLOOKUP(C615,[3]Sheet2!$C$3:$F$1223,2,0),"")</f>
        <v/>
      </c>
      <c r="D615" s="18" t="str">
        <f>IFERROR(VLOOKUP(C615,[3]Sheet2!$C$1:$F$1223,3,0),"")</f>
        <v/>
      </c>
      <c r="E615" s="18" t="str">
        <f>IFERROR(VLOOKUP(C615,[3]Sheet2!$C$1:$F$1223,4,0),"")</f>
        <v/>
      </c>
    </row>
    <row r="616" spans="2:5">
      <c r="B616" s="17" t="str">
        <f>IFERROR(VLOOKUP(C616,[3]Sheet2!$C$3:$F$1223,2,0),"")</f>
        <v/>
      </c>
      <c r="D616" s="18" t="str">
        <f>IFERROR(VLOOKUP(C616,[3]Sheet2!$C$1:$F$1223,3,0),"")</f>
        <v/>
      </c>
      <c r="E616" s="18" t="str">
        <f>IFERROR(VLOOKUP(C616,[3]Sheet2!$C$1:$F$1223,4,0),"")</f>
        <v/>
      </c>
    </row>
    <row r="617" spans="2:5">
      <c r="B617" s="17" t="str">
        <f>IFERROR(VLOOKUP(C617,[3]Sheet2!$C$3:$F$1223,2,0),"")</f>
        <v/>
      </c>
      <c r="D617" s="18" t="str">
        <f>IFERROR(VLOOKUP(C617,[3]Sheet2!$C$1:$F$1223,3,0),"")</f>
        <v/>
      </c>
      <c r="E617" s="18" t="str">
        <f>IFERROR(VLOOKUP(C617,[3]Sheet2!$C$1:$F$1223,4,0),"")</f>
        <v/>
      </c>
    </row>
    <row r="618" spans="2:5">
      <c r="B618" s="17" t="str">
        <f>IFERROR(VLOOKUP(C618,[3]Sheet2!$C$3:$F$1223,2,0),"")</f>
        <v/>
      </c>
      <c r="D618" s="18" t="str">
        <f>IFERROR(VLOOKUP(C618,[3]Sheet2!$C$1:$F$1223,3,0),"")</f>
        <v/>
      </c>
      <c r="E618" s="18" t="str">
        <f>IFERROR(VLOOKUP(C618,[3]Sheet2!$C$1:$F$1223,4,0),"")</f>
        <v/>
      </c>
    </row>
    <row r="619" spans="2:5">
      <c r="B619" s="17" t="str">
        <f>IFERROR(VLOOKUP(C619,[3]Sheet2!$C$3:$F$1223,2,0),"")</f>
        <v/>
      </c>
      <c r="D619" s="18" t="str">
        <f>IFERROR(VLOOKUP(C619,[3]Sheet2!$C$1:$F$1223,3,0),"")</f>
        <v/>
      </c>
      <c r="E619" s="18" t="str">
        <f>IFERROR(VLOOKUP(C619,[3]Sheet2!$C$1:$F$1223,4,0),"")</f>
        <v/>
      </c>
    </row>
    <row r="620" spans="2:5">
      <c r="B620" s="17" t="str">
        <f>IFERROR(VLOOKUP(C620,[3]Sheet2!$C$3:$F$1223,2,0),"")</f>
        <v/>
      </c>
      <c r="D620" s="18" t="str">
        <f>IFERROR(VLOOKUP(C620,[3]Sheet2!$C$1:$F$1223,3,0),"")</f>
        <v/>
      </c>
      <c r="E620" s="18" t="str">
        <f>IFERROR(VLOOKUP(C620,[3]Sheet2!$C$1:$F$1223,4,0),"")</f>
        <v/>
      </c>
    </row>
    <row r="621" spans="2:5">
      <c r="B621" s="17" t="str">
        <f>IFERROR(VLOOKUP(C621,[3]Sheet2!$C$3:$F$1223,2,0),"")</f>
        <v/>
      </c>
      <c r="D621" s="18" t="str">
        <f>IFERROR(VLOOKUP(C621,[3]Sheet2!$C$1:$F$1223,3,0),"")</f>
        <v/>
      </c>
      <c r="E621" s="18" t="str">
        <f>IFERROR(VLOOKUP(C621,[3]Sheet2!$C$1:$F$1223,4,0),"")</f>
        <v/>
      </c>
    </row>
    <row r="622" spans="2:5">
      <c r="B622" s="17" t="str">
        <f>IFERROR(VLOOKUP(C622,[3]Sheet2!$C$3:$F$1223,2,0),"")</f>
        <v/>
      </c>
      <c r="D622" s="18" t="str">
        <f>IFERROR(VLOOKUP(C622,[3]Sheet2!$C$1:$F$1223,3,0),"")</f>
        <v/>
      </c>
      <c r="E622" s="18" t="str">
        <f>IFERROR(VLOOKUP(C622,[3]Sheet2!$C$1:$F$1223,4,0),"")</f>
        <v/>
      </c>
    </row>
    <row r="623" spans="2:5">
      <c r="B623" s="17" t="str">
        <f>IFERROR(VLOOKUP(C623,[3]Sheet2!$C$3:$F$1223,2,0),"")</f>
        <v/>
      </c>
      <c r="D623" s="18" t="str">
        <f>IFERROR(VLOOKUP(C623,[3]Sheet2!$C$1:$F$1223,3,0),"")</f>
        <v/>
      </c>
      <c r="E623" s="18" t="str">
        <f>IFERROR(VLOOKUP(C623,[3]Sheet2!$C$1:$F$1223,4,0),"")</f>
        <v/>
      </c>
    </row>
    <row r="624" spans="2:5">
      <c r="B624" s="17" t="str">
        <f>IFERROR(VLOOKUP(C624,[3]Sheet2!$C$3:$F$1223,2,0),"")</f>
        <v/>
      </c>
      <c r="D624" s="18" t="str">
        <f>IFERROR(VLOOKUP(C624,[3]Sheet2!$C$1:$F$1223,3,0),"")</f>
        <v/>
      </c>
      <c r="E624" s="18" t="str">
        <f>IFERROR(VLOOKUP(C624,[3]Sheet2!$C$1:$F$1223,4,0),"")</f>
        <v/>
      </c>
    </row>
    <row r="625" spans="2:5">
      <c r="B625" s="17" t="str">
        <f>IFERROR(VLOOKUP(C625,[3]Sheet2!$C$3:$F$1223,2,0),"")</f>
        <v/>
      </c>
      <c r="D625" s="18" t="str">
        <f>IFERROR(VLOOKUP(C625,[3]Sheet2!$C$1:$F$1223,3,0),"")</f>
        <v/>
      </c>
      <c r="E625" s="18" t="str">
        <f>IFERROR(VLOOKUP(C625,[3]Sheet2!$C$1:$F$1223,4,0),"")</f>
        <v/>
      </c>
    </row>
    <row r="626" spans="2:5">
      <c r="B626" s="17" t="str">
        <f>IFERROR(VLOOKUP(C626,[3]Sheet2!$C$3:$F$1223,2,0),"")</f>
        <v/>
      </c>
      <c r="D626" s="18" t="str">
        <f>IFERROR(VLOOKUP(C626,[3]Sheet2!$C$1:$F$1223,3,0),"")</f>
        <v/>
      </c>
      <c r="E626" s="18" t="str">
        <f>IFERROR(VLOOKUP(C626,[3]Sheet2!$C$1:$F$1223,4,0),"")</f>
        <v/>
      </c>
    </row>
    <row r="627" spans="2:5">
      <c r="B627" s="17" t="str">
        <f>IFERROR(VLOOKUP(C627,[3]Sheet2!$C$3:$F$1223,2,0),"")</f>
        <v/>
      </c>
      <c r="D627" s="18" t="str">
        <f>IFERROR(VLOOKUP(C627,[3]Sheet2!$C$1:$F$1223,3,0),"")</f>
        <v/>
      </c>
      <c r="E627" s="18" t="str">
        <f>IFERROR(VLOOKUP(C627,[3]Sheet2!$C$1:$F$1223,4,0),"")</f>
        <v/>
      </c>
    </row>
    <row r="628" spans="2:5">
      <c r="B628" s="17" t="str">
        <f>IFERROR(VLOOKUP(C628,[3]Sheet2!$C$3:$F$1223,2,0),"")</f>
        <v/>
      </c>
      <c r="D628" s="18" t="str">
        <f>IFERROR(VLOOKUP(C628,[3]Sheet2!$C$1:$F$1223,3,0),"")</f>
        <v/>
      </c>
      <c r="E628" s="18" t="str">
        <f>IFERROR(VLOOKUP(C628,[3]Sheet2!$C$1:$F$1223,4,0),"")</f>
        <v/>
      </c>
    </row>
    <row r="629" spans="2:5">
      <c r="B629" s="17" t="str">
        <f>IFERROR(VLOOKUP(C629,[3]Sheet2!$C$3:$F$1223,2,0),"")</f>
        <v/>
      </c>
      <c r="D629" s="18" t="str">
        <f>IFERROR(VLOOKUP(C629,[3]Sheet2!$C$1:$F$1223,3,0),"")</f>
        <v/>
      </c>
      <c r="E629" s="18" t="str">
        <f>IFERROR(VLOOKUP(C629,[3]Sheet2!$C$1:$F$1223,4,0),"")</f>
        <v/>
      </c>
    </row>
    <row r="630" spans="2:5">
      <c r="B630" s="17" t="str">
        <f>IFERROR(VLOOKUP(C630,[3]Sheet2!$C$3:$F$1223,2,0),"")</f>
        <v/>
      </c>
      <c r="D630" s="18" t="str">
        <f>IFERROR(VLOOKUP(C630,[3]Sheet2!$C$1:$F$1223,3,0),"")</f>
        <v/>
      </c>
      <c r="E630" s="18" t="str">
        <f>IFERROR(VLOOKUP(C630,[3]Sheet2!$C$1:$F$1223,4,0),"")</f>
        <v/>
      </c>
    </row>
    <row r="631" spans="2:5">
      <c r="B631" s="17" t="str">
        <f>IFERROR(VLOOKUP(C631,[3]Sheet2!$C$3:$F$1223,2,0),"")</f>
        <v/>
      </c>
      <c r="D631" s="18" t="str">
        <f>IFERROR(VLOOKUP(C631,[3]Sheet2!$C$1:$F$1223,3,0),"")</f>
        <v/>
      </c>
      <c r="E631" s="18" t="str">
        <f>IFERROR(VLOOKUP(C631,[3]Sheet2!$C$1:$F$1223,4,0),"")</f>
        <v/>
      </c>
    </row>
    <row r="632" spans="2:5">
      <c r="B632" s="17" t="str">
        <f>IFERROR(VLOOKUP(C632,[3]Sheet2!$C$3:$F$1223,2,0),"")</f>
        <v/>
      </c>
      <c r="D632" s="18" t="str">
        <f>IFERROR(VLOOKUP(C632,[3]Sheet2!$C$1:$F$1223,3,0),"")</f>
        <v/>
      </c>
      <c r="E632" s="18" t="str">
        <f>IFERROR(VLOOKUP(C632,[3]Sheet2!$C$1:$F$1223,4,0),"")</f>
        <v/>
      </c>
    </row>
    <row r="633" spans="2:5">
      <c r="B633" s="17" t="str">
        <f>IFERROR(VLOOKUP(C633,[3]Sheet2!$C$3:$F$1223,2,0),"")</f>
        <v/>
      </c>
      <c r="D633" s="18" t="str">
        <f>IFERROR(VLOOKUP(C633,[3]Sheet2!$C$1:$F$1223,3,0),"")</f>
        <v/>
      </c>
      <c r="E633" s="18" t="str">
        <f>IFERROR(VLOOKUP(C633,[3]Sheet2!$C$1:$F$1223,4,0),"")</f>
        <v/>
      </c>
    </row>
    <row r="634" spans="2:5">
      <c r="B634" s="17" t="str">
        <f>IFERROR(VLOOKUP(C634,[3]Sheet2!$C$3:$F$1223,2,0),"")</f>
        <v/>
      </c>
      <c r="D634" s="18" t="str">
        <f>IFERROR(VLOOKUP(C634,[3]Sheet2!$C$1:$F$1223,3,0),"")</f>
        <v/>
      </c>
      <c r="E634" s="18" t="str">
        <f>IFERROR(VLOOKUP(C634,[3]Sheet2!$C$1:$F$1223,4,0),"")</f>
        <v/>
      </c>
    </row>
    <row r="635" spans="2:5">
      <c r="B635" s="17" t="str">
        <f>IFERROR(VLOOKUP(C635,[3]Sheet2!$C$3:$F$1223,2,0),"")</f>
        <v/>
      </c>
      <c r="D635" s="18" t="str">
        <f>IFERROR(VLOOKUP(C635,[3]Sheet2!$C$1:$F$1223,3,0),"")</f>
        <v/>
      </c>
      <c r="E635" s="18" t="str">
        <f>IFERROR(VLOOKUP(C635,[3]Sheet2!$C$1:$F$1223,4,0),"")</f>
        <v/>
      </c>
    </row>
    <row r="636" spans="2:5">
      <c r="B636" s="17" t="str">
        <f>IFERROR(VLOOKUP(C636,[3]Sheet2!$C$3:$F$1223,2,0),"")</f>
        <v/>
      </c>
      <c r="D636" s="18" t="str">
        <f>IFERROR(VLOOKUP(C636,[3]Sheet2!$C$1:$F$1223,3,0),"")</f>
        <v/>
      </c>
      <c r="E636" s="18" t="str">
        <f>IFERROR(VLOOKUP(C636,[3]Sheet2!$C$1:$F$1223,4,0),"")</f>
        <v/>
      </c>
    </row>
    <row r="637" spans="2:5">
      <c r="B637" s="17" t="str">
        <f>IFERROR(VLOOKUP(C637,[3]Sheet2!$C$3:$F$1223,2,0),"")</f>
        <v/>
      </c>
      <c r="D637" s="18" t="str">
        <f>IFERROR(VLOOKUP(C637,[3]Sheet2!$C$1:$F$1223,3,0),"")</f>
        <v/>
      </c>
      <c r="E637" s="18" t="str">
        <f>IFERROR(VLOOKUP(C637,[3]Sheet2!$C$1:$F$1223,4,0),"")</f>
        <v/>
      </c>
    </row>
    <row r="638" spans="2:5">
      <c r="B638" s="17" t="str">
        <f>IFERROR(VLOOKUP(C638,[3]Sheet2!$C$3:$F$1223,2,0),"")</f>
        <v/>
      </c>
      <c r="D638" s="18" t="str">
        <f>IFERROR(VLOOKUP(C638,[3]Sheet2!$C$1:$F$1223,3,0),"")</f>
        <v/>
      </c>
      <c r="E638" s="18" t="str">
        <f>IFERROR(VLOOKUP(C638,[3]Sheet2!$C$1:$F$1223,4,0),"")</f>
        <v/>
      </c>
    </row>
    <row r="639" spans="2:5">
      <c r="B639" s="17" t="str">
        <f>IFERROR(VLOOKUP(C639,[3]Sheet2!$C$3:$F$1223,2,0),"")</f>
        <v/>
      </c>
      <c r="D639" s="18" t="str">
        <f>IFERROR(VLOOKUP(C639,[3]Sheet2!$C$1:$F$1223,3,0),"")</f>
        <v/>
      </c>
      <c r="E639" s="18" t="str">
        <f>IFERROR(VLOOKUP(C639,[3]Sheet2!$C$1:$F$1223,4,0),"")</f>
        <v/>
      </c>
    </row>
    <row r="640" spans="2:5">
      <c r="B640" s="17" t="str">
        <f>IFERROR(VLOOKUP(C640,[3]Sheet2!$C$3:$F$1223,2,0),"")</f>
        <v/>
      </c>
      <c r="D640" s="18" t="str">
        <f>IFERROR(VLOOKUP(C640,[3]Sheet2!$C$1:$F$1223,3,0),"")</f>
        <v/>
      </c>
      <c r="E640" s="18" t="str">
        <f>IFERROR(VLOOKUP(C640,[3]Sheet2!$C$1:$F$1223,4,0),"")</f>
        <v/>
      </c>
    </row>
    <row r="641" spans="2:5">
      <c r="B641" s="17" t="str">
        <f>IFERROR(VLOOKUP(C641,[3]Sheet2!$C$3:$F$1223,2,0),"")</f>
        <v/>
      </c>
      <c r="D641" s="18" t="str">
        <f>IFERROR(VLOOKUP(C641,[3]Sheet2!$C$1:$F$1223,3,0),"")</f>
        <v/>
      </c>
      <c r="E641" s="18" t="str">
        <f>IFERROR(VLOOKUP(C641,[3]Sheet2!$C$1:$F$1223,4,0),"")</f>
        <v/>
      </c>
    </row>
    <row r="642" spans="2:5">
      <c r="B642" s="17" t="str">
        <f>IFERROR(VLOOKUP(C642,[3]Sheet2!$C$3:$F$1223,2,0),"")</f>
        <v/>
      </c>
      <c r="D642" s="18" t="str">
        <f>IFERROR(VLOOKUP(C642,[3]Sheet2!$C$1:$F$1223,3,0),"")</f>
        <v/>
      </c>
      <c r="E642" s="18" t="str">
        <f>IFERROR(VLOOKUP(C642,[3]Sheet2!$C$1:$F$1223,4,0),"")</f>
        <v/>
      </c>
    </row>
    <row r="643" spans="2:5">
      <c r="B643" s="17" t="str">
        <f>IFERROR(VLOOKUP(C643,[3]Sheet2!$C$3:$F$1223,2,0),"")</f>
        <v/>
      </c>
      <c r="D643" s="18" t="str">
        <f>IFERROR(VLOOKUP(C643,[3]Sheet2!$C$1:$F$1223,3,0),"")</f>
        <v/>
      </c>
      <c r="E643" s="18" t="str">
        <f>IFERROR(VLOOKUP(C643,[3]Sheet2!$C$1:$F$1223,4,0),"")</f>
        <v/>
      </c>
    </row>
    <row r="644" spans="2:5">
      <c r="B644" s="17" t="str">
        <f>IFERROR(VLOOKUP(C644,[3]Sheet2!$C$3:$F$1223,2,0),"")</f>
        <v/>
      </c>
      <c r="D644" s="18" t="str">
        <f>IFERROR(VLOOKUP(C644,[3]Sheet2!$C$1:$F$1223,3,0),"")</f>
        <v/>
      </c>
      <c r="E644" s="18" t="str">
        <f>IFERROR(VLOOKUP(C644,[3]Sheet2!$C$1:$F$1223,4,0),"")</f>
        <v/>
      </c>
    </row>
    <row r="645" spans="2:5">
      <c r="B645" s="17" t="str">
        <f>IFERROR(VLOOKUP(C645,[3]Sheet2!$C$3:$F$1223,2,0),"")</f>
        <v/>
      </c>
      <c r="D645" s="18" t="str">
        <f>IFERROR(VLOOKUP(C645,[3]Sheet2!$C$1:$F$1223,3,0),"")</f>
        <v/>
      </c>
      <c r="E645" s="18" t="str">
        <f>IFERROR(VLOOKUP(C645,[3]Sheet2!$C$1:$F$1223,4,0),"")</f>
        <v/>
      </c>
    </row>
    <row r="646" spans="2:5">
      <c r="B646" s="17" t="str">
        <f>IFERROR(VLOOKUP(C646,[3]Sheet2!$C$3:$F$1223,2,0),"")</f>
        <v/>
      </c>
      <c r="D646" s="18" t="str">
        <f>IFERROR(VLOOKUP(C646,[3]Sheet2!$C$1:$F$1223,3,0),"")</f>
        <v/>
      </c>
      <c r="E646" s="18" t="str">
        <f>IFERROR(VLOOKUP(C646,[3]Sheet2!$C$1:$F$1223,4,0),"")</f>
        <v/>
      </c>
    </row>
    <row r="647" spans="2:5">
      <c r="B647" s="17" t="str">
        <f>IFERROR(VLOOKUP(C647,[3]Sheet2!$C$3:$F$1223,2,0),"")</f>
        <v/>
      </c>
      <c r="D647" s="18" t="str">
        <f>IFERROR(VLOOKUP(C647,[3]Sheet2!$C$1:$F$1223,3,0),"")</f>
        <v/>
      </c>
      <c r="E647" s="18" t="str">
        <f>IFERROR(VLOOKUP(C647,[3]Sheet2!$C$1:$F$1223,4,0),"")</f>
        <v/>
      </c>
    </row>
    <row r="648" spans="2:5">
      <c r="B648" s="17" t="str">
        <f>IFERROR(VLOOKUP(C648,[3]Sheet2!$C$3:$F$1223,2,0),"")</f>
        <v/>
      </c>
      <c r="D648" s="18" t="str">
        <f>IFERROR(VLOOKUP(C648,[3]Sheet2!$C$1:$F$1223,3,0),"")</f>
        <v/>
      </c>
      <c r="E648" s="18" t="str">
        <f>IFERROR(VLOOKUP(C648,[3]Sheet2!$C$1:$F$1223,4,0),"")</f>
        <v/>
      </c>
    </row>
    <row r="649" spans="2:5">
      <c r="B649" s="17" t="str">
        <f>IFERROR(VLOOKUP(C649,[3]Sheet2!$C$3:$F$1223,2,0),"")</f>
        <v/>
      </c>
      <c r="D649" s="18" t="str">
        <f>IFERROR(VLOOKUP(C649,[3]Sheet2!$C$1:$F$1223,3,0),"")</f>
        <v/>
      </c>
      <c r="E649" s="18" t="str">
        <f>IFERROR(VLOOKUP(C649,[3]Sheet2!$C$1:$F$1223,4,0),"")</f>
        <v/>
      </c>
    </row>
    <row r="650" spans="2:5">
      <c r="B650" s="17" t="str">
        <f>IFERROR(VLOOKUP(C650,[3]Sheet2!$C$3:$F$1223,2,0),"")</f>
        <v/>
      </c>
      <c r="D650" s="18" t="str">
        <f>IFERROR(VLOOKUP(C650,[3]Sheet2!$C$1:$F$1223,3,0),"")</f>
        <v/>
      </c>
      <c r="E650" s="18" t="str">
        <f>IFERROR(VLOOKUP(C650,[3]Sheet2!$C$1:$F$1223,4,0),"")</f>
        <v/>
      </c>
    </row>
    <row r="651" spans="2:5">
      <c r="B651" s="17" t="str">
        <f>IFERROR(VLOOKUP(C651,[3]Sheet2!$C$3:$F$1223,2,0),"")</f>
        <v/>
      </c>
      <c r="D651" s="18" t="str">
        <f>IFERROR(VLOOKUP(C651,[3]Sheet2!$C$1:$F$1223,3,0),"")</f>
        <v/>
      </c>
      <c r="E651" s="18" t="str">
        <f>IFERROR(VLOOKUP(C651,[3]Sheet2!$C$1:$F$1223,4,0),"")</f>
        <v/>
      </c>
    </row>
    <row r="652" spans="2:5">
      <c r="B652" s="17" t="str">
        <f>IFERROR(VLOOKUP(C652,[3]Sheet2!$C$3:$F$1223,2,0),"")</f>
        <v/>
      </c>
      <c r="D652" s="18" t="str">
        <f>IFERROR(VLOOKUP(C652,[3]Sheet2!$C$1:$F$1223,3,0),"")</f>
        <v/>
      </c>
      <c r="E652" s="18" t="str">
        <f>IFERROR(VLOOKUP(C652,[3]Sheet2!$C$1:$F$1223,4,0),"")</f>
        <v/>
      </c>
    </row>
    <row r="653" spans="2:5">
      <c r="B653" s="17" t="str">
        <f>IFERROR(VLOOKUP(C653,[3]Sheet2!$C$3:$F$1223,2,0),"")</f>
        <v/>
      </c>
      <c r="D653" s="18" t="str">
        <f>IFERROR(VLOOKUP(C653,[3]Sheet2!$C$1:$F$1223,3,0),"")</f>
        <v/>
      </c>
      <c r="E653" s="18" t="str">
        <f>IFERROR(VLOOKUP(C653,[3]Sheet2!$C$1:$F$1223,4,0),"")</f>
        <v/>
      </c>
    </row>
    <row r="654" spans="2:5">
      <c r="B654" s="17" t="str">
        <f>IFERROR(VLOOKUP(C654,[3]Sheet2!$C$3:$F$1223,2,0),"")</f>
        <v/>
      </c>
      <c r="D654" s="18" t="str">
        <f>IFERROR(VLOOKUP(C654,[3]Sheet2!$C$1:$F$1223,3,0),"")</f>
        <v/>
      </c>
      <c r="E654" s="18" t="str">
        <f>IFERROR(VLOOKUP(C654,[3]Sheet2!$C$1:$F$1223,4,0),"")</f>
        <v/>
      </c>
    </row>
    <row r="655" spans="2:5">
      <c r="B655" s="17" t="str">
        <f>IFERROR(VLOOKUP(C655,[3]Sheet2!$C$3:$F$1223,2,0),"")</f>
        <v/>
      </c>
      <c r="D655" s="18" t="str">
        <f>IFERROR(VLOOKUP(C655,[3]Sheet2!$C$1:$F$1223,3,0),"")</f>
        <v/>
      </c>
      <c r="E655" s="18" t="str">
        <f>IFERROR(VLOOKUP(C655,[3]Sheet2!$C$1:$F$1223,4,0),"")</f>
        <v/>
      </c>
    </row>
    <row r="656" spans="2:5">
      <c r="B656" s="17" t="str">
        <f>IFERROR(VLOOKUP(C656,[3]Sheet2!$C$3:$F$1223,2,0),"")</f>
        <v/>
      </c>
      <c r="D656" s="18" t="str">
        <f>IFERROR(VLOOKUP(C656,[3]Sheet2!$C$1:$F$1223,3,0),"")</f>
        <v/>
      </c>
      <c r="E656" s="18" t="str">
        <f>IFERROR(VLOOKUP(C656,[3]Sheet2!$C$1:$F$1223,4,0),"")</f>
        <v/>
      </c>
    </row>
    <row r="657" spans="2:5">
      <c r="B657" s="17" t="str">
        <f>IFERROR(VLOOKUP(C657,[3]Sheet2!$C$3:$F$1223,2,0),"")</f>
        <v/>
      </c>
      <c r="D657" s="18" t="str">
        <f>IFERROR(VLOOKUP(C657,[3]Sheet2!$C$1:$F$1223,3,0),"")</f>
        <v/>
      </c>
      <c r="E657" s="18" t="str">
        <f>IFERROR(VLOOKUP(C657,[3]Sheet2!$C$1:$F$1223,4,0),"")</f>
        <v/>
      </c>
    </row>
    <row r="658" spans="2:5">
      <c r="B658" s="17" t="str">
        <f>IFERROR(VLOOKUP(C658,[3]Sheet2!$C$3:$F$1223,2,0),"")</f>
        <v/>
      </c>
      <c r="D658" s="18" t="str">
        <f>IFERROR(VLOOKUP(C658,[3]Sheet2!$C$1:$F$1223,3,0),"")</f>
        <v/>
      </c>
      <c r="E658" s="18" t="str">
        <f>IFERROR(VLOOKUP(C658,[3]Sheet2!$C$1:$F$1223,4,0),"")</f>
        <v/>
      </c>
    </row>
    <row r="659" spans="2:5">
      <c r="B659" s="17" t="str">
        <f>IFERROR(VLOOKUP(C659,[3]Sheet2!$C$3:$F$1223,2,0),"")</f>
        <v/>
      </c>
      <c r="D659" s="18" t="str">
        <f>IFERROR(VLOOKUP(C659,[3]Sheet2!$C$1:$F$1223,3,0),"")</f>
        <v/>
      </c>
      <c r="E659" s="18" t="str">
        <f>IFERROR(VLOOKUP(C659,[3]Sheet2!$C$1:$F$1223,4,0),"")</f>
        <v/>
      </c>
    </row>
    <row r="660" spans="2:5">
      <c r="B660" s="17" t="str">
        <f>IFERROR(VLOOKUP(C660,[3]Sheet2!$C$3:$F$1223,2,0),"")</f>
        <v/>
      </c>
      <c r="D660" s="18" t="str">
        <f>IFERROR(VLOOKUP(C660,[3]Sheet2!$C$1:$F$1223,3,0),"")</f>
        <v/>
      </c>
      <c r="E660" s="18" t="str">
        <f>IFERROR(VLOOKUP(C660,[3]Sheet2!$C$1:$F$1223,4,0),"")</f>
        <v/>
      </c>
    </row>
    <row r="661" spans="2:5">
      <c r="B661" s="17" t="str">
        <f>IFERROR(VLOOKUP(C661,[3]Sheet2!$C$3:$F$1223,2,0),"")</f>
        <v/>
      </c>
      <c r="D661" s="18" t="str">
        <f>IFERROR(VLOOKUP(C661,[3]Sheet2!$C$1:$F$1223,3,0),"")</f>
        <v/>
      </c>
      <c r="E661" s="18" t="str">
        <f>IFERROR(VLOOKUP(C661,[3]Sheet2!$C$1:$F$1223,4,0),"")</f>
        <v/>
      </c>
    </row>
    <row r="662" spans="2:5">
      <c r="B662" s="17" t="str">
        <f>IFERROR(VLOOKUP(C662,[3]Sheet2!$C$3:$F$1223,2,0),"")</f>
        <v/>
      </c>
      <c r="D662" s="18" t="str">
        <f>IFERROR(VLOOKUP(C662,[3]Sheet2!$C$1:$F$1223,3,0),"")</f>
        <v/>
      </c>
      <c r="E662" s="18" t="str">
        <f>IFERROR(VLOOKUP(C662,[3]Sheet2!$C$1:$F$1223,4,0),"")</f>
        <v/>
      </c>
    </row>
    <row r="663" spans="2:5">
      <c r="B663" s="17" t="str">
        <f>IFERROR(VLOOKUP(C663,[3]Sheet2!$C$3:$F$1223,2,0),"")</f>
        <v/>
      </c>
      <c r="D663" s="18" t="str">
        <f>IFERROR(VLOOKUP(C663,[3]Sheet2!$C$1:$F$1223,3,0),"")</f>
        <v/>
      </c>
      <c r="E663" s="18" t="str">
        <f>IFERROR(VLOOKUP(C663,[3]Sheet2!$C$1:$F$1223,4,0),"")</f>
        <v/>
      </c>
    </row>
    <row r="664" spans="2:5">
      <c r="B664" s="17" t="str">
        <f>IFERROR(VLOOKUP(C664,[3]Sheet2!$C$3:$F$1223,2,0),"")</f>
        <v/>
      </c>
      <c r="D664" s="18" t="str">
        <f>IFERROR(VLOOKUP(C664,[3]Sheet2!$C$1:$F$1223,3,0),"")</f>
        <v/>
      </c>
      <c r="E664" s="18" t="str">
        <f>IFERROR(VLOOKUP(C664,[3]Sheet2!$C$1:$F$1223,4,0),"")</f>
        <v/>
      </c>
    </row>
    <row r="665" spans="2:5">
      <c r="B665" s="17" t="str">
        <f>IFERROR(VLOOKUP(C665,[3]Sheet2!$C$3:$F$1223,2,0),"")</f>
        <v/>
      </c>
      <c r="D665" s="18" t="str">
        <f>IFERROR(VLOOKUP(C665,[3]Sheet2!$C$1:$F$1223,3,0),"")</f>
        <v/>
      </c>
      <c r="E665" s="18" t="str">
        <f>IFERROR(VLOOKUP(C665,[3]Sheet2!$C$1:$F$1223,4,0),"")</f>
        <v/>
      </c>
    </row>
    <row r="666" spans="2:5">
      <c r="B666" s="17" t="str">
        <f>IFERROR(VLOOKUP(C666,[3]Sheet2!$C$3:$F$1223,2,0),"")</f>
        <v/>
      </c>
      <c r="D666" s="18" t="str">
        <f>IFERROR(VLOOKUP(C666,[3]Sheet2!$C$1:$F$1223,3,0),"")</f>
        <v/>
      </c>
      <c r="E666" s="18" t="str">
        <f>IFERROR(VLOOKUP(C666,[3]Sheet2!$C$1:$F$1223,4,0),"")</f>
        <v/>
      </c>
    </row>
    <row r="667" spans="2:5">
      <c r="B667" s="17" t="str">
        <f>IFERROR(VLOOKUP(C667,[3]Sheet2!$C$3:$F$1223,2,0),"")</f>
        <v/>
      </c>
      <c r="D667" s="18" t="str">
        <f>IFERROR(VLOOKUP(C667,[3]Sheet2!$C$1:$F$1223,3,0),"")</f>
        <v/>
      </c>
      <c r="E667" s="18" t="str">
        <f>IFERROR(VLOOKUP(C667,[3]Sheet2!$C$1:$F$1223,4,0),"")</f>
        <v/>
      </c>
    </row>
    <row r="668" spans="2:5">
      <c r="B668" s="17" t="str">
        <f>IFERROR(VLOOKUP(C668,[3]Sheet2!$C$3:$F$1223,2,0),"")</f>
        <v/>
      </c>
      <c r="D668" s="18" t="str">
        <f>IFERROR(VLOOKUP(C668,[3]Sheet2!$C$1:$F$1223,3,0),"")</f>
        <v/>
      </c>
      <c r="E668" s="18" t="str">
        <f>IFERROR(VLOOKUP(C668,[3]Sheet2!$C$1:$F$1223,4,0),"")</f>
        <v/>
      </c>
    </row>
    <row r="669" spans="2:5">
      <c r="B669" s="17" t="str">
        <f>IFERROR(VLOOKUP(C669,[3]Sheet2!$C$3:$F$1223,2,0),"")</f>
        <v/>
      </c>
      <c r="D669" s="18" t="str">
        <f>IFERROR(VLOOKUP(C669,[3]Sheet2!$C$1:$F$1223,3,0),"")</f>
        <v/>
      </c>
      <c r="E669" s="18" t="str">
        <f>IFERROR(VLOOKUP(C669,[3]Sheet2!$C$1:$F$1223,4,0),"")</f>
        <v/>
      </c>
    </row>
    <row r="670" spans="2:5">
      <c r="B670" s="17" t="str">
        <f>IFERROR(VLOOKUP(C670,[3]Sheet2!$C$3:$F$1223,2,0),"")</f>
        <v/>
      </c>
      <c r="D670" s="18" t="str">
        <f>IFERROR(VLOOKUP(C670,[3]Sheet2!$C$1:$F$1223,3,0),"")</f>
        <v/>
      </c>
      <c r="E670" s="18" t="str">
        <f>IFERROR(VLOOKUP(C670,[3]Sheet2!$C$1:$F$1223,4,0),"")</f>
        <v/>
      </c>
    </row>
    <row r="671" spans="2:5">
      <c r="B671" s="17" t="str">
        <f>IFERROR(VLOOKUP(C671,[3]Sheet2!$C$3:$F$1223,2,0),"")</f>
        <v/>
      </c>
      <c r="D671" s="18" t="str">
        <f>IFERROR(VLOOKUP(C671,[3]Sheet2!$C$1:$F$1223,3,0),"")</f>
        <v/>
      </c>
      <c r="E671" s="18" t="str">
        <f>IFERROR(VLOOKUP(C671,[3]Sheet2!$C$1:$F$1223,4,0),"")</f>
        <v/>
      </c>
    </row>
    <row r="672" spans="2:5">
      <c r="B672" s="17" t="str">
        <f>IFERROR(VLOOKUP(C672,[3]Sheet2!$C$3:$F$1223,2,0),"")</f>
        <v/>
      </c>
      <c r="D672" s="18" t="str">
        <f>IFERROR(VLOOKUP(C672,[3]Sheet2!$C$1:$F$1223,3,0),"")</f>
        <v/>
      </c>
      <c r="E672" s="18" t="str">
        <f>IFERROR(VLOOKUP(C672,[3]Sheet2!$C$1:$F$1223,4,0),"")</f>
        <v/>
      </c>
    </row>
    <row r="673" spans="2:5">
      <c r="B673" s="17" t="str">
        <f>IFERROR(VLOOKUP(C673,[3]Sheet2!$C$3:$F$1223,2,0),"")</f>
        <v/>
      </c>
      <c r="D673" s="18" t="str">
        <f>IFERROR(VLOOKUP(C673,[3]Sheet2!$C$1:$F$1223,3,0),"")</f>
        <v/>
      </c>
      <c r="E673" s="18" t="str">
        <f>IFERROR(VLOOKUP(C673,[3]Sheet2!$C$1:$F$1223,4,0),"")</f>
        <v/>
      </c>
    </row>
    <row r="674" spans="2:5">
      <c r="B674" s="17" t="str">
        <f>IFERROR(VLOOKUP(C674,[3]Sheet2!$C$3:$F$1223,2,0),"")</f>
        <v/>
      </c>
      <c r="D674" s="18" t="str">
        <f>IFERROR(VLOOKUP(C674,[3]Sheet2!$C$1:$F$1223,3,0),"")</f>
        <v/>
      </c>
      <c r="E674" s="18" t="str">
        <f>IFERROR(VLOOKUP(C674,[3]Sheet2!$C$1:$F$1223,4,0),"")</f>
        <v/>
      </c>
    </row>
    <row r="675" spans="2:5">
      <c r="B675" s="17" t="str">
        <f>IFERROR(VLOOKUP(C675,[3]Sheet2!$C$3:$F$1223,2,0),"")</f>
        <v/>
      </c>
      <c r="D675" s="18" t="str">
        <f>IFERROR(VLOOKUP(C675,[3]Sheet2!$C$1:$F$1223,3,0),"")</f>
        <v/>
      </c>
      <c r="E675" s="18" t="str">
        <f>IFERROR(VLOOKUP(C675,[3]Sheet2!$C$1:$F$1223,4,0),"")</f>
        <v/>
      </c>
    </row>
    <row r="676" spans="2:5">
      <c r="B676" s="17" t="str">
        <f>IFERROR(VLOOKUP(C676,[3]Sheet2!$C$3:$F$1223,2,0),"")</f>
        <v/>
      </c>
      <c r="D676" s="18" t="str">
        <f>IFERROR(VLOOKUP(C676,[3]Sheet2!$C$1:$F$1223,3,0),"")</f>
        <v/>
      </c>
      <c r="E676" s="18" t="str">
        <f>IFERROR(VLOOKUP(C676,[3]Sheet2!$C$1:$F$1223,4,0),"")</f>
        <v/>
      </c>
    </row>
    <row r="677" spans="2:5">
      <c r="B677" s="17" t="str">
        <f>IFERROR(VLOOKUP(C677,[3]Sheet2!$C$3:$F$1223,2,0),"")</f>
        <v/>
      </c>
      <c r="D677" s="18" t="str">
        <f>IFERROR(VLOOKUP(C677,[3]Sheet2!$C$1:$F$1223,3,0),"")</f>
        <v/>
      </c>
      <c r="E677" s="18" t="str">
        <f>IFERROR(VLOOKUP(C677,[3]Sheet2!$C$1:$F$1223,4,0),"")</f>
        <v/>
      </c>
    </row>
    <row r="678" spans="2:5">
      <c r="B678" s="17" t="str">
        <f>IFERROR(VLOOKUP(C678,[3]Sheet2!$C$3:$F$1223,2,0),"")</f>
        <v/>
      </c>
      <c r="D678" s="18" t="str">
        <f>IFERROR(VLOOKUP(C678,[3]Sheet2!$C$1:$F$1223,3,0),"")</f>
        <v/>
      </c>
      <c r="E678" s="18" t="str">
        <f>IFERROR(VLOOKUP(C678,[3]Sheet2!$C$1:$F$1223,4,0),"")</f>
        <v/>
      </c>
    </row>
    <row r="679" spans="2:5">
      <c r="B679" s="17" t="str">
        <f>IFERROR(VLOOKUP(C679,[3]Sheet2!$C$3:$F$1223,2,0),"")</f>
        <v/>
      </c>
      <c r="D679" s="18" t="str">
        <f>IFERROR(VLOOKUP(C679,[3]Sheet2!$C$1:$F$1223,3,0),"")</f>
        <v/>
      </c>
      <c r="E679" s="18" t="str">
        <f>IFERROR(VLOOKUP(C679,[3]Sheet2!$C$1:$F$1223,4,0),"")</f>
        <v/>
      </c>
    </row>
    <row r="680" spans="2:5">
      <c r="B680" s="17" t="str">
        <f>IFERROR(VLOOKUP(C680,[3]Sheet2!$C$3:$F$1223,2,0),"")</f>
        <v/>
      </c>
      <c r="D680" s="18" t="str">
        <f>IFERROR(VLOOKUP(C680,[3]Sheet2!$C$1:$F$1223,3,0),"")</f>
        <v/>
      </c>
      <c r="E680" s="18" t="str">
        <f>IFERROR(VLOOKUP(C680,[3]Sheet2!$C$1:$F$1223,4,0),"")</f>
        <v/>
      </c>
    </row>
    <row r="681" spans="2:5">
      <c r="B681" s="17" t="str">
        <f>IFERROR(VLOOKUP(C681,[3]Sheet2!$C$3:$F$1223,2,0),"")</f>
        <v/>
      </c>
      <c r="D681" s="18" t="str">
        <f>IFERROR(VLOOKUP(C681,[3]Sheet2!$C$1:$F$1223,3,0),"")</f>
        <v/>
      </c>
      <c r="E681" s="18" t="str">
        <f>IFERROR(VLOOKUP(C681,[3]Sheet2!$C$1:$F$1223,4,0),"")</f>
        <v/>
      </c>
    </row>
    <row r="682" spans="2:5">
      <c r="B682" s="17" t="str">
        <f>IFERROR(VLOOKUP(C682,[3]Sheet2!$C$3:$F$1223,2,0),"")</f>
        <v/>
      </c>
      <c r="D682" s="18" t="str">
        <f>IFERROR(VLOOKUP(C682,[3]Sheet2!$C$1:$F$1223,3,0),"")</f>
        <v/>
      </c>
      <c r="E682" s="18" t="str">
        <f>IFERROR(VLOOKUP(C682,[3]Sheet2!$C$1:$F$1223,4,0),"")</f>
        <v/>
      </c>
    </row>
    <row r="683" spans="2:5">
      <c r="B683" s="17" t="str">
        <f>IFERROR(VLOOKUP(C683,[3]Sheet2!$C$3:$F$1223,2,0),"")</f>
        <v/>
      </c>
      <c r="D683" s="18" t="str">
        <f>IFERROR(VLOOKUP(C683,[3]Sheet2!$C$1:$F$1223,3,0),"")</f>
        <v/>
      </c>
      <c r="E683" s="18" t="str">
        <f>IFERROR(VLOOKUP(C683,[3]Sheet2!$C$1:$F$1223,4,0),"")</f>
        <v/>
      </c>
    </row>
    <row r="684" spans="2:5">
      <c r="B684" s="17" t="str">
        <f>IFERROR(VLOOKUP(C684,[3]Sheet2!$C$3:$F$1223,2,0),"")</f>
        <v/>
      </c>
      <c r="D684" s="18" t="str">
        <f>IFERROR(VLOOKUP(C684,[3]Sheet2!$C$1:$F$1223,3,0),"")</f>
        <v/>
      </c>
      <c r="E684" s="18" t="str">
        <f>IFERROR(VLOOKUP(C684,[3]Sheet2!$C$1:$F$1223,4,0),"")</f>
        <v/>
      </c>
    </row>
    <row r="685" spans="2:5">
      <c r="B685" s="17" t="str">
        <f>IFERROR(VLOOKUP(C685,[3]Sheet2!$C$3:$F$1223,2,0),"")</f>
        <v/>
      </c>
      <c r="D685" s="18" t="str">
        <f>IFERROR(VLOOKUP(C685,[3]Sheet2!$C$1:$F$1223,3,0),"")</f>
        <v/>
      </c>
      <c r="E685" s="18" t="str">
        <f>IFERROR(VLOOKUP(C685,[3]Sheet2!$C$1:$F$1223,4,0),"")</f>
        <v/>
      </c>
    </row>
    <row r="686" spans="2:5">
      <c r="B686" s="17" t="str">
        <f>IFERROR(VLOOKUP(C686,[3]Sheet2!$C$3:$F$1223,2,0),"")</f>
        <v/>
      </c>
      <c r="D686" s="18" t="str">
        <f>IFERROR(VLOOKUP(C686,[3]Sheet2!$C$1:$F$1223,3,0),"")</f>
        <v/>
      </c>
      <c r="E686" s="18" t="str">
        <f>IFERROR(VLOOKUP(C686,[3]Sheet2!$C$1:$F$1223,4,0),"")</f>
        <v/>
      </c>
    </row>
    <row r="687" spans="2:5">
      <c r="B687" s="17" t="str">
        <f>IFERROR(VLOOKUP(C687,[3]Sheet2!$C$3:$F$1223,2,0),"")</f>
        <v/>
      </c>
      <c r="D687" s="18" t="str">
        <f>IFERROR(VLOOKUP(C687,[3]Sheet2!$C$1:$F$1223,3,0),"")</f>
        <v/>
      </c>
      <c r="E687" s="18" t="str">
        <f>IFERROR(VLOOKUP(C687,[3]Sheet2!$C$1:$F$1223,4,0),"")</f>
        <v/>
      </c>
    </row>
    <row r="688" spans="2:5">
      <c r="B688" s="17" t="str">
        <f>IFERROR(VLOOKUP(C688,[3]Sheet2!$C$3:$F$1223,2,0),"")</f>
        <v/>
      </c>
      <c r="D688" s="18" t="str">
        <f>IFERROR(VLOOKUP(C688,[3]Sheet2!$C$1:$F$1223,3,0),"")</f>
        <v/>
      </c>
      <c r="E688" s="18" t="str">
        <f>IFERROR(VLOOKUP(C688,[3]Sheet2!$C$1:$F$1223,4,0),"")</f>
        <v/>
      </c>
    </row>
    <row r="689" spans="2:5">
      <c r="B689" s="17" t="str">
        <f>IFERROR(VLOOKUP(C689,[3]Sheet2!$C$3:$F$1223,2,0),"")</f>
        <v/>
      </c>
      <c r="D689" s="18" t="str">
        <f>IFERROR(VLOOKUP(C689,[3]Sheet2!$C$1:$F$1223,3,0),"")</f>
        <v/>
      </c>
      <c r="E689" s="18" t="str">
        <f>IFERROR(VLOOKUP(C689,[3]Sheet2!$C$1:$F$1223,4,0),"")</f>
        <v/>
      </c>
    </row>
    <row r="690" spans="2:5">
      <c r="B690" s="17" t="str">
        <f>IFERROR(VLOOKUP(C690,[3]Sheet2!$C$3:$F$1223,2,0),"")</f>
        <v/>
      </c>
      <c r="D690" s="18" t="str">
        <f>IFERROR(VLOOKUP(C690,[3]Sheet2!$C$1:$F$1223,3,0),"")</f>
        <v/>
      </c>
      <c r="E690" s="18" t="str">
        <f>IFERROR(VLOOKUP(C690,[3]Sheet2!$C$1:$F$1223,4,0),"")</f>
        <v/>
      </c>
    </row>
    <row r="691" spans="2:5">
      <c r="B691" s="17" t="str">
        <f>IFERROR(VLOOKUP(C691,[3]Sheet2!$C$3:$F$1223,2,0),"")</f>
        <v/>
      </c>
      <c r="D691" s="18" t="str">
        <f>IFERROR(VLOOKUP(C691,[3]Sheet2!$C$1:$F$1223,3,0),"")</f>
        <v/>
      </c>
      <c r="E691" s="18" t="str">
        <f>IFERROR(VLOOKUP(C691,[3]Sheet2!$C$1:$F$1223,4,0),"")</f>
        <v/>
      </c>
    </row>
    <row r="692" spans="2:5">
      <c r="B692" s="17" t="str">
        <f>IFERROR(VLOOKUP(C692,[3]Sheet2!$C$3:$F$1223,2,0),"")</f>
        <v/>
      </c>
      <c r="D692" s="18" t="str">
        <f>IFERROR(VLOOKUP(C692,[3]Sheet2!$C$1:$F$1223,3,0),"")</f>
        <v/>
      </c>
      <c r="E692" s="18" t="str">
        <f>IFERROR(VLOOKUP(C692,[3]Sheet2!$C$1:$F$1223,4,0),"")</f>
        <v/>
      </c>
    </row>
    <row r="693" spans="2:5">
      <c r="B693" s="17" t="str">
        <f>IFERROR(VLOOKUP(C693,[3]Sheet2!$C$3:$F$1223,2,0),"")</f>
        <v/>
      </c>
      <c r="D693" s="18" t="str">
        <f>IFERROR(VLOOKUP(C693,[3]Sheet2!$C$1:$F$1223,3,0),"")</f>
        <v/>
      </c>
      <c r="E693" s="18" t="str">
        <f>IFERROR(VLOOKUP(C693,[3]Sheet2!$C$1:$F$1223,4,0),"")</f>
        <v/>
      </c>
    </row>
    <row r="694" spans="2:5">
      <c r="B694" s="17" t="str">
        <f>IFERROR(VLOOKUP(C694,[3]Sheet2!$C$3:$F$1223,2,0),"")</f>
        <v/>
      </c>
      <c r="D694" s="18" t="str">
        <f>IFERROR(VLOOKUP(C694,[3]Sheet2!$C$1:$F$1223,3,0),"")</f>
        <v/>
      </c>
      <c r="E694" s="18" t="str">
        <f>IFERROR(VLOOKUP(C694,[3]Sheet2!$C$1:$F$1223,4,0),"")</f>
        <v/>
      </c>
    </row>
    <row r="695" spans="2:5">
      <c r="B695" s="17" t="str">
        <f>IFERROR(VLOOKUP(C695,[3]Sheet2!$C$3:$F$1223,2,0),"")</f>
        <v/>
      </c>
      <c r="D695" s="18" t="str">
        <f>IFERROR(VLOOKUP(C695,[3]Sheet2!$C$1:$F$1223,3,0),"")</f>
        <v/>
      </c>
      <c r="E695" s="18" t="str">
        <f>IFERROR(VLOOKUP(C695,[3]Sheet2!$C$1:$F$1223,4,0),"")</f>
        <v/>
      </c>
    </row>
    <row r="696" spans="2:5">
      <c r="B696" s="17" t="str">
        <f>IFERROR(VLOOKUP(C696,[3]Sheet2!$C$3:$F$1223,2,0),"")</f>
        <v/>
      </c>
      <c r="D696" s="18" t="str">
        <f>IFERROR(VLOOKUP(C696,[3]Sheet2!$C$1:$F$1223,3,0),"")</f>
        <v/>
      </c>
      <c r="E696" s="18" t="str">
        <f>IFERROR(VLOOKUP(C696,[3]Sheet2!$C$1:$F$1223,4,0),"")</f>
        <v/>
      </c>
    </row>
    <row r="697" spans="2:5">
      <c r="B697" s="17" t="str">
        <f>IFERROR(VLOOKUP(C697,[3]Sheet2!$C$3:$F$1223,2,0),"")</f>
        <v/>
      </c>
      <c r="D697" s="18" t="str">
        <f>IFERROR(VLOOKUP(C697,[3]Sheet2!$C$1:$F$1223,3,0),"")</f>
        <v/>
      </c>
      <c r="E697" s="18" t="str">
        <f>IFERROR(VLOOKUP(C697,[3]Sheet2!$C$1:$F$1223,4,0),"")</f>
        <v/>
      </c>
    </row>
    <row r="698" spans="2:5">
      <c r="B698" s="17" t="str">
        <f>IFERROR(VLOOKUP(C698,[3]Sheet2!$C$3:$F$1223,2,0),"")</f>
        <v/>
      </c>
      <c r="D698" s="18" t="str">
        <f>IFERROR(VLOOKUP(C698,[3]Sheet2!$C$1:$F$1223,3,0),"")</f>
        <v/>
      </c>
      <c r="E698" s="18" t="str">
        <f>IFERROR(VLOOKUP(C698,[3]Sheet2!$C$1:$F$1223,4,0),"")</f>
        <v/>
      </c>
    </row>
    <row r="699" spans="2:5">
      <c r="B699" s="17" t="str">
        <f>IFERROR(VLOOKUP(C699,[3]Sheet2!$C$3:$F$1223,2,0),"")</f>
        <v/>
      </c>
      <c r="D699" s="18" t="str">
        <f>IFERROR(VLOOKUP(C699,[3]Sheet2!$C$1:$F$1223,3,0),"")</f>
        <v/>
      </c>
      <c r="E699" s="18" t="str">
        <f>IFERROR(VLOOKUP(C699,[3]Sheet2!$C$1:$F$1223,4,0),"")</f>
        <v/>
      </c>
    </row>
    <row r="700" spans="2:5">
      <c r="B700" s="17" t="str">
        <f>IFERROR(VLOOKUP(C700,[3]Sheet2!$C$3:$F$1223,2,0),"")</f>
        <v/>
      </c>
      <c r="D700" s="18" t="str">
        <f>IFERROR(VLOOKUP(C700,[3]Sheet2!$C$1:$F$1223,3,0),"")</f>
        <v/>
      </c>
      <c r="E700" s="18" t="str">
        <f>IFERROR(VLOOKUP(C700,[3]Sheet2!$C$1:$F$1223,4,0),"")</f>
        <v/>
      </c>
    </row>
    <row r="701" spans="2:5">
      <c r="B701" s="17" t="str">
        <f>IFERROR(VLOOKUP(C701,[3]Sheet2!$C$3:$F$1223,2,0),"")</f>
        <v/>
      </c>
      <c r="D701" s="18" t="str">
        <f>IFERROR(VLOOKUP(C701,[3]Sheet2!$C$1:$F$1223,3,0),"")</f>
        <v/>
      </c>
      <c r="E701" s="18" t="str">
        <f>IFERROR(VLOOKUP(C701,[3]Sheet2!$C$1:$F$1223,4,0),"")</f>
        <v/>
      </c>
    </row>
    <row r="702" spans="2:5">
      <c r="B702" s="17" t="str">
        <f>IFERROR(VLOOKUP(C702,[3]Sheet2!$C$3:$F$1223,2,0),"")</f>
        <v/>
      </c>
      <c r="D702" s="18" t="str">
        <f>IFERROR(VLOOKUP(C702,[3]Sheet2!$C$1:$F$1223,3,0),"")</f>
        <v/>
      </c>
      <c r="E702" s="18" t="str">
        <f>IFERROR(VLOOKUP(C702,[3]Sheet2!$C$1:$F$1223,4,0),"")</f>
        <v/>
      </c>
    </row>
    <row r="703" spans="2:5">
      <c r="B703" s="17" t="str">
        <f>IFERROR(VLOOKUP(C703,[3]Sheet2!$C$3:$F$1223,2,0),"")</f>
        <v/>
      </c>
      <c r="D703" s="18" t="str">
        <f>IFERROR(VLOOKUP(C703,[3]Sheet2!$C$1:$F$1223,3,0),"")</f>
        <v/>
      </c>
      <c r="E703" s="18" t="str">
        <f>IFERROR(VLOOKUP(C703,[3]Sheet2!$C$1:$F$1223,4,0),"")</f>
        <v/>
      </c>
    </row>
    <row r="704" spans="2:5">
      <c r="B704" s="17" t="str">
        <f>IFERROR(VLOOKUP(C704,[3]Sheet2!$C$3:$F$1223,2,0),"")</f>
        <v/>
      </c>
      <c r="D704" s="18" t="str">
        <f>IFERROR(VLOOKUP(C704,[3]Sheet2!$C$1:$F$1223,3,0),"")</f>
        <v/>
      </c>
      <c r="E704" s="18" t="str">
        <f>IFERROR(VLOOKUP(C704,[3]Sheet2!$C$1:$F$1223,4,0),"")</f>
        <v/>
      </c>
    </row>
    <row r="705" spans="2:5">
      <c r="B705" s="17" t="str">
        <f>IFERROR(VLOOKUP(C705,[3]Sheet2!$C$3:$F$1223,2,0),"")</f>
        <v/>
      </c>
      <c r="D705" s="18" t="str">
        <f>IFERROR(VLOOKUP(C705,[3]Sheet2!$C$1:$F$1223,3,0),"")</f>
        <v/>
      </c>
      <c r="E705" s="18" t="str">
        <f>IFERROR(VLOOKUP(C705,[3]Sheet2!$C$1:$F$1223,4,0),"")</f>
        <v/>
      </c>
    </row>
    <row r="706" spans="2:5">
      <c r="B706" s="17" t="str">
        <f>IFERROR(VLOOKUP(C706,[3]Sheet2!$C$3:$F$1223,2,0),"")</f>
        <v/>
      </c>
      <c r="D706" s="18" t="str">
        <f>IFERROR(VLOOKUP(C706,[3]Sheet2!$C$1:$F$1223,3,0),"")</f>
        <v/>
      </c>
      <c r="E706" s="18" t="str">
        <f>IFERROR(VLOOKUP(C706,[3]Sheet2!$C$1:$F$1223,4,0),"")</f>
        <v/>
      </c>
    </row>
    <row r="707" spans="2:5">
      <c r="B707" s="17" t="str">
        <f>IFERROR(VLOOKUP(C707,[3]Sheet2!$C$3:$F$1223,2,0),"")</f>
        <v/>
      </c>
      <c r="D707" s="18" t="str">
        <f>IFERROR(VLOOKUP(C707,[3]Sheet2!$C$1:$F$1223,3,0),"")</f>
        <v/>
      </c>
      <c r="E707" s="18" t="str">
        <f>IFERROR(VLOOKUP(C707,[3]Sheet2!$C$1:$F$1223,4,0),"")</f>
        <v/>
      </c>
    </row>
    <row r="708" spans="2:5">
      <c r="B708" s="17" t="str">
        <f>IFERROR(VLOOKUP(C708,[3]Sheet2!$C$3:$F$1223,2,0),"")</f>
        <v/>
      </c>
      <c r="D708" s="18" t="str">
        <f>IFERROR(VLOOKUP(C708,[3]Sheet2!$C$1:$F$1223,3,0),"")</f>
        <v/>
      </c>
      <c r="E708" s="18" t="str">
        <f>IFERROR(VLOOKUP(C708,[3]Sheet2!$C$1:$F$1223,4,0),"")</f>
        <v/>
      </c>
    </row>
    <row r="709" spans="2:5">
      <c r="B709" s="17" t="str">
        <f>IFERROR(VLOOKUP(C709,[3]Sheet2!$C$3:$F$1223,2,0),"")</f>
        <v/>
      </c>
      <c r="D709" s="18" t="str">
        <f>IFERROR(VLOOKUP(C709,[3]Sheet2!$C$1:$F$1223,3,0),"")</f>
        <v/>
      </c>
      <c r="E709" s="18" t="str">
        <f>IFERROR(VLOOKUP(C709,[3]Sheet2!$C$1:$F$1223,4,0),"")</f>
        <v/>
      </c>
    </row>
    <row r="710" spans="2:5">
      <c r="B710" s="17" t="str">
        <f>IFERROR(VLOOKUP(C710,[3]Sheet2!$C$3:$F$1223,2,0),"")</f>
        <v/>
      </c>
      <c r="D710" s="18" t="str">
        <f>IFERROR(VLOOKUP(C710,[3]Sheet2!$C$1:$F$1223,3,0),"")</f>
        <v/>
      </c>
      <c r="E710" s="18" t="str">
        <f>IFERROR(VLOOKUP(C710,[3]Sheet2!$C$1:$F$1223,4,0),"")</f>
        <v/>
      </c>
    </row>
    <row r="711" spans="2:5">
      <c r="B711" s="17" t="str">
        <f>IFERROR(VLOOKUP(C711,[3]Sheet2!$C$3:$F$1223,2,0),"")</f>
        <v/>
      </c>
      <c r="D711" s="18" t="str">
        <f>IFERROR(VLOOKUP(C711,[3]Sheet2!$C$1:$F$1223,3,0),"")</f>
        <v/>
      </c>
      <c r="E711" s="18" t="str">
        <f>IFERROR(VLOOKUP(C711,[3]Sheet2!$C$1:$F$1223,4,0),"")</f>
        <v/>
      </c>
    </row>
    <row r="712" spans="2:5">
      <c r="B712" s="17" t="str">
        <f>IFERROR(VLOOKUP(C712,[3]Sheet2!$C$3:$F$1223,2,0),"")</f>
        <v/>
      </c>
      <c r="D712" s="18" t="str">
        <f>IFERROR(VLOOKUP(C712,[3]Sheet2!$C$1:$F$1223,3,0),"")</f>
        <v/>
      </c>
      <c r="E712" s="18" t="str">
        <f>IFERROR(VLOOKUP(C712,[3]Sheet2!$C$1:$F$1223,4,0),"")</f>
        <v/>
      </c>
    </row>
    <row r="713" spans="2:5">
      <c r="B713" s="17" t="str">
        <f>IFERROR(VLOOKUP(C713,[3]Sheet2!$C$3:$F$1223,2,0),"")</f>
        <v/>
      </c>
      <c r="D713" s="18" t="str">
        <f>IFERROR(VLOOKUP(C713,[3]Sheet2!$C$1:$F$1223,3,0),"")</f>
        <v/>
      </c>
      <c r="E713" s="18" t="str">
        <f>IFERROR(VLOOKUP(C713,[3]Sheet2!$C$1:$F$1223,4,0),"")</f>
        <v/>
      </c>
    </row>
    <row r="714" spans="2:5">
      <c r="B714" s="17" t="str">
        <f>IFERROR(VLOOKUP(C714,[3]Sheet2!$C$3:$F$1223,2,0),"")</f>
        <v/>
      </c>
      <c r="D714" s="18" t="str">
        <f>IFERROR(VLOOKUP(C714,[3]Sheet2!$C$1:$F$1223,3,0),"")</f>
        <v/>
      </c>
      <c r="E714" s="18" t="str">
        <f>IFERROR(VLOOKUP(C714,[3]Sheet2!$C$1:$F$1223,4,0),"")</f>
        <v/>
      </c>
    </row>
    <row r="715" spans="2:5">
      <c r="B715" s="17" t="str">
        <f>IFERROR(VLOOKUP(C715,[3]Sheet2!$C$3:$F$1223,2,0),"")</f>
        <v/>
      </c>
      <c r="D715" s="18" t="str">
        <f>IFERROR(VLOOKUP(C715,[3]Sheet2!$C$1:$F$1223,3,0),"")</f>
        <v/>
      </c>
      <c r="E715" s="18" t="str">
        <f>IFERROR(VLOOKUP(C715,[3]Sheet2!$C$1:$F$1223,4,0),"")</f>
        <v/>
      </c>
    </row>
    <row r="716" spans="2:5">
      <c r="B716" s="17" t="str">
        <f>IFERROR(VLOOKUP(C716,[3]Sheet2!$C$3:$F$1223,2,0),"")</f>
        <v/>
      </c>
      <c r="D716" s="18" t="str">
        <f>IFERROR(VLOOKUP(C716,[3]Sheet2!$C$1:$F$1223,3,0),"")</f>
        <v/>
      </c>
      <c r="E716" s="18" t="str">
        <f>IFERROR(VLOOKUP(C716,[3]Sheet2!$C$1:$F$1223,4,0),"")</f>
        <v/>
      </c>
    </row>
    <row r="717" spans="2:5">
      <c r="B717" s="17" t="str">
        <f>IFERROR(VLOOKUP(C717,[3]Sheet2!$C$3:$F$1223,2,0),"")</f>
        <v/>
      </c>
      <c r="D717" s="18" t="str">
        <f>IFERROR(VLOOKUP(C717,[3]Sheet2!$C$1:$F$1223,3,0),"")</f>
        <v/>
      </c>
      <c r="E717" s="18" t="str">
        <f>IFERROR(VLOOKUP(C717,[3]Sheet2!$C$1:$F$1223,4,0),"")</f>
        <v/>
      </c>
    </row>
    <row r="718" spans="2:5">
      <c r="B718" s="17" t="str">
        <f>IFERROR(VLOOKUP(C718,[3]Sheet2!$C$3:$F$1223,2,0),"")</f>
        <v/>
      </c>
      <c r="D718" s="18" t="str">
        <f>IFERROR(VLOOKUP(C718,[3]Sheet2!$C$1:$F$1223,3,0),"")</f>
        <v/>
      </c>
      <c r="E718" s="18" t="str">
        <f>IFERROR(VLOOKUP(C718,[3]Sheet2!$C$1:$F$1223,4,0),"")</f>
        <v/>
      </c>
    </row>
    <row r="719" spans="2:5">
      <c r="B719" s="17" t="str">
        <f>IFERROR(VLOOKUP(C719,[3]Sheet2!$C$3:$F$1223,2,0),"")</f>
        <v/>
      </c>
      <c r="D719" s="18" t="str">
        <f>IFERROR(VLOOKUP(C719,[3]Sheet2!$C$1:$F$1223,3,0),"")</f>
        <v/>
      </c>
      <c r="E719" s="18" t="str">
        <f>IFERROR(VLOOKUP(C719,[3]Sheet2!$C$1:$F$1223,4,0),"")</f>
        <v/>
      </c>
    </row>
    <row r="720" spans="2:5">
      <c r="B720" s="17" t="str">
        <f>IFERROR(VLOOKUP(C720,[3]Sheet2!$C$3:$F$1223,2,0),"")</f>
        <v/>
      </c>
      <c r="D720" s="18" t="str">
        <f>IFERROR(VLOOKUP(C720,[3]Sheet2!$C$1:$F$1223,3,0),"")</f>
        <v/>
      </c>
      <c r="E720" s="18" t="str">
        <f>IFERROR(VLOOKUP(C720,[3]Sheet2!$C$1:$F$1223,4,0),"")</f>
        <v/>
      </c>
    </row>
    <row r="721" spans="2:5">
      <c r="B721" s="17" t="str">
        <f>IFERROR(VLOOKUP(C721,[3]Sheet2!$C$3:$F$1223,2,0),"")</f>
        <v/>
      </c>
      <c r="D721" s="18" t="str">
        <f>IFERROR(VLOOKUP(C721,[3]Sheet2!$C$1:$F$1223,3,0),"")</f>
        <v/>
      </c>
      <c r="E721" s="18" t="str">
        <f>IFERROR(VLOOKUP(C721,[3]Sheet2!$C$1:$F$1223,4,0),"")</f>
        <v/>
      </c>
    </row>
    <row r="722" spans="2:5">
      <c r="B722" s="17" t="str">
        <f>IFERROR(VLOOKUP(C722,[3]Sheet2!$C$3:$F$1223,2,0),"")</f>
        <v/>
      </c>
      <c r="D722" s="18" t="str">
        <f>IFERROR(VLOOKUP(C722,[3]Sheet2!$C$1:$F$1223,3,0),"")</f>
        <v/>
      </c>
      <c r="E722" s="18" t="str">
        <f>IFERROR(VLOOKUP(C722,[3]Sheet2!$C$1:$F$1223,4,0),"")</f>
        <v/>
      </c>
    </row>
    <row r="723" spans="2:5">
      <c r="B723" s="17" t="str">
        <f>IFERROR(VLOOKUP(C723,[3]Sheet2!$C$3:$F$1223,2,0),"")</f>
        <v/>
      </c>
      <c r="D723" s="18" t="str">
        <f>IFERROR(VLOOKUP(C723,[3]Sheet2!$C$1:$F$1223,3,0),"")</f>
        <v/>
      </c>
      <c r="E723" s="18" t="str">
        <f>IFERROR(VLOOKUP(C723,[3]Sheet2!$C$1:$F$1223,4,0),"")</f>
        <v/>
      </c>
    </row>
    <row r="724" spans="2:5">
      <c r="B724" s="17" t="str">
        <f>IFERROR(VLOOKUP(C724,[3]Sheet2!$C$3:$F$1223,2,0),"")</f>
        <v/>
      </c>
      <c r="D724" s="18" t="str">
        <f>IFERROR(VLOOKUP(C724,[3]Sheet2!$C$1:$F$1223,3,0),"")</f>
        <v/>
      </c>
      <c r="E724" s="18" t="str">
        <f>IFERROR(VLOOKUP(C724,[3]Sheet2!$C$1:$F$1223,4,0),"")</f>
        <v/>
      </c>
    </row>
    <row r="725" spans="2:5">
      <c r="B725" s="17" t="str">
        <f>IFERROR(VLOOKUP(C725,[3]Sheet2!$C$3:$F$1223,2,0),"")</f>
        <v/>
      </c>
      <c r="D725" s="18" t="str">
        <f>IFERROR(VLOOKUP(C725,[3]Sheet2!$C$1:$F$1223,3,0),"")</f>
        <v/>
      </c>
      <c r="E725" s="18" t="str">
        <f>IFERROR(VLOOKUP(C725,[3]Sheet2!$C$1:$F$1223,4,0),"")</f>
        <v/>
      </c>
    </row>
    <row r="726" spans="2:5">
      <c r="B726" s="17" t="str">
        <f>IFERROR(VLOOKUP(C726,[3]Sheet2!$C$3:$F$1223,2,0),"")</f>
        <v/>
      </c>
      <c r="D726" s="18" t="str">
        <f>IFERROR(VLOOKUP(C726,[3]Sheet2!$C$1:$F$1223,3,0),"")</f>
        <v/>
      </c>
      <c r="E726" s="18" t="str">
        <f>IFERROR(VLOOKUP(C726,[3]Sheet2!$C$1:$F$1223,4,0),"")</f>
        <v/>
      </c>
    </row>
    <row r="727" spans="2:5">
      <c r="B727" s="17" t="str">
        <f>IFERROR(VLOOKUP(C727,[3]Sheet2!$C$3:$F$1223,2,0),"")</f>
        <v/>
      </c>
      <c r="D727" s="18" t="str">
        <f>IFERROR(VLOOKUP(C727,[3]Sheet2!$C$1:$F$1223,3,0),"")</f>
        <v/>
      </c>
      <c r="E727" s="18" t="str">
        <f>IFERROR(VLOOKUP(C727,[3]Sheet2!$C$1:$F$1223,4,0),"")</f>
        <v/>
      </c>
    </row>
    <row r="728" spans="2:5">
      <c r="B728" s="17" t="str">
        <f>IFERROR(VLOOKUP(C728,[3]Sheet2!$C$3:$F$1223,2,0),"")</f>
        <v/>
      </c>
      <c r="D728" s="18" t="str">
        <f>IFERROR(VLOOKUP(C728,[3]Sheet2!$C$1:$F$1223,3,0),"")</f>
        <v/>
      </c>
      <c r="E728" s="18" t="str">
        <f>IFERROR(VLOOKUP(C728,[3]Sheet2!$C$1:$F$1223,4,0),"")</f>
        <v/>
      </c>
    </row>
    <row r="729" spans="2:5">
      <c r="B729" s="17" t="str">
        <f>IFERROR(VLOOKUP(C729,[3]Sheet2!$C$3:$F$1223,2,0),"")</f>
        <v/>
      </c>
      <c r="D729" s="18" t="str">
        <f>IFERROR(VLOOKUP(C729,[3]Sheet2!$C$1:$F$1223,3,0),"")</f>
        <v/>
      </c>
      <c r="E729" s="18" t="str">
        <f>IFERROR(VLOOKUP(C729,[3]Sheet2!$C$1:$F$1223,4,0),"")</f>
        <v/>
      </c>
    </row>
    <row r="730" spans="2:5">
      <c r="B730" s="17" t="str">
        <f>IFERROR(VLOOKUP(C730,[3]Sheet2!$C$3:$F$1223,2,0),"")</f>
        <v/>
      </c>
      <c r="D730" s="18" t="str">
        <f>IFERROR(VLOOKUP(C730,[3]Sheet2!$C$1:$F$1223,3,0),"")</f>
        <v/>
      </c>
      <c r="E730" s="18" t="str">
        <f>IFERROR(VLOOKUP(C730,[3]Sheet2!$C$1:$F$1223,4,0),"")</f>
        <v/>
      </c>
    </row>
    <row r="731" spans="2:5">
      <c r="B731" s="17" t="str">
        <f>IFERROR(VLOOKUP(C731,[3]Sheet2!$C$3:$F$1223,2,0),"")</f>
        <v/>
      </c>
      <c r="D731" s="18" t="str">
        <f>IFERROR(VLOOKUP(C731,[3]Sheet2!$C$1:$F$1223,3,0),"")</f>
        <v/>
      </c>
      <c r="E731" s="18" t="str">
        <f>IFERROR(VLOOKUP(C731,[3]Sheet2!$C$1:$F$1223,4,0),"")</f>
        <v/>
      </c>
    </row>
    <row r="732" spans="2:5">
      <c r="B732" s="17" t="str">
        <f>IFERROR(VLOOKUP(C732,[3]Sheet2!$C$3:$F$1223,2,0),"")</f>
        <v/>
      </c>
      <c r="D732" s="18" t="str">
        <f>IFERROR(VLOOKUP(C732,[3]Sheet2!$C$1:$F$1223,3,0),"")</f>
        <v/>
      </c>
      <c r="E732" s="18" t="str">
        <f>IFERROR(VLOOKUP(C732,[3]Sheet2!$C$1:$F$1223,4,0),"")</f>
        <v/>
      </c>
    </row>
    <row r="733" spans="2:5">
      <c r="B733" s="17" t="str">
        <f>IFERROR(VLOOKUP(C733,[3]Sheet2!$C$3:$F$1223,2,0),"")</f>
        <v/>
      </c>
      <c r="D733" s="18" t="str">
        <f>IFERROR(VLOOKUP(C733,[3]Sheet2!$C$1:$F$1223,3,0),"")</f>
        <v/>
      </c>
      <c r="E733" s="18" t="str">
        <f>IFERROR(VLOOKUP(C733,[3]Sheet2!$C$1:$F$1223,4,0),"")</f>
        <v/>
      </c>
    </row>
    <row r="734" spans="2:5">
      <c r="B734" s="17" t="str">
        <f>IFERROR(VLOOKUP(C734,[3]Sheet2!$C$3:$F$1223,2,0),"")</f>
        <v/>
      </c>
      <c r="D734" s="18" t="str">
        <f>IFERROR(VLOOKUP(C734,[3]Sheet2!$C$1:$F$1223,3,0),"")</f>
        <v/>
      </c>
      <c r="E734" s="18" t="str">
        <f>IFERROR(VLOOKUP(C734,[3]Sheet2!$C$1:$F$1223,4,0),"")</f>
        <v/>
      </c>
    </row>
    <row r="735" spans="2:5">
      <c r="B735" s="17" t="str">
        <f>IFERROR(VLOOKUP(C735,[3]Sheet2!$C$3:$F$1223,2,0),"")</f>
        <v/>
      </c>
    </row>
    <row r="736" spans="2:5">
      <c r="B736" s="17" t="str">
        <f>IFERROR(VLOOKUP(C736,[3]Sheet2!$C$3:$F$1223,2,0),"")</f>
        <v/>
      </c>
    </row>
    <row r="737" spans="2:2">
      <c r="B737" s="17" t="str">
        <f>IFERROR(VLOOKUP(C737,[3]Sheet2!$C$3:$F$1223,2,0),"")</f>
        <v/>
      </c>
    </row>
    <row r="738" spans="2:2">
      <c r="B738" s="17" t="str">
        <f>IFERROR(VLOOKUP(C738,[3]Sheet2!$C$3:$F$1223,2,0),"")</f>
        <v/>
      </c>
    </row>
    <row r="739" spans="2:2">
      <c r="B739" s="17" t="str">
        <f>IFERROR(VLOOKUP(C739,[3]Sheet2!$C$3:$F$1223,2,0),"")</f>
        <v/>
      </c>
    </row>
    <row r="740" spans="2:2">
      <c r="B740" s="17" t="str">
        <f>IFERROR(VLOOKUP(C740,[3]Sheet2!$C$3:$F$1223,2,0),"")</f>
        <v/>
      </c>
    </row>
    <row r="741" spans="2:2">
      <c r="B741" s="17" t="str">
        <f>IFERROR(VLOOKUP(C741,[3]Sheet2!$C$3:$F$1223,2,0),"")</f>
        <v/>
      </c>
    </row>
    <row r="742" spans="2:2">
      <c r="B742" s="17" t="str">
        <f>IFERROR(VLOOKUP(C742,[3]Sheet2!$C$3:$F$1223,2,0),"")</f>
        <v/>
      </c>
    </row>
    <row r="743" spans="2:2">
      <c r="B743" s="17" t="str">
        <f>IFERROR(VLOOKUP(C743,[3]Sheet2!$C$3:$F$1223,2,0),"")</f>
        <v/>
      </c>
    </row>
  </sheetData>
  <autoFilter ref="B2:V743"/>
  <mergeCells count="2">
    <mergeCell ref="K1:V1"/>
    <mergeCell ref="X1:AI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AI743"/>
  <sheetViews>
    <sheetView showGridLines="0" zoomScale="70" zoomScaleNormal="70" workbookViewId="0">
      <selection activeCell="H39" sqref="H39"/>
    </sheetView>
  </sheetViews>
  <sheetFormatPr defaultRowHeight="17" outlineLevelCol="1"/>
  <cols>
    <col min="2" max="2" width="5.5" style="19" bestFit="1" customWidth="1"/>
    <col min="3" max="3" width="6.5" style="20" bestFit="1" customWidth="1"/>
    <col min="4" max="4" width="7.08203125" style="21" bestFit="1" customWidth="1"/>
    <col min="5" max="5" width="22" style="21" bestFit="1" customWidth="1"/>
    <col min="6" max="6" width="24.83203125" style="20" bestFit="1" customWidth="1"/>
    <col min="7" max="7" width="8.08203125" style="39" bestFit="1" customWidth="1"/>
    <col min="8" max="8" width="15.08203125" style="20" customWidth="1" outlineLevel="1"/>
    <col min="9" max="9" width="14.83203125" style="20" customWidth="1" outlineLevel="1"/>
    <col min="10" max="10" width="54.25" style="20" customWidth="1" outlineLevel="1"/>
    <col min="11" max="21" width="9" style="32"/>
    <col min="22" max="22" width="9" style="33"/>
    <col min="23" max="23" width="9" style="30"/>
    <col min="24" max="24" width="9" style="31"/>
    <col min="25" max="34" width="9" style="32"/>
    <col min="35" max="35" width="9" style="33"/>
  </cols>
  <sheetData>
    <row r="1" spans="2:35">
      <c r="B1" s="13"/>
      <c r="C1"/>
      <c r="D1" s="13"/>
      <c r="E1" s="13"/>
      <c r="F1"/>
      <c r="G1" s="1"/>
      <c r="H1"/>
      <c r="I1"/>
      <c r="J1"/>
      <c r="K1" s="101" t="s">
        <v>2315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/>
      <c r="X1" s="104" t="s">
        <v>2316</v>
      </c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6"/>
    </row>
    <row r="2" spans="2:35">
      <c r="B2" s="14" t="s">
        <v>1158</v>
      </c>
      <c r="C2" s="15" t="s">
        <v>0</v>
      </c>
      <c r="D2" s="16" t="s">
        <v>2313</v>
      </c>
      <c r="E2" s="16" t="s">
        <v>1</v>
      </c>
      <c r="F2" s="15" t="s">
        <v>2314</v>
      </c>
      <c r="G2" s="15" t="s">
        <v>17</v>
      </c>
      <c r="H2" s="15" t="s">
        <v>14</v>
      </c>
      <c r="I2" s="15" t="s">
        <v>15</v>
      </c>
      <c r="J2" s="22" t="s">
        <v>16</v>
      </c>
      <c r="K2" s="24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25" t="s">
        <v>7</v>
      </c>
      <c r="Q2" s="25" t="s">
        <v>8</v>
      </c>
      <c r="R2" s="25" t="s">
        <v>9</v>
      </c>
      <c r="S2" s="25" t="s">
        <v>10</v>
      </c>
      <c r="T2" s="25" t="s">
        <v>11</v>
      </c>
      <c r="U2" s="25" t="s">
        <v>12</v>
      </c>
      <c r="V2" s="26" t="s">
        <v>13</v>
      </c>
      <c r="W2"/>
      <c r="X2" s="24" t="s">
        <v>2</v>
      </c>
      <c r="Y2" s="25" t="s">
        <v>3</v>
      </c>
      <c r="Z2" s="25" t="s">
        <v>4</v>
      </c>
      <c r="AA2" s="25" t="s">
        <v>5</v>
      </c>
      <c r="AB2" s="25" t="s">
        <v>6</v>
      </c>
      <c r="AC2" s="25" t="s">
        <v>7</v>
      </c>
      <c r="AD2" s="25" t="s">
        <v>8</v>
      </c>
      <c r="AE2" s="25" t="s">
        <v>9</v>
      </c>
      <c r="AF2" s="25" t="s">
        <v>10</v>
      </c>
      <c r="AG2" s="25" t="s">
        <v>11</v>
      </c>
      <c r="AH2" s="25" t="s">
        <v>12</v>
      </c>
      <c r="AI2" s="26" t="s">
        <v>13</v>
      </c>
    </row>
    <row r="3" spans="2:35">
      <c r="B3" s="17" t="str">
        <f>IFERROR(VLOOKUP(C3,[6]Sheet2!$C$3:$F$1223,2,0),"")</f>
        <v>Jeju</v>
      </c>
      <c r="C3" s="3">
        <v>34025</v>
      </c>
      <c r="D3" s="18" t="str">
        <f>IFERROR(VLOOKUP(C3,[6]Sheet2!$C$1:$F$1223,3,0),"")</f>
        <v>김태현</v>
      </c>
      <c r="E3" s="18" t="str">
        <f>IFERROR(VLOOKUP(C3,[6]Sheet2!$C$1:$F$1223,4,0),"")</f>
        <v>세계물산주식회사</v>
      </c>
      <c r="F3" s="2" t="s">
        <v>2896</v>
      </c>
      <c r="G3" s="3" t="s">
        <v>3013</v>
      </c>
      <c r="H3" s="4" t="s">
        <v>2953</v>
      </c>
      <c r="I3" s="4" t="s">
        <v>2954</v>
      </c>
      <c r="J3" s="23" t="s">
        <v>2955</v>
      </c>
      <c r="K3" s="27"/>
      <c r="L3" s="28"/>
      <c r="M3" s="28"/>
      <c r="N3" s="28">
        <v>1</v>
      </c>
      <c r="O3" s="28">
        <v>1</v>
      </c>
      <c r="P3" s="28"/>
      <c r="Q3" s="28"/>
      <c r="R3" s="28">
        <v>1</v>
      </c>
      <c r="S3" s="28"/>
      <c r="T3" s="28"/>
      <c r="U3" s="28">
        <v>1</v>
      </c>
      <c r="V3" s="29"/>
    </row>
    <row r="4" spans="2:35">
      <c r="B4" s="17" t="str">
        <f>IFERROR(VLOOKUP(C4,[6]Sheet2!$C$3:$F$1223,2,0),"")</f>
        <v>Jeju</v>
      </c>
      <c r="C4" s="3">
        <v>34024</v>
      </c>
      <c r="D4" s="18" t="str">
        <f>IFERROR(VLOOKUP(C4,[6]Sheet2!$C$1:$F$1223,3,0),"")</f>
        <v>김태현</v>
      </c>
      <c r="E4" s="18" t="str">
        <f>IFERROR(VLOOKUP(C4,[6]Sheet2!$C$1:$F$1223,4,0),"")</f>
        <v>제일주류주식회사</v>
      </c>
      <c r="F4" s="2" t="s">
        <v>2897</v>
      </c>
      <c r="G4" s="3" t="s">
        <v>3013</v>
      </c>
      <c r="H4" s="4" t="s">
        <v>2953</v>
      </c>
      <c r="I4" s="4" t="s">
        <v>2954</v>
      </c>
      <c r="J4" s="23" t="s">
        <v>2956</v>
      </c>
      <c r="K4" s="27"/>
      <c r="L4" s="28"/>
      <c r="M4" s="28"/>
      <c r="N4" s="28"/>
      <c r="O4" s="28">
        <v>3</v>
      </c>
      <c r="P4" s="28"/>
      <c r="Q4" s="28"/>
      <c r="R4" s="28">
        <v>1</v>
      </c>
      <c r="S4" s="28"/>
      <c r="T4" s="28">
        <v>1</v>
      </c>
      <c r="U4" s="28">
        <v>1</v>
      </c>
      <c r="V4" s="29">
        <v>3</v>
      </c>
      <c r="Y4" s="32">
        <v>2</v>
      </c>
    </row>
    <row r="5" spans="2:35">
      <c r="B5" s="17" t="str">
        <f>IFERROR(VLOOKUP(C5,[6]Sheet2!$C$3:$F$1223,2,0),"")</f>
        <v>Jeju</v>
      </c>
      <c r="C5" s="3">
        <v>34025</v>
      </c>
      <c r="D5" s="18" t="str">
        <f>IFERROR(VLOOKUP(C5,[6]Sheet2!$C$1:$F$1223,3,0),"")</f>
        <v>김태현</v>
      </c>
      <c r="E5" s="18" t="str">
        <f>IFERROR(VLOOKUP(C5,[6]Sheet2!$C$1:$F$1223,4,0),"")</f>
        <v>세계물산주식회사</v>
      </c>
      <c r="F5" s="2" t="s">
        <v>2898</v>
      </c>
      <c r="G5" s="3" t="s">
        <v>3013</v>
      </c>
      <c r="H5" s="4" t="s">
        <v>2953</v>
      </c>
      <c r="I5" s="4" t="s">
        <v>2954</v>
      </c>
      <c r="J5" s="23" t="s">
        <v>2957</v>
      </c>
      <c r="K5" s="27"/>
      <c r="L5" s="28"/>
      <c r="M5" s="28"/>
      <c r="N5" s="28"/>
      <c r="O5" s="28">
        <v>2</v>
      </c>
      <c r="P5" s="28">
        <v>4</v>
      </c>
      <c r="Q5" s="28"/>
      <c r="R5" s="28">
        <v>2</v>
      </c>
      <c r="S5" s="28"/>
      <c r="T5" s="28">
        <v>3</v>
      </c>
      <c r="U5" s="28"/>
      <c r="V5" s="29"/>
    </row>
    <row r="6" spans="2:35">
      <c r="B6" s="17" t="str">
        <f>IFERROR(VLOOKUP(C6,[6]Sheet2!$C$3:$F$1223,2,0),"")</f>
        <v>Jeju</v>
      </c>
      <c r="C6" s="3">
        <v>34024</v>
      </c>
      <c r="D6" s="18" t="str">
        <f>IFERROR(VLOOKUP(C6,[6]Sheet2!$C$1:$F$1223,3,0),"")</f>
        <v>김태현</v>
      </c>
      <c r="E6" s="18" t="str">
        <f>IFERROR(VLOOKUP(C6,[6]Sheet2!$C$1:$F$1223,4,0),"")</f>
        <v>제일주류주식회사</v>
      </c>
      <c r="F6" s="59" t="s">
        <v>2899</v>
      </c>
      <c r="G6" s="3" t="s">
        <v>3013</v>
      </c>
      <c r="H6" s="4" t="s">
        <v>2953</v>
      </c>
      <c r="I6" s="4" t="s">
        <v>2954</v>
      </c>
      <c r="J6" s="23" t="s">
        <v>2958</v>
      </c>
      <c r="K6" s="27"/>
      <c r="L6" s="28"/>
      <c r="M6" s="28"/>
      <c r="N6" s="28"/>
      <c r="O6" s="28">
        <v>2</v>
      </c>
      <c r="P6" s="28"/>
      <c r="Q6" s="28"/>
      <c r="R6" s="28"/>
      <c r="S6" s="28"/>
      <c r="T6" s="28"/>
      <c r="U6" s="28"/>
      <c r="V6" s="29"/>
    </row>
    <row r="7" spans="2:35">
      <c r="B7" s="17" t="str">
        <f>IFERROR(VLOOKUP(C7,[6]Sheet2!$C$3:$F$1223,2,0),"")</f>
        <v>Jeju</v>
      </c>
      <c r="C7" s="3">
        <v>34024</v>
      </c>
      <c r="D7" s="18" t="str">
        <f>IFERROR(VLOOKUP(C7,[6]Sheet2!$C$1:$F$1223,3,0),"")</f>
        <v>김태현</v>
      </c>
      <c r="E7" s="18" t="str">
        <f>IFERROR(VLOOKUP(C7,[6]Sheet2!$C$1:$F$1223,4,0),"")</f>
        <v>제일주류주식회사</v>
      </c>
      <c r="F7" s="2" t="s">
        <v>2900</v>
      </c>
      <c r="G7" s="3" t="s">
        <v>3013</v>
      </c>
      <c r="H7" s="4" t="s">
        <v>2953</v>
      </c>
      <c r="I7" s="4" t="s">
        <v>2959</v>
      </c>
      <c r="J7" s="23" t="s">
        <v>2960</v>
      </c>
      <c r="K7" s="27"/>
      <c r="L7" s="28"/>
      <c r="M7" s="28"/>
      <c r="N7" s="28"/>
      <c r="O7" s="28">
        <v>2</v>
      </c>
      <c r="P7" s="28">
        <v>2</v>
      </c>
      <c r="Q7" s="28"/>
      <c r="R7" s="28">
        <v>3</v>
      </c>
      <c r="S7" s="28">
        <v>3</v>
      </c>
      <c r="T7" s="28">
        <v>2</v>
      </c>
      <c r="U7" s="28">
        <v>1</v>
      </c>
      <c r="V7" s="29">
        <v>1</v>
      </c>
      <c r="X7" s="31">
        <v>1</v>
      </c>
      <c r="Y7" s="32">
        <v>2</v>
      </c>
    </row>
    <row r="8" spans="2:35">
      <c r="B8" s="17" t="str">
        <f>IFERROR(VLOOKUP(C8,[6]Sheet2!$C$3:$F$1223,2,0),"")</f>
        <v>Jeju</v>
      </c>
      <c r="C8" s="3">
        <v>34024</v>
      </c>
      <c r="D8" s="18" t="str">
        <f>IFERROR(VLOOKUP(C8,[6]Sheet2!$C$1:$F$1223,3,0),"")</f>
        <v>김태현</v>
      </c>
      <c r="E8" s="18" t="str">
        <f>IFERROR(VLOOKUP(C8,[6]Sheet2!$C$1:$F$1223,4,0),"")</f>
        <v>제일주류주식회사</v>
      </c>
      <c r="F8" s="2" t="s">
        <v>2901</v>
      </c>
      <c r="G8" s="3" t="s">
        <v>3013</v>
      </c>
      <c r="H8" s="4" t="s">
        <v>2953</v>
      </c>
      <c r="I8" s="4" t="s">
        <v>2959</v>
      </c>
      <c r="J8" s="23" t="s">
        <v>2961</v>
      </c>
      <c r="K8" s="27"/>
      <c r="L8" s="28"/>
      <c r="M8" s="28"/>
      <c r="N8" s="28"/>
      <c r="O8" s="28">
        <v>4</v>
      </c>
      <c r="P8" s="28">
        <v>2</v>
      </c>
      <c r="Q8" s="28"/>
      <c r="R8" s="28">
        <v>3</v>
      </c>
      <c r="S8" s="28">
        <v>3</v>
      </c>
      <c r="T8" s="28">
        <v>4</v>
      </c>
      <c r="U8" s="28">
        <v>2</v>
      </c>
      <c r="V8" s="29">
        <v>3</v>
      </c>
      <c r="X8" s="31">
        <v>4</v>
      </c>
      <c r="Y8" s="32">
        <v>4</v>
      </c>
    </row>
    <row r="9" spans="2:35">
      <c r="B9" s="17" t="str">
        <f>IFERROR(VLOOKUP(C9,[6]Sheet2!$C$3:$F$1223,2,0),"")</f>
        <v>Jeju</v>
      </c>
      <c r="C9" s="3">
        <v>34024</v>
      </c>
      <c r="D9" s="18" t="str">
        <f>IFERROR(VLOOKUP(C9,[6]Sheet2!$C$1:$F$1223,3,0),"")</f>
        <v>김태현</v>
      </c>
      <c r="E9" s="18" t="str">
        <f>IFERROR(VLOOKUP(C9,[6]Sheet2!$C$1:$F$1223,4,0),"")</f>
        <v>제일주류주식회사</v>
      </c>
      <c r="F9" s="2" t="s">
        <v>2902</v>
      </c>
      <c r="G9" s="3" t="s">
        <v>3013</v>
      </c>
      <c r="H9" s="4" t="s">
        <v>2953</v>
      </c>
      <c r="I9" s="4" t="s">
        <v>2959</v>
      </c>
      <c r="J9" s="23" t="s">
        <v>2962</v>
      </c>
      <c r="K9" s="27"/>
      <c r="L9" s="28"/>
      <c r="M9" s="28"/>
      <c r="N9" s="28"/>
      <c r="O9" s="28">
        <v>2</v>
      </c>
      <c r="P9" s="28">
        <v>1</v>
      </c>
      <c r="Q9" s="28"/>
      <c r="R9" s="28">
        <v>1</v>
      </c>
      <c r="S9" s="28">
        <v>2</v>
      </c>
      <c r="T9" s="28"/>
      <c r="U9" s="28">
        <v>1</v>
      </c>
      <c r="V9" s="29">
        <v>2</v>
      </c>
      <c r="X9" s="31">
        <v>1</v>
      </c>
    </row>
    <row r="10" spans="2:35">
      <c r="B10" s="17" t="str">
        <f>IFERROR(VLOOKUP(C10,[6]Sheet2!$C$3:$F$1223,2,0),"")</f>
        <v>Jeju</v>
      </c>
      <c r="C10" s="3">
        <v>86365</v>
      </c>
      <c r="D10" s="18" t="str">
        <f>IFERROR(VLOOKUP(C10,[6]Sheet2!$C$1:$F$1223,3,0),"")</f>
        <v>김태현</v>
      </c>
      <c r="E10" s="18" t="str">
        <f>IFERROR(VLOOKUP(C10,[6]Sheet2!$C$1:$F$1223,4,0),"")</f>
        <v>주식회사 판다주류제주</v>
      </c>
      <c r="F10" s="2" t="s">
        <v>2903</v>
      </c>
      <c r="G10" s="3" t="s">
        <v>3013</v>
      </c>
      <c r="H10" s="4" t="s">
        <v>2953</v>
      </c>
      <c r="I10" s="4" t="s">
        <v>2954</v>
      </c>
      <c r="J10" s="23" t="s">
        <v>2963</v>
      </c>
      <c r="K10" s="27"/>
      <c r="L10" s="28"/>
      <c r="M10" s="28"/>
      <c r="N10" s="28"/>
      <c r="O10" s="28">
        <v>6</v>
      </c>
      <c r="P10" s="28"/>
      <c r="Q10" s="28">
        <v>10</v>
      </c>
      <c r="R10" s="28">
        <v>6</v>
      </c>
      <c r="S10" s="28">
        <v>5</v>
      </c>
      <c r="T10" s="28">
        <v>3</v>
      </c>
      <c r="U10" s="28"/>
      <c r="V10" s="29">
        <v>9</v>
      </c>
      <c r="X10" s="31">
        <v>13</v>
      </c>
      <c r="Y10" s="32">
        <v>5</v>
      </c>
    </row>
    <row r="11" spans="2:35">
      <c r="B11" s="17" t="str">
        <f>IFERROR(VLOOKUP(C11,[6]Sheet2!$C$3:$F$1223,2,0),"")</f>
        <v>Jeju</v>
      </c>
      <c r="C11" s="3">
        <v>34025</v>
      </c>
      <c r="D11" s="18" t="str">
        <f>IFERROR(VLOOKUP(C11,[6]Sheet2!$C$1:$F$1223,3,0),"")</f>
        <v>김태현</v>
      </c>
      <c r="E11" s="18" t="str">
        <f>IFERROR(VLOOKUP(C11,[6]Sheet2!$C$1:$F$1223,4,0),"")</f>
        <v>세계물산주식회사</v>
      </c>
      <c r="F11" s="2" t="s">
        <v>2904</v>
      </c>
      <c r="G11" s="3" t="s">
        <v>3013</v>
      </c>
      <c r="H11" s="4" t="s">
        <v>2953</v>
      </c>
      <c r="I11" s="4" t="s">
        <v>2954</v>
      </c>
      <c r="J11" s="23" t="s">
        <v>2964</v>
      </c>
      <c r="K11" s="27"/>
      <c r="L11" s="28"/>
      <c r="M11" s="28"/>
      <c r="N11" s="28"/>
      <c r="O11" s="28">
        <v>2</v>
      </c>
      <c r="P11" s="28"/>
      <c r="Q11" s="28">
        <v>2</v>
      </c>
      <c r="R11" s="28">
        <v>1</v>
      </c>
      <c r="S11" s="28">
        <v>1</v>
      </c>
      <c r="T11" s="28">
        <v>1</v>
      </c>
      <c r="U11" s="28"/>
      <c r="V11" s="29">
        <v>1</v>
      </c>
      <c r="X11" s="31">
        <v>5</v>
      </c>
      <c r="Y11" s="32">
        <v>1</v>
      </c>
    </row>
    <row r="12" spans="2:35">
      <c r="B12" s="17" t="str">
        <f>IFERROR(VLOOKUP(C12,[6]Sheet2!$C$3:$F$1223,2,0),"")</f>
        <v>Jeju</v>
      </c>
      <c r="C12" s="3">
        <v>34032</v>
      </c>
      <c r="D12" s="18" t="str">
        <f>IFERROR(VLOOKUP(C12,[6]Sheet2!$C$1:$F$1223,3,0),"")</f>
        <v>김태현</v>
      </c>
      <c r="E12" s="18" t="str">
        <f>IFERROR(VLOOKUP(C12,[6]Sheet2!$C$1:$F$1223,4,0),"")</f>
        <v>신흥물산(유)</v>
      </c>
      <c r="F12" s="2" t="s">
        <v>2905</v>
      </c>
      <c r="G12" s="3" t="s">
        <v>3013</v>
      </c>
      <c r="H12" s="4" t="s">
        <v>2953</v>
      </c>
      <c r="I12" s="4" t="s">
        <v>2959</v>
      </c>
      <c r="J12" s="23" t="s">
        <v>2965</v>
      </c>
      <c r="K12" s="27"/>
      <c r="L12" s="28"/>
      <c r="M12" s="28"/>
      <c r="N12" s="28"/>
      <c r="O12" s="28">
        <v>1</v>
      </c>
      <c r="P12" s="28"/>
      <c r="Q12" s="28"/>
      <c r="R12" s="28"/>
      <c r="S12" s="28"/>
      <c r="T12" s="28">
        <v>1</v>
      </c>
      <c r="U12" s="28"/>
      <c r="V12" s="29"/>
    </row>
    <row r="13" spans="2:35">
      <c r="B13" s="17" t="str">
        <f>IFERROR(VLOOKUP(C13,[6]Sheet2!$C$3:$F$1223,2,0),"")</f>
        <v>Jeju</v>
      </c>
      <c r="C13" s="3">
        <v>34050</v>
      </c>
      <c r="D13" s="18" t="str">
        <f>IFERROR(VLOOKUP(C13,[6]Sheet2!$C$1:$F$1223,3,0),"")</f>
        <v>김태현</v>
      </c>
      <c r="E13" s="18" t="str">
        <f>IFERROR(VLOOKUP(C13,[6]Sheet2!$C$1:$F$1223,4,0),"")</f>
        <v>경희 주식회사</v>
      </c>
      <c r="F13" s="62" t="s">
        <v>2906</v>
      </c>
      <c r="G13" s="3" t="s">
        <v>3013</v>
      </c>
      <c r="H13" s="4" t="s">
        <v>2953</v>
      </c>
      <c r="I13" s="4" t="s">
        <v>2959</v>
      </c>
      <c r="J13" s="23" t="s">
        <v>2966</v>
      </c>
      <c r="K13" s="27"/>
      <c r="L13" s="28"/>
      <c r="M13" s="28"/>
      <c r="N13" s="28"/>
      <c r="O13" s="28">
        <v>1</v>
      </c>
      <c r="P13" s="28"/>
      <c r="Q13" s="28">
        <v>1</v>
      </c>
      <c r="R13" s="28"/>
      <c r="S13" s="28"/>
      <c r="T13" s="28"/>
      <c r="U13" s="28"/>
      <c r="V13" s="29"/>
    </row>
    <row r="14" spans="2:35">
      <c r="B14" s="17" t="str">
        <f>IFERROR(VLOOKUP(C14,[6]Sheet2!$C$3:$F$1223,2,0),"")</f>
        <v>Jeju</v>
      </c>
      <c r="C14" s="3">
        <v>86365</v>
      </c>
      <c r="D14" s="18" t="str">
        <f>IFERROR(VLOOKUP(C14,[6]Sheet2!$C$1:$F$1223,3,0),"")</f>
        <v>김태현</v>
      </c>
      <c r="E14" s="18" t="str">
        <f>IFERROR(VLOOKUP(C14,[6]Sheet2!$C$1:$F$1223,4,0),"")</f>
        <v>주식회사 판다주류제주</v>
      </c>
      <c r="F14" s="2" t="s">
        <v>2907</v>
      </c>
      <c r="G14" s="3" t="s">
        <v>3013</v>
      </c>
      <c r="H14" s="4" t="s">
        <v>2953</v>
      </c>
      <c r="I14" s="4" t="s">
        <v>2959</v>
      </c>
      <c r="J14" s="23" t="s">
        <v>2967</v>
      </c>
      <c r="K14" s="27"/>
      <c r="L14" s="28"/>
      <c r="M14" s="28"/>
      <c r="N14" s="28"/>
      <c r="O14" s="28">
        <v>3</v>
      </c>
      <c r="P14" s="28"/>
      <c r="Q14" s="28">
        <v>6</v>
      </c>
      <c r="R14" s="28">
        <v>2</v>
      </c>
      <c r="S14" s="28"/>
      <c r="T14" s="28"/>
      <c r="U14" s="28"/>
      <c r="V14" s="29">
        <v>2</v>
      </c>
      <c r="Y14" s="32">
        <v>2</v>
      </c>
    </row>
    <row r="15" spans="2:35">
      <c r="B15" s="17" t="str">
        <f>IFERROR(VLOOKUP(C15,[6]Sheet2!$C$3:$F$1223,2,0),"")</f>
        <v>Jeju</v>
      </c>
      <c r="C15" s="3">
        <v>34024</v>
      </c>
      <c r="D15" s="18" t="str">
        <f>IFERROR(VLOOKUP(C15,[6]Sheet2!$C$1:$F$1223,3,0),"")</f>
        <v>김태현</v>
      </c>
      <c r="E15" s="18" t="str">
        <f>IFERROR(VLOOKUP(C15,[6]Sheet2!$C$1:$F$1223,4,0),"")</f>
        <v>제일주류주식회사</v>
      </c>
      <c r="F15" s="62" t="s">
        <v>2908</v>
      </c>
      <c r="G15" s="3" t="s">
        <v>3013</v>
      </c>
      <c r="H15" s="4" t="s">
        <v>2953</v>
      </c>
      <c r="I15" s="4" t="s">
        <v>2954</v>
      </c>
      <c r="J15" s="23" t="s">
        <v>2968</v>
      </c>
      <c r="K15" s="27"/>
      <c r="L15" s="28"/>
      <c r="M15" s="28"/>
      <c r="N15" s="28"/>
      <c r="O15" s="28"/>
      <c r="P15" s="28">
        <v>1</v>
      </c>
      <c r="Q15" s="28"/>
      <c r="R15" s="28"/>
      <c r="S15" s="28"/>
      <c r="T15" s="28"/>
      <c r="U15" s="28"/>
      <c r="V15" s="29"/>
    </row>
    <row r="16" spans="2:35">
      <c r="B16" s="17" t="str">
        <f>IFERROR(VLOOKUP(C16,[6]Sheet2!$C$3:$F$1223,2,0),"")</f>
        <v>Jeju</v>
      </c>
      <c r="C16" s="3">
        <v>86365</v>
      </c>
      <c r="D16" s="18" t="str">
        <f>IFERROR(VLOOKUP(C16,[6]Sheet2!$C$1:$F$1223,3,0),"")</f>
        <v>김태현</v>
      </c>
      <c r="E16" s="18" t="str">
        <f>IFERROR(VLOOKUP(C16,[6]Sheet2!$C$1:$F$1223,4,0),"")</f>
        <v>주식회사 판다주류제주</v>
      </c>
      <c r="F16" s="2" t="s">
        <v>2909</v>
      </c>
      <c r="G16" s="3" t="s">
        <v>3013</v>
      </c>
      <c r="H16" s="4" t="s">
        <v>2953</v>
      </c>
      <c r="I16" s="4" t="s">
        <v>2959</v>
      </c>
      <c r="J16" s="23" t="s">
        <v>2969</v>
      </c>
      <c r="K16" s="27"/>
      <c r="L16" s="28"/>
      <c r="M16" s="28"/>
      <c r="N16" s="28"/>
      <c r="O16" s="28"/>
      <c r="P16" s="28">
        <v>5</v>
      </c>
      <c r="Q16" s="28">
        <v>8</v>
      </c>
      <c r="R16" s="28">
        <v>4</v>
      </c>
      <c r="S16" s="28">
        <v>4</v>
      </c>
      <c r="T16" s="28">
        <v>5</v>
      </c>
      <c r="U16" s="28"/>
      <c r="V16" s="29"/>
    </row>
    <row r="17" spans="2:25">
      <c r="B17" s="17" t="str">
        <f>IFERROR(VLOOKUP(C17,[6]Sheet2!$C$3:$F$1223,2,0),"")</f>
        <v>Jeju</v>
      </c>
      <c r="C17" s="3">
        <v>34033</v>
      </c>
      <c r="D17" s="18" t="str">
        <f>IFERROR(VLOOKUP(C17,[6]Sheet2!$C$1:$F$1223,3,0),"")</f>
        <v>김태현</v>
      </c>
      <c r="E17" s="18" t="str">
        <f>IFERROR(VLOOKUP(C17,[6]Sheet2!$C$1:$F$1223,4,0),"")</f>
        <v>동천(주)</v>
      </c>
      <c r="F17" s="2" t="s">
        <v>2910</v>
      </c>
      <c r="G17" s="3" t="s">
        <v>3013</v>
      </c>
      <c r="H17" s="4" t="s">
        <v>2953</v>
      </c>
      <c r="I17" s="4" t="s">
        <v>2959</v>
      </c>
      <c r="J17" s="23" t="s">
        <v>2970</v>
      </c>
      <c r="K17" s="27"/>
      <c r="L17" s="28"/>
      <c r="M17" s="28"/>
      <c r="N17" s="28"/>
      <c r="O17" s="28"/>
      <c r="P17" s="28"/>
      <c r="Q17" s="28">
        <v>4</v>
      </c>
      <c r="R17" s="28">
        <v>7</v>
      </c>
      <c r="S17" s="28">
        <v>9</v>
      </c>
      <c r="T17" s="28">
        <v>9</v>
      </c>
      <c r="U17" s="28">
        <v>4</v>
      </c>
      <c r="V17" s="29">
        <v>6</v>
      </c>
      <c r="X17" s="31">
        <v>2</v>
      </c>
      <c r="Y17" s="32">
        <v>11</v>
      </c>
    </row>
    <row r="18" spans="2:25">
      <c r="B18" s="17" t="str">
        <f>IFERROR(VLOOKUP(C18,[6]Sheet2!$C$3:$F$1223,2,0),"")</f>
        <v>Jeju</v>
      </c>
      <c r="C18" s="3">
        <v>86365</v>
      </c>
      <c r="D18" s="18" t="str">
        <f>IFERROR(VLOOKUP(C18,[6]Sheet2!$C$1:$F$1223,3,0),"")</f>
        <v>김태현</v>
      </c>
      <c r="E18" s="18" t="str">
        <f>IFERROR(VLOOKUP(C18,[6]Sheet2!$C$1:$F$1223,4,0),"")</f>
        <v>주식회사 판다주류제주</v>
      </c>
      <c r="F18" s="62" t="s">
        <v>2911</v>
      </c>
      <c r="G18" s="3" t="s">
        <v>3013</v>
      </c>
      <c r="H18" s="4" t="s">
        <v>2953</v>
      </c>
      <c r="I18" s="4" t="s">
        <v>2959</v>
      </c>
      <c r="J18" s="23" t="s">
        <v>2971</v>
      </c>
      <c r="K18" s="27"/>
      <c r="L18" s="28"/>
      <c r="M18" s="28"/>
      <c r="N18" s="28"/>
      <c r="O18" s="28"/>
      <c r="P18" s="28">
        <v>1</v>
      </c>
      <c r="Q18" s="28">
        <v>2</v>
      </c>
      <c r="R18" s="28">
        <v>2</v>
      </c>
      <c r="S18" s="28"/>
      <c r="T18" s="28"/>
      <c r="U18" s="28"/>
      <c r="V18" s="29"/>
    </row>
    <row r="19" spans="2:25">
      <c r="B19" s="17" t="str">
        <f>IFERROR(VLOOKUP(C19,[6]Sheet2!$C$3:$F$1223,2,0),"")</f>
        <v>Jeju</v>
      </c>
      <c r="C19" s="3">
        <v>34024</v>
      </c>
      <c r="D19" s="18" t="str">
        <f>IFERROR(VLOOKUP(C19,[6]Sheet2!$C$1:$F$1223,3,0),"")</f>
        <v>김태현</v>
      </c>
      <c r="E19" s="18" t="str">
        <f>IFERROR(VLOOKUP(C19,[6]Sheet2!$C$1:$F$1223,4,0),"")</f>
        <v>제일주류주식회사</v>
      </c>
      <c r="F19" s="2" t="s">
        <v>2912</v>
      </c>
      <c r="G19" s="3" t="s">
        <v>3013</v>
      </c>
      <c r="H19" s="4" t="s">
        <v>2953</v>
      </c>
      <c r="I19" s="4" t="s">
        <v>2954</v>
      </c>
      <c r="J19" s="23" t="s">
        <v>2972</v>
      </c>
      <c r="K19" s="27"/>
      <c r="L19" s="28"/>
      <c r="M19" s="28"/>
      <c r="N19" s="28"/>
      <c r="O19" s="28"/>
      <c r="P19" s="28">
        <v>1</v>
      </c>
      <c r="Q19" s="28">
        <v>1</v>
      </c>
      <c r="R19" s="28">
        <v>2</v>
      </c>
      <c r="S19" s="28"/>
      <c r="T19" s="28"/>
      <c r="U19" s="28">
        <v>2</v>
      </c>
      <c r="V19" s="29"/>
      <c r="Y19" s="32">
        <v>1</v>
      </c>
    </row>
    <row r="20" spans="2:25">
      <c r="B20" s="17" t="str">
        <f>IFERROR(VLOOKUP(C20,[6]Sheet2!$C$3:$F$1223,2,0),"")</f>
        <v>Jeju</v>
      </c>
      <c r="C20" s="3">
        <v>34033</v>
      </c>
      <c r="D20" s="18" t="str">
        <f>IFERROR(VLOOKUP(C20,[6]Sheet2!$C$1:$F$1223,3,0),"")</f>
        <v>김태현</v>
      </c>
      <c r="E20" s="18" t="str">
        <f>IFERROR(VLOOKUP(C20,[6]Sheet2!$C$1:$F$1223,4,0),"")</f>
        <v>동천(주)</v>
      </c>
      <c r="F20" s="59" t="s">
        <v>2913</v>
      </c>
      <c r="G20" s="3" t="s">
        <v>3013</v>
      </c>
      <c r="H20" s="4" t="s">
        <v>2953</v>
      </c>
      <c r="I20" s="4" t="s">
        <v>2959</v>
      </c>
      <c r="J20" s="23" t="s">
        <v>2973</v>
      </c>
      <c r="K20" s="27"/>
      <c r="L20" s="28"/>
      <c r="M20" s="28"/>
      <c r="N20" s="28"/>
      <c r="O20" s="28"/>
      <c r="P20" s="28"/>
      <c r="Q20" s="28">
        <v>1</v>
      </c>
      <c r="R20" s="28"/>
      <c r="S20" s="28"/>
      <c r="T20" s="28"/>
      <c r="U20" s="28"/>
      <c r="V20" s="29"/>
    </row>
    <row r="21" spans="2:25">
      <c r="B21" s="17" t="str">
        <f>IFERROR(VLOOKUP(C21,[6]Sheet2!$C$3:$F$1223,2,0),"")</f>
        <v>Jeju</v>
      </c>
      <c r="C21" s="3">
        <v>86365</v>
      </c>
      <c r="D21" s="18" t="str">
        <f>IFERROR(VLOOKUP(C21,[6]Sheet2!$C$1:$F$1223,3,0),"")</f>
        <v>김태현</v>
      </c>
      <c r="E21" s="18" t="str">
        <f>IFERROR(VLOOKUP(C21,[6]Sheet2!$C$1:$F$1223,4,0),"")</f>
        <v>주식회사 판다주류제주</v>
      </c>
      <c r="F21" s="2" t="s">
        <v>2914</v>
      </c>
      <c r="G21" s="3" t="s">
        <v>3013</v>
      </c>
      <c r="H21" s="4" t="s">
        <v>2953</v>
      </c>
      <c r="I21" s="4" t="s">
        <v>2959</v>
      </c>
      <c r="J21" s="23" t="s">
        <v>2974</v>
      </c>
      <c r="K21" s="27"/>
      <c r="L21" s="28"/>
      <c r="M21" s="28"/>
      <c r="N21" s="28"/>
      <c r="O21" s="28"/>
      <c r="P21" s="28"/>
      <c r="Q21" s="28">
        <v>4</v>
      </c>
      <c r="R21" s="28">
        <v>6</v>
      </c>
      <c r="S21" s="28">
        <v>1</v>
      </c>
      <c r="T21" s="28">
        <v>6</v>
      </c>
      <c r="U21" s="28"/>
      <c r="V21" s="29">
        <v>4</v>
      </c>
      <c r="X21" s="31">
        <v>2</v>
      </c>
      <c r="Y21" s="32">
        <v>2</v>
      </c>
    </row>
    <row r="22" spans="2:25">
      <c r="B22" s="17" t="str">
        <f>IFERROR(VLOOKUP(C22,[6]Sheet2!$C$3:$F$1223,2,0),"")</f>
        <v>Jeju</v>
      </c>
      <c r="C22" s="3">
        <v>86365</v>
      </c>
      <c r="D22" s="18" t="str">
        <f>IFERROR(VLOOKUP(C22,[6]Sheet2!$C$1:$F$1223,3,0),"")</f>
        <v>김태현</v>
      </c>
      <c r="E22" s="18" t="str">
        <f>IFERROR(VLOOKUP(C22,[6]Sheet2!$C$1:$F$1223,4,0),"")</f>
        <v>주식회사 판다주류제주</v>
      </c>
      <c r="F22" s="2" t="s">
        <v>2915</v>
      </c>
      <c r="G22" s="3" t="s">
        <v>3013</v>
      </c>
      <c r="H22" s="4" t="s">
        <v>2953</v>
      </c>
      <c r="I22" s="4" t="s">
        <v>2954</v>
      </c>
      <c r="J22" s="23" t="s">
        <v>2975</v>
      </c>
      <c r="K22" s="27"/>
      <c r="L22" s="28"/>
      <c r="M22" s="28"/>
      <c r="N22" s="28"/>
      <c r="O22" s="28"/>
      <c r="P22" s="28"/>
      <c r="Q22" s="28">
        <v>3</v>
      </c>
      <c r="R22" s="28"/>
      <c r="S22" s="28"/>
      <c r="T22" s="28"/>
      <c r="U22" s="28"/>
      <c r="V22" s="29">
        <v>2</v>
      </c>
    </row>
    <row r="23" spans="2:25">
      <c r="B23" s="17" t="str">
        <f>IFERROR(VLOOKUP(C23,[6]Sheet2!$C$3:$F$1223,2,0),"")</f>
        <v>Jeju</v>
      </c>
      <c r="C23" s="3">
        <v>86365</v>
      </c>
      <c r="D23" s="18" t="str">
        <f>IFERROR(VLOOKUP(C23,[6]Sheet2!$C$1:$F$1223,3,0),"")</f>
        <v>김태현</v>
      </c>
      <c r="E23" s="18" t="str">
        <f>IFERROR(VLOOKUP(C23,[6]Sheet2!$C$1:$F$1223,4,0),"")</f>
        <v>주식회사 판다주류제주</v>
      </c>
      <c r="F23" s="2" t="s">
        <v>2916</v>
      </c>
      <c r="G23" s="3" t="s">
        <v>3013</v>
      </c>
      <c r="H23" s="4" t="s">
        <v>2953</v>
      </c>
      <c r="I23" s="4" t="s">
        <v>2954</v>
      </c>
      <c r="J23" s="23" t="s">
        <v>2976</v>
      </c>
      <c r="K23" s="27"/>
      <c r="L23" s="28"/>
      <c r="M23" s="28"/>
      <c r="N23" s="28"/>
      <c r="O23" s="28"/>
      <c r="P23" s="28"/>
      <c r="Q23" s="28">
        <v>3</v>
      </c>
      <c r="R23" s="28"/>
      <c r="S23" s="28"/>
      <c r="T23" s="28">
        <v>2</v>
      </c>
      <c r="U23" s="28"/>
      <c r="V23" s="29">
        <v>2</v>
      </c>
    </row>
    <row r="24" spans="2:25">
      <c r="B24" s="17" t="str">
        <f>IFERROR(VLOOKUP(C24,[6]Sheet2!$C$3:$F$1223,2,0),"")</f>
        <v>Jeju</v>
      </c>
      <c r="C24" s="3">
        <v>86365</v>
      </c>
      <c r="D24" s="18" t="str">
        <f>IFERROR(VLOOKUP(C24,[6]Sheet2!$C$1:$F$1223,3,0),"")</f>
        <v>김태현</v>
      </c>
      <c r="E24" s="18" t="str">
        <f>IFERROR(VLOOKUP(C24,[6]Sheet2!$C$1:$F$1223,4,0),"")</f>
        <v>주식회사 판다주류제주</v>
      </c>
      <c r="F24" s="2" t="s">
        <v>2917</v>
      </c>
      <c r="G24" s="3" t="s">
        <v>3013</v>
      </c>
      <c r="H24" s="4" t="s">
        <v>2953</v>
      </c>
      <c r="I24" s="4" t="s">
        <v>2959</v>
      </c>
      <c r="J24" s="23" t="s">
        <v>2977</v>
      </c>
      <c r="K24" s="27"/>
      <c r="L24" s="28"/>
      <c r="M24" s="28"/>
      <c r="N24" s="28"/>
      <c r="O24" s="28"/>
      <c r="P24" s="28"/>
      <c r="Q24" s="28">
        <v>2</v>
      </c>
      <c r="R24" s="28"/>
      <c r="S24" s="28"/>
      <c r="T24" s="28">
        <v>4</v>
      </c>
      <c r="U24" s="28"/>
      <c r="V24" s="29">
        <v>2</v>
      </c>
      <c r="X24" s="31">
        <v>3</v>
      </c>
      <c r="Y24" s="32">
        <v>4</v>
      </c>
    </row>
    <row r="25" spans="2:25">
      <c r="B25" s="17" t="str">
        <f>IFERROR(VLOOKUP(C25,[6]Sheet2!$C$3:$F$1223,2,0),"")</f>
        <v>Jeju</v>
      </c>
      <c r="C25" s="3">
        <v>86365</v>
      </c>
      <c r="D25" s="18" t="str">
        <f>IFERROR(VLOOKUP(C25,[6]Sheet2!$C$1:$F$1223,3,0),"")</f>
        <v>김태현</v>
      </c>
      <c r="E25" s="18" t="str">
        <f>IFERROR(VLOOKUP(C25,[6]Sheet2!$C$1:$F$1223,4,0),"")</f>
        <v>주식회사 판다주류제주</v>
      </c>
      <c r="F25" s="2" t="s">
        <v>2918</v>
      </c>
      <c r="G25" s="3" t="s">
        <v>3013</v>
      </c>
      <c r="H25" s="4" t="s">
        <v>2953</v>
      </c>
      <c r="I25" s="4" t="s">
        <v>2959</v>
      </c>
      <c r="J25" s="23" t="s">
        <v>2978</v>
      </c>
      <c r="K25" s="27"/>
      <c r="L25" s="28"/>
      <c r="M25" s="28"/>
      <c r="N25" s="28"/>
      <c r="O25" s="28"/>
      <c r="P25" s="28"/>
      <c r="Q25" s="28">
        <v>9</v>
      </c>
      <c r="R25" s="28">
        <v>12</v>
      </c>
      <c r="S25" s="28">
        <v>20</v>
      </c>
      <c r="T25" s="28">
        <v>10</v>
      </c>
      <c r="U25" s="28">
        <v>15</v>
      </c>
      <c r="V25" s="29">
        <v>12</v>
      </c>
      <c r="X25" s="31">
        <v>13</v>
      </c>
      <c r="Y25" s="32">
        <v>7</v>
      </c>
    </row>
    <row r="26" spans="2:25">
      <c r="B26" s="17" t="str">
        <f>IFERROR(VLOOKUP(C26,[6]Sheet2!$C$3:$F$1223,2,0),"")</f>
        <v>Jeju</v>
      </c>
      <c r="C26" s="3">
        <v>86365</v>
      </c>
      <c r="D26" s="18" t="str">
        <f>IFERROR(VLOOKUP(C26,[6]Sheet2!$C$1:$F$1223,3,0),"")</f>
        <v>김태현</v>
      </c>
      <c r="E26" s="18" t="str">
        <f>IFERROR(VLOOKUP(C26,[6]Sheet2!$C$1:$F$1223,4,0),"")</f>
        <v>주식회사 판다주류제주</v>
      </c>
      <c r="F26" s="2" t="s">
        <v>2919</v>
      </c>
      <c r="G26" s="3" t="s">
        <v>3013</v>
      </c>
      <c r="H26" s="4" t="s">
        <v>2953</v>
      </c>
      <c r="I26" s="4" t="s">
        <v>2954</v>
      </c>
      <c r="J26" s="23" t="s">
        <v>2979</v>
      </c>
      <c r="K26" s="27"/>
      <c r="L26" s="28"/>
      <c r="M26" s="28"/>
      <c r="N26" s="28"/>
      <c r="O26" s="28"/>
      <c r="P26" s="28"/>
      <c r="Q26" s="28">
        <v>1</v>
      </c>
      <c r="R26" s="28"/>
      <c r="S26" s="28"/>
      <c r="T26" s="28"/>
      <c r="U26" s="28"/>
      <c r="V26" s="29"/>
    </row>
    <row r="27" spans="2:25">
      <c r="B27" s="17" t="str">
        <f>IFERROR(VLOOKUP(C27,[6]Sheet2!$C$3:$F$1223,2,0),"")</f>
        <v>Jeju</v>
      </c>
      <c r="C27" s="3">
        <v>86365</v>
      </c>
      <c r="D27" s="18" t="str">
        <f>IFERROR(VLOOKUP(C27,[6]Sheet2!$C$1:$F$1223,3,0),"")</f>
        <v>김태현</v>
      </c>
      <c r="E27" s="18" t="str">
        <f>IFERROR(VLOOKUP(C27,[6]Sheet2!$C$1:$F$1223,4,0),"")</f>
        <v>주식회사 판다주류제주</v>
      </c>
      <c r="F27" s="2" t="s">
        <v>2920</v>
      </c>
      <c r="G27" s="3" t="s">
        <v>3013</v>
      </c>
      <c r="H27" s="4" t="s">
        <v>2953</v>
      </c>
      <c r="I27" s="4" t="s">
        <v>2954</v>
      </c>
      <c r="J27" s="23" t="s">
        <v>2980</v>
      </c>
      <c r="K27" s="27"/>
      <c r="L27" s="28"/>
      <c r="M27" s="28"/>
      <c r="N27" s="28"/>
      <c r="O27" s="28"/>
      <c r="P27" s="28"/>
      <c r="Q27" s="28">
        <v>1</v>
      </c>
      <c r="R27" s="28"/>
      <c r="S27" s="28">
        <v>1</v>
      </c>
      <c r="T27" s="28"/>
      <c r="U27" s="28"/>
      <c r="V27" s="29">
        <v>2</v>
      </c>
      <c r="Y27" s="32">
        <v>4</v>
      </c>
    </row>
    <row r="28" spans="2:25">
      <c r="B28" s="17" t="str">
        <f>IFERROR(VLOOKUP(C28,[6]Sheet2!$C$3:$F$1223,2,0),"")</f>
        <v>Jeju</v>
      </c>
      <c r="C28" s="3">
        <v>86365</v>
      </c>
      <c r="D28" s="18" t="str">
        <f>IFERROR(VLOOKUP(C28,[6]Sheet2!$C$1:$F$1223,3,0),"")</f>
        <v>김태현</v>
      </c>
      <c r="E28" s="18" t="str">
        <f>IFERROR(VLOOKUP(C28,[6]Sheet2!$C$1:$F$1223,4,0),"")</f>
        <v>주식회사 판다주류제주</v>
      </c>
      <c r="F28" s="2" t="s">
        <v>2921</v>
      </c>
      <c r="G28" s="3" t="s">
        <v>3013</v>
      </c>
      <c r="H28" s="4" t="s">
        <v>2953</v>
      </c>
      <c r="I28" s="4" t="s">
        <v>2959</v>
      </c>
      <c r="J28" s="23" t="s">
        <v>2981</v>
      </c>
      <c r="K28" s="27"/>
      <c r="L28" s="28"/>
      <c r="M28" s="28"/>
      <c r="N28" s="28"/>
      <c r="O28" s="28"/>
      <c r="P28" s="28"/>
      <c r="Q28" s="28">
        <v>5</v>
      </c>
      <c r="R28" s="28"/>
      <c r="S28" s="28">
        <v>2</v>
      </c>
      <c r="T28" s="28">
        <v>5</v>
      </c>
      <c r="U28" s="28"/>
      <c r="V28" s="29"/>
      <c r="X28" s="31">
        <v>3</v>
      </c>
      <c r="Y28" s="32">
        <v>5</v>
      </c>
    </row>
    <row r="29" spans="2:25">
      <c r="B29" s="17" t="str">
        <f>IFERROR(VLOOKUP(C29,[6]Sheet2!$C$3:$F$1223,2,0),"")</f>
        <v>Jeju</v>
      </c>
      <c r="C29" s="3">
        <v>86365</v>
      </c>
      <c r="D29" s="18" t="str">
        <f>IFERROR(VLOOKUP(C29,[6]Sheet2!$C$1:$F$1223,3,0),"")</f>
        <v>김태현</v>
      </c>
      <c r="E29" s="18" t="str">
        <f>IFERROR(VLOOKUP(C29,[6]Sheet2!$C$1:$F$1223,4,0),"")</f>
        <v>주식회사 판다주류제주</v>
      </c>
      <c r="F29" s="2" t="s">
        <v>2922</v>
      </c>
      <c r="G29" s="3" t="s">
        <v>3013</v>
      </c>
      <c r="H29" s="4" t="s">
        <v>2953</v>
      </c>
      <c r="I29" s="4" t="s">
        <v>2954</v>
      </c>
      <c r="J29" s="23" t="s">
        <v>2982</v>
      </c>
      <c r="K29" s="27"/>
      <c r="L29" s="28"/>
      <c r="M29" s="28"/>
      <c r="N29" s="28"/>
      <c r="O29" s="28"/>
      <c r="P29" s="28"/>
      <c r="Q29" s="28">
        <v>3</v>
      </c>
      <c r="R29" s="28">
        <v>3</v>
      </c>
      <c r="S29" s="28"/>
      <c r="T29" s="28"/>
      <c r="U29" s="28"/>
      <c r="V29" s="29"/>
      <c r="Y29" s="32">
        <v>3</v>
      </c>
    </row>
    <row r="30" spans="2:25">
      <c r="B30" s="17" t="str">
        <f>IFERROR(VLOOKUP(C30,[6]Sheet2!$C$3:$F$1223,2,0),"")</f>
        <v>Jeju</v>
      </c>
      <c r="C30" s="3">
        <v>86365</v>
      </c>
      <c r="D30" s="18" t="str">
        <f>IFERROR(VLOOKUP(C30,[6]Sheet2!$C$1:$F$1223,3,0),"")</f>
        <v>김태현</v>
      </c>
      <c r="E30" s="18" t="str">
        <f>IFERROR(VLOOKUP(C30,[6]Sheet2!$C$1:$F$1223,4,0),"")</f>
        <v>주식회사 판다주류제주</v>
      </c>
      <c r="F30" s="2" t="s">
        <v>2923</v>
      </c>
      <c r="G30" s="3" t="s">
        <v>3013</v>
      </c>
      <c r="H30" s="4" t="s">
        <v>2953</v>
      </c>
      <c r="I30" s="4" t="s">
        <v>2954</v>
      </c>
      <c r="J30" s="23" t="s">
        <v>2983</v>
      </c>
      <c r="K30" s="27"/>
      <c r="L30" s="28"/>
      <c r="M30" s="28"/>
      <c r="N30" s="28"/>
      <c r="O30" s="28"/>
      <c r="P30" s="28"/>
      <c r="Q30" s="28">
        <v>1</v>
      </c>
      <c r="R30" s="28">
        <v>1</v>
      </c>
      <c r="S30" s="28"/>
      <c r="T30" s="28">
        <v>1</v>
      </c>
      <c r="U30" s="28"/>
      <c r="V30" s="29">
        <v>1</v>
      </c>
      <c r="Y30" s="32">
        <v>1</v>
      </c>
    </row>
    <row r="31" spans="2:25">
      <c r="B31" s="17" t="str">
        <f>IFERROR(VLOOKUP(C31,[6]Sheet2!$C$3:$F$1223,2,0),"")</f>
        <v>Jeju</v>
      </c>
      <c r="C31" s="3">
        <v>86365</v>
      </c>
      <c r="D31" s="18" t="str">
        <f>IFERROR(VLOOKUP(C31,[6]Sheet2!$C$1:$F$1223,3,0),"")</f>
        <v>김태현</v>
      </c>
      <c r="E31" s="18" t="str">
        <f>IFERROR(VLOOKUP(C31,[6]Sheet2!$C$1:$F$1223,4,0),"")</f>
        <v>주식회사 판다주류제주</v>
      </c>
      <c r="F31" s="2" t="s">
        <v>2924</v>
      </c>
      <c r="G31" s="3" t="s">
        <v>3013</v>
      </c>
      <c r="H31" s="4" t="s">
        <v>2953</v>
      </c>
      <c r="I31" s="4" t="s">
        <v>2954</v>
      </c>
      <c r="J31" s="23" t="s">
        <v>2984</v>
      </c>
      <c r="K31" s="27"/>
      <c r="L31" s="28"/>
      <c r="M31" s="28"/>
      <c r="N31" s="28"/>
      <c r="O31" s="28"/>
      <c r="P31" s="28"/>
      <c r="Q31" s="28">
        <v>1</v>
      </c>
      <c r="R31" s="28">
        <v>2</v>
      </c>
      <c r="S31" s="28"/>
      <c r="T31" s="28"/>
      <c r="U31" s="28"/>
      <c r="V31" s="29"/>
      <c r="X31" s="31">
        <v>10</v>
      </c>
    </row>
    <row r="32" spans="2:25">
      <c r="B32" s="17" t="str">
        <f>IFERROR(VLOOKUP(C32,[6]Sheet2!$C$3:$F$1223,2,0),"")</f>
        <v>Jeju</v>
      </c>
      <c r="C32" s="3">
        <v>86365</v>
      </c>
      <c r="D32" s="18" t="str">
        <f>IFERROR(VLOOKUP(C32,[6]Sheet2!$C$1:$F$1223,3,0),"")</f>
        <v>김태현</v>
      </c>
      <c r="E32" s="18" t="str">
        <f>IFERROR(VLOOKUP(C32,[6]Sheet2!$C$1:$F$1223,4,0),"")</f>
        <v>주식회사 판다주류제주</v>
      </c>
      <c r="F32" s="2" t="s">
        <v>2925</v>
      </c>
      <c r="G32" s="3" t="s">
        <v>3013</v>
      </c>
      <c r="H32" s="4" t="s">
        <v>2953</v>
      </c>
      <c r="I32" s="4" t="s">
        <v>2959</v>
      </c>
      <c r="J32" s="23" t="s">
        <v>2985</v>
      </c>
      <c r="K32" s="27"/>
      <c r="L32" s="28"/>
      <c r="M32" s="28"/>
      <c r="N32" s="28"/>
      <c r="O32" s="28"/>
      <c r="P32" s="28"/>
      <c r="Q32" s="28">
        <v>1</v>
      </c>
      <c r="R32" s="28"/>
      <c r="S32" s="28"/>
      <c r="T32" s="28"/>
      <c r="U32" s="28"/>
      <c r="V32" s="29"/>
    </row>
    <row r="33" spans="2:25">
      <c r="B33" s="17" t="str">
        <f>IFERROR(VLOOKUP(C33,[6]Sheet2!$C$3:$F$1223,2,0),"")</f>
        <v>Jeju</v>
      </c>
      <c r="C33" s="3">
        <v>34025</v>
      </c>
      <c r="D33" s="18" t="str">
        <f>IFERROR(VLOOKUP(C33,[6]Sheet2!$C$1:$F$1223,3,0),"")</f>
        <v>김태현</v>
      </c>
      <c r="E33" s="18" t="str">
        <f>IFERROR(VLOOKUP(C33,[6]Sheet2!$C$1:$F$1223,4,0),"")</f>
        <v>세계물산주식회사</v>
      </c>
      <c r="F33" s="2" t="s">
        <v>2926</v>
      </c>
      <c r="G33" s="3" t="s">
        <v>3013</v>
      </c>
      <c r="H33" s="4" t="s">
        <v>2953</v>
      </c>
      <c r="I33" s="4" t="s">
        <v>2954</v>
      </c>
      <c r="J33" s="23" t="s">
        <v>2986</v>
      </c>
      <c r="K33" s="27"/>
      <c r="L33" s="28"/>
      <c r="M33" s="28"/>
      <c r="N33" s="28"/>
      <c r="O33" s="28"/>
      <c r="P33" s="28"/>
      <c r="Q33" s="28"/>
      <c r="R33" s="28">
        <v>1</v>
      </c>
      <c r="S33" s="28"/>
      <c r="T33" s="28"/>
      <c r="U33" s="28"/>
      <c r="V33" s="29"/>
    </row>
    <row r="34" spans="2:25">
      <c r="B34" s="17" t="str">
        <f>IFERROR(VLOOKUP(C34,[6]Sheet2!$C$3:$F$1223,2,0),"")</f>
        <v>Jeju</v>
      </c>
      <c r="C34" s="3">
        <v>86365</v>
      </c>
      <c r="D34" s="18" t="str">
        <f>IFERROR(VLOOKUP(C34,[6]Sheet2!$C$1:$F$1223,3,0),"")</f>
        <v>김태현</v>
      </c>
      <c r="E34" s="18" t="str">
        <f>IFERROR(VLOOKUP(C34,[6]Sheet2!$C$1:$F$1223,4,0),"")</f>
        <v>주식회사 판다주류제주</v>
      </c>
      <c r="F34" s="2" t="s">
        <v>2927</v>
      </c>
      <c r="G34" s="3" t="s">
        <v>3013</v>
      </c>
      <c r="H34" s="4" t="s">
        <v>2953</v>
      </c>
      <c r="I34" s="4" t="s">
        <v>2954</v>
      </c>
      <c r="J34" s="23" t="s">
        <v>2987</v>
      </c>
      <c r="K34" s="27"/>
      <c r="L34" s="28"/>
      <c r="M34" s="28"/>
      <c r="N34" s="28"/>
      <c r="O34" s="28"/>
      <c r="P34" s="28"/>
      <c r="Q34" s="28"/>
      <c r="R34" s="28">
        <v>1</v>
      </c>
      <c r="S34" s="28"/>
      <c r="T34" s="28"/>
      <c r="U34" s="28"/>
      <c r="V34" s="29"/>
    </row>
    <row r="35" spans="2:25">
      <c r="B35" s="17" t="str">
        <f>IFERROR(VLOOKUP(C35,[6]Sheet2!$C$3:$F$1223,2,0),"")</f>
        <v>Jeju</v>
      </c>
      <c r="C35" s="3">
        <v>34050</v>
      </c>
      <c r="D35" s="18" t="str">
        <f>IFERROR(VLOOKUP(C35,[6]Sheet2!$C$1:$F$1223,3,0),"")</f>
        <v>김태현</v>
      </c>
      <c r="E35" s="18" t="str">
        <f>IFERROR(VLOOKUP(C35,[6]Sheet2!$C$1:$F$1223,4,0),"")</f>
        <v>경희 주식회사</v>
      </c>
      <c r="F35" s="2" t="s">
        <v>2928</v>
      </c>
      <c r="G35" s="3" t="s">
        <v>3013</v>
      </c>
      <c r="H35" s="4" t="s">
        <v>2953</v>
      </c>
      <c r="I35" s="4" t="s">
        <v>2959</v>
      </c>
      <c r="J35" s="23" t="s">
        <v>2988</v>
      </c>
      <c r="K35" s="27"/>
      <c r="L35" s="28"/>
      <c r="M35" s="28"/>
      <c r="N35" s="28"/>
      <c r="O35" s="28"/>
      <c r="P35" s="28"/>
      <c r="Q35" s="28"/>
      <c r="R35" s="28">
        <v>1</v>
      </c>
      <c r="S35" s="28"/>
      <c r="T35" s="28"/>
      <c r="U35" s="28"/>
      <c r="V35" s="29"/>
    </row>
    <row r="36" spans="2:25">
      <c r="B36" s="17" t="str">
        <f>IFERROR(VLOOKUP(C36,[6]Sheet2!$C$3:$F$1223,2,0),"")</f>
        <v>Jeju</v>
      </c>
      <c r="C36" s="3">
        <v>34026</v>
      </c>
      <c r="D36" s="18" t="str">
        <f>IFERROR(VLOOKUP(C36,[6]Sheet2!$C$1:$F$1223,3,0),"")</f>
        <v>김태현</v>
      </c>
      <c r="E36" s="18" t="str">
        <f>IFERROR(VLOOKUP(C36,[6]Sheet2!$C$1:$F$1223,4,0),"")</f>
        <v>우일상사(유)</v>
      </c>
      <c r="F36" s="62" t="s">
        <v>2929</v>
      </c>
      <c r="G36" s="3" t="s">
        <v>3013</v>
      </c>
      <c r="H36" s="4" t="s">
        <v>2953</v>
      </c>
      <c r="I36" s="4" t="s">
        <v>2959</v>
      </c>
      <c r="J36" s="23" t="s">
        <v>2989</v>
      </c>
      <c r="K36" s="27"/>
      <c r="L36" s="28"/>
      <c r="M36" s="28"/>
      <c r="N36" s="28"/>
      <c r="O36" s="28"/>
      <c r="P36" s="28"/>
      <c r="Q36" s="28"/>
      <c r="R36" s="28"/>
      <c r="S36" s="28">
        <v>1</v>
      </c>
      <c r="T36" s="28"/>
      <c r="U36" s="28"/>
      <c r="V36" s="29"/>
    </row>
    <row r="37" spans="2:25">
      <c r="B37" s="17" t="str">
        <f>IFERROR(VLOOKUP(C37,[6]Sheet2!$C$3:$F$1223,2,0),"")</f>
        <v>Jeju</v>
      </c>
      <c r="C37" s="3">
        <v>86365</v>
      </c>
      <c r="D37" s="18" t="str">
        <f>IFERROR(VLOOKUP(C37,[6]Sheet2!$C$1:$F$1223,3,0),"")</f>
        <v>김태현</v>
      </c>
      <c r="E37" s="18" t="str">
        <f>IFERROR(VLOOKUP(C37,[6]Sheet2!$C$1:$F$1223,4,0),"")</f>
        <v>주식회사 판다주류제주</v>
      </c>
      <c r="F37" s="2" t="s">
        <v>2930</v>
      </c>
      <c r="G37" s="3" t="s">
        <v>3013</v>
      </c>
      <c r="H37" s="4" t="s">
        <v>2953</v>
      </c>
      <c r="I37" s="4" t="s">
        <v>2959</v>
      </c>
      <c r="J37" s="23" t="s">
        <v>2966</v>
      </c>
      <c r="K37" s="27"/>
      <c r="L37" s="28"/>
      <c r="M37" s="28"/>
      <c r="N37" s="28"/>
      <c r="O37" s="28"/>
      <c r="P37" s="28"/>
      <c r="Q37" s="28"/>
      <c r="R37" s="28">
        <v>1</v>
      </c>
      <c r="S37" s="28"/>
      <c r="T37" s="28"/>
      <c r="U37" s="28"/>
      <c r="V37" s="29"/>
    </row>
    <row r="38" spans="2:25">
      <c r="B38" s="17" t="str">
        <f>IFERROR(VLOOKUP(C38,[6]Sheet2!$C$3:$F$1223,2,0),"")</f>
        <v>Jeju</v>
      </c>
      <c r="C38" s="3">
        <v>34026</v>
      </c>
      <c r="D38" s="18" t="str">
        <f>IFERROR(VLOOKUP(C38,[6]Sheet2!$C$1:$F$1223,3,0),"")</f>
        <v>김태현</v>
      </c>
      <c r="E38" s="18" t="str">
        <f>IFERROR(VLOOKUP(C38,[6]Sheet2!$C$1:$F$1223,4,0),"")</f>
        <v>우일상사(유)</v>
      </c>
      <c r="F38" s="2" t="s">
        <v>2931</v>
      </c>
      <c r="G38" s="3" t="s">
        <v>3013</v>
      </c>
      <c r="H38" s="4" t="s">
        <v>2953</v>
      </c>
      <c r="I38" s="4" t="s">
        <v>2954</v>
      </c>
      <c r="J38" s="23" t="s">
        <v>2990</v>
      </c>
      <c r="K38" s="27"/>
      <c r="L38" s="28"/>
      <c r="M38" s="28"/>
      <c r="N38" s="28"/>
      <c r="O38" s="28"/>
      <c r="P38" s="28"/>
      <c r="Q38" s="28"/>
      <c r="R38" s="28"/>
      <c r="S38" s="28">
        <v>1</v>
      </c>
      <c r="T38" s="28"/>
      <c r="U38" s="28"/>
      <c r="V38" s="29"/>
    </row>
    <row r="39" spans="2:25">
      <c r="B39" s="17" t="str">
        <f>IFERROR(VLOOKUP(C39,[6]Sheet2!$C$3:$F$1223,2,0),"")</f>
        <v>Jeju</v>
      </c>
      <c r="C39" s="3">
        <v>86365</v>
      </c>
      <c r="D39" s="18" t="str">
        <f>IFERROR(VLOOKUP(C39,[6]Sheet2!$C$1:$F$1223,3,0),"")</f>
        <v>김태현</v>
      </c>
      <c r="E39" s="18" t="str">
        <f>IFERROR(VLOOKUP(C39,[6]Sheet2!$C$1:$F$1223,4,0),"")</f>
        <v>주식회사 판다주류제주</v>
      </c>
      <c r="F39" s="2" t="s">
        <v>2932</v>
      </c>
      <c r="G39" s="3" t="s">
        <v>3013</v>
      </c>
      <c r="H39" s="4" t="s">
        <v>2953</v>
      </c>
      <c r="I39" s="4" t="s">
        <v>2954</v>
      </c>
      <c r="J39" s="23" t="s">
        <v>2991</v>
      </c>
      <c r="K39" s="27"/>
      <c r="L39" s="28"/>
      <c r="M39" s="28"/>
      <c r="N39" s="28"/>
      <c r="O39" s="28"/>
      <c r="P39" s="28"/>
      <c r="Q39" s="28"/>
      <c r="R39" s="28">
        <v>2</v>
      </c>
      <c r="S39" s="28">
        <v>1</v>
      </c>
      <c r="T39" s="28">
        <v>2</v>
      </c>
      <c r="U39" s="28"/>
      <c r="V39" s="29"/>
      <c r="X39" s="31">
        <v>10</v>
      </c>
    </row>
    <row r="40" spans="2:25">
      <c r="B40" s="17" t="str">
        <f>IFERROR(VLOOKUP(C40,[6]Sheet2!$C$3:$F$1223,2,0),"")</f>
        <v>Jeju</v>
      </c>
      <c r="C40" s="3">
        <v>37233</v>
      </c>
      <c r="D40" s="18" t="str">
        <f>IFERROR(VLOOKUP(C40,[6]Sheet2!$C$1:$F$1223,3,0),"")</f>
        <v>김태현</v>
      </c>
      <c r="E40" s="18" t="str">
        <f>IFERROR(VLOOKUP(C40,[6]Sheet2!$C$1:$F$1223,4,0),"")</f>
        <v>대성물산(주)</v>
      </c>
      <c r="F40" s="62" t="s">
        <v>2933</v>
      </c>
      <c r="G40" s="3" t="s">
        <v>3013</v>
      </c>
      <c r="H40" s="4" t="s">
        <v>2953</v>
      </c>
      <c r="I40" s="4" t="s">
        <v>2954</v>
      </c>
      <c r="J40" s="23" t="s">
        <v>2992</v>
      </c>
      <c r="K40" s="27"/>
      <c r="L40" s="28"/>
      <c r="M40" s="28"/>
      <c r="N40" s="28"/>
      <c r="O40" s="28"/>
      <c r="P40" s="28"/>
      <c r="Q40" s="28"/>
      <c r="R40" s="28"/>
      <c r="S40" s="28">
        <v>1</v>
      </c>
      <c r="T40" s="28"/>
      <c r="U40" s="28"/>
      <c r="V40" s="29"/>
    </row>
    <row r="41" spans="2:25">
      <c r="B41" s="17" t="str">
        <f>IFERROR(VLOOKUP(C41,[6]Sheet2!$C$3:$F$1223,2,0),"")</f>
        <v>Jeju</v>
      </c>
      <c r="C41" s="3">
        <v>34033</v>
      </c>
      <c r="D41" s="18" t="str">
        <f>IFERROR(VLOOKUP(C41,[6]Sheet2!$C$1:$F$1223,3,0),"")</f>
        <v>김태현</v>
      </c>
      <c r="E41" s="18" t="str">
        <f>IFERROR(VLOOKUP(C41,[6]Sheet2!$C$1:$F$1223,4,0),"")</f>
        <v>동천(주)</v>
      </c>
      <c r="F41" s="62" t="s">
        <v>2934</v>
      </c>
      <c r="G41" s="3" t="s">
        <v>3013</v>
      </c>
      <c r="H41" s="4" t="s">
        <v>2953</v>
      </c>
      <c r="I41" s="4" t="s">
        <v>2959</v>
      </c>
      <c r="J41" s="23" t="s">
        <v>2993</v>
      </c>
      <c r="K41" s="27"/>
      <c r="L41" s="28"/>
      <c r="M41" s="28"/>
      <c r="N41" s="28"/>
      <c r="O41" s="28"/>
      <c r="P41" s="28"/>
      <c r="Q41" s="28"/>
      <c r="R41" s="28"/>
      <c r="S41" s="28">
        <v>1</v>
      </c>
      <c r="T41" s="28"/>
      <c r="U41" s="28"/>
      <c r="V41" s="29"/>
    </row>
    <row r="42" spans="2:25">
      <c r="B42" s="17" t="str">
        <f>IFERROR(VLOOKUP(C42,[6]Sheet2!$C$3:$F$1223,2,0),"")</f>
        <v>Jeju</v>
      </c>
      <c r="C42" s="3">
        <v>34025</v>
      </c>
      <c r="D42" s="18" t="str">
        <f>IFERROR(VLOOKUP(C42,[6]Sheet2!$C$1:$F$1223,3,0),"")</f>
        <v>김태현</v>
      </c>
      <c r="E42" s="18" t="str">
        <f>IFERROR(VLOOKUP(C42,[6]Sheet2!$C$1:$F$1223,4,0),"")</f>
        <v>세계물산주식회사</v>
      </c>
      <c r="F42" s="62" t="s">
        <v>2935</v>
      </c>
      <c r="G42" s="3" t="s">
        <v>3013</v>
      </c>
      <c r="H42" s="4" t="s">
        <v>2953</v>
      </c>
      <c r="I42" s="4" t="s">
        <v>2954</v>
      </c>
      <c r="J42" s="23" t="s">
        <v>2994</v>
      </c>
      <c r="K42" s="27"/>
      <c r="L42" s="28"/>
      <c r="M42" s="28"/>
      <c r="N42" s="28"/>
      <c r="O42" s="28"/>
      <c r="P42" s="28"/>
      <c r="Q42" s="28"/>
      <c r="R42" s="28"/>
      <c r="S42" s="28">
        <v>1</v>
      </c>
      <c r="T42" s="28"/>
      <c r="U42" s="28"/>
      <c r="V42" s="29"/>
    </row>
    <row r="43" spans="2:25">
      <c r="B43" s="17" t="str">
        <f>IFERROR(VLOOKUP(C43,[6]Sheet2!$C$3:$F$1223,2,0),"")</f>
        <v>Jeju</v>
      </c>
      <c r="C43" s="3">
        <v>86365</v>
      </c>
      <c r="D43" s="18" t="str">
        <f>IFERROR(VLOOKUP(C43,[6]Sheet2!$C$1:$F$1223,3,0),"")</f>
        <v>김태현</v>
      </c>
      <c r="E43" s="18" t="str">
        <f>IFERROR(VLOOKUP(C43,[6]Sheet2!$C$1:$F$1223,4,0),"")</f>
        <v>주식회사 판다주류제주</v>
      </c>
      <c r="F43" s="2" t="s">
        <v>2936</v>
      </c>
      <c r="G43" s="3" t="s">
        <v>3013</v>
      </c>
      <c r="H43" s="4" t="s">
        <v>2953</v>
      </c>
      <c r="I43" s="4" t="s">
        <v>2959</v>
      </c>
      <c r="J43" s="23" t="s">
        <v>2995</v>
      </c>
      <c r="K43" s="27"/>
      <c r="L43" s="28"/>
      <c r="M43" s="28"/>
      <c r="N43" s="28"/>
      <c r="O43" s="28"/>
      <c r="P43" s="28"/>
      <c r="Q43" s="28"/>
      <c r="R43" s="28"/>
      <c r="S43" s="28">
        <v>1</v>
      </c>
      <c r="T43" s="28"/>
      <c r="U43" s="28"/>
      <c r="V43" s="29">
        <v>1</v>
      </c>
    </row>
    <row r="44" spans="2:25">
      <c r="B44" s="17" t="str">
        <f>IFERROR(VLOOKUP(C44,[6]Sheet2!$C$3:$F$1223,2,0),"")</f>
        <v>Jeju</v>
      </c>
      <c r="C44" s="3">
        <v>86365</v>
      </c>
      <c r="D44" s="18" t="str">
        <f>IFERROR(VLOOKUP(C44,[6]Sheet2!$C$1:$F$1223,3,0),"")</f>
        <v>김태현</v>
      </c>
      <c r="E44" s="18" t="str">
        <f>IFERROR(VLOOKUP(C44,[6]Sheet2!$C$1:$F$1223,4,0),"")</f>
        <v>주식회사 판다주류제주</v>
      </c>
      <c r="F44" s="2" t="s">
        <v>2937</v>
      </c>
      <c r="G44" s="3" t="s">
        <v>3013</v>
      </c>
      <c r="H44" s="4" t="s">
        <v>2953</v>
      </c>
      <c r="I44" s="4" t="s">
        <v>2959</v>
      </c>
      <c r="J44" s="23" t="s">
        <v>2996</v>
      </c>
      <c r="K44" s="27"/>
      <c r="L44" s="28"/>
      <c r="M44" s="28"/>
      <c r="N44" s="28"/>
      <c r="O44" s="28"/>
      <c r="P44" s="28"/>
      <c r="Q44" s="28"/>
      <c r="R44" s="28"/>
      <c r="S44" s="28">
        <v>2</v>
      </c>
      <c r="T44" s="28">
        <v>1</v>
      </c>
      <c r="U44" s="28"/>
      <c r="V44" s="29"/>
      <c r="X44" s="31">
        <v>2</v>
      </c>
      <c r="Y44" s="32">
        <v>1</v>
      </c>
    </row>
    <row r="45" spans="2:25">
      <c r="B45" s="17" t="str">
        <f>IFERROR(VLOOKUP(C45,[6]Sheet2!$C$3:$F$1223,2,0),"")</f>
        <v>Jeju</v>
      </c>
      <c r="C45" s="3">
        <v>34031</v>
      </c>
      <c r="D45" s="18" t="str">
        <f>IFERROR(VLOOKUP(C45,[6]Sheet2!$C$1:$F$1223,3,0),"")</f>
        <v>김태현</v>
      </c>
      <c r="E45" s="18" t="str">
        <f>IFERROR(VLOOKUP(C45,[6]Sheet2!$C$1:$F$1223,4,0),"")</f>
        <v>영진(주)</v>
      </c>
      <c r="F45" s="2" t="s">
        <v>2938</v>
      </c>
      <c r="G45" s="3" t="s">
        <v>3013</v>
      </c>
      <c r="H45" s="4" t="s">
        <v>2953</v>
      </c>
      <c r="I45" s="4" t="s">
        <v>2959</v>
      </c>
      <c r="J45" s="23" t="s">
        <v>2997</v>
      </c>
      <c r="K45" s="27"/>
      <c r="L45" s="28"/>
      <c r="M45" s="28"/>
      <c r="N45" s="28"/>
      <c r="O45" s="28"/>
      <c r="P45" s="28"/>
      <c r="Q45" s="28"/>
      <c r="R45" s="28">
        <v>1</v>
      </c>
      <c r="S45" s="28">
        <v>1</v>
      </c>
      <c r="T45" s="28"/>
      <c r="U45" s="28"/>
      <c r="V45" s="29">
        <v>1</v>
      </c>
    </row>
    <row r="46" spans="2:25">
      <c r="B46" s="17" t="str">
        <f>IFERROR(VLOOKUP(C46,[6]Sheet2!$C$3:$F$1223,2,0),"")</f>
        <v>Jeju</v>
      </c>
      <c r="C46" s="3">
        <v>34033</v>
      </c>
      <c r="D46" s="18" t="str">
        <f>IFERROR(VLOOKUP(C46,[6]Sheet2!$C$1:$F$1223,3,0),"")</f>
        <v>김태현</v>
      </c>
      <c r="E46" s="18" t="str">
        <f>IFERROR(VLOOKUP(C46,[6]Sheet2!$C$1:$F$1223,4,0),"")</f>
        <v>동천(주)</v>
      </c>
      <c r="F46" s="62" t="s">
        <v>2939</v>
      </c>
      <c r="G46" s="3" t="s">
        <v>3013</v>
      </c>
      <c r="H46" s="4" t="s">
        <v>2953</v>
      </c>
      <c r="I46" s="4" t="s">
        <v>2954</v>
      </c>
      <c r="J46" s="23" t="s">
        <v>2998</v>
      </c>
      <c r="K46" s="27"/>
      <c r="L46" s="28"/>
      <c r="M46" s="28"/>
      <c r="N46" s="28"/>
      <c r="O46" s="28"/>
      <c r="P46" s="28"/>
      <c r="Q46" s="28"/>
      <c r="R46" s="28"/>
      <c r="S46" s="28">
        <v>1</v>
      </c>
      <c r="T46" s="28"/>
      <c r="U46" s="28"/>
      <c r="V46" s="29"/>
    </row>
    <row r="47" spans="2:25">
      <c r="B47" s="17" t="str">
        <f>IFERROR(VLOOKUP(C47,[6]Sheet2!$C$3:$F$1223,2,0),"")</f>
        <v>Jeju</v>
      </c>
      <c r="C47" s="3">
        <v>34024</v>
      </c>
      <c r="D47" s="18" t="str">
        <f>IFERROR(VLOOKUP(C47,[6]Sheet2!$C$1:$F$1223,3,0),"")</f>
        <v>김태현</v>
      </c>
      <c r="E47" s="18" t="str">
        <f>IFERROR(VLOOKUP(C47,[6]Sheet2!$C$1:$F$1223,4,0),"")</f>
        <v>제일주류주식회사</v>
      </c>
      <c r="F47" s="62" t="s">
        <v>2940</v>
      </c>
      <c r="G47" s="3" t="s">
        <v>3013</v>
      </c>
      <c r="H47" s="4" t="s">
        <v>2953</v>
      </c>
      <c r="I47" s="4" t="s">
        <v>2954</v>
      </c>
      <c r="J47" s="23" t="s">
        <v>2999</v>
      </c>
      <c r="K47" s="27"/>
      <c r="L47" s="28"/>
      <c r="M47" s="28"/>
      <c r="N47" s="28"/>
      <c r="O47" s="28"/>
      <c r="P47" s="28"/>
      <c r="Q47" s="28"/>
      <c r="R47" s="28"/>
      <c r="S47" s="28">
        <v>1</v>
      </c>
      <c r="T47" s="28"/>
      <c r="U47" s="28"/>
      <c r="V47" s="29"/>
    </row>
    <row r="48" spans="2:25">
      <c r="B48" s="17" t="str">
        <f>IFERROR(VLOOKUP(C48,[6]Sheet2!$C$3:$F$1223,2,0),"")</f>
        <v>Jeju</v>
      </c>
      <c r="C48" s="3">
        <v>34033</v>
      </c>
      <c r="D48" s="18" t="str">
        <f>IFERROR(VLOOKUP(C48,[6]Sheet2!$C$1:$F$1223,3,0),"")</f>
        <v>김태현</v>
      </c>
      <c r="E48" s="18" t="str">
        <f>IFERROR(VLOOKUP(C48,[6]Sheet2!$C$1:$F$1223,4,0),"")</f>
        <v>동천(주)</v>
      </c>
      <c r="F48" s="62" t="s">
        <v>2941</v>
      </c>
      <c r="G48" s="3" t="s">
        <v>3013</v>
      </c>
      <c r="H48" s="4" t="s">
        <v>2953</v>
      </c>
      <c r="I48" s="4" t="s">
        <v>2959</v>
      </c>
      <c r="J48" s="23" t="s">
        <v>3000</v>
      </c>
      <c r="K48" s="27"/>
      <c r="L48" s="28"/>
      <c r="M48" s="28"/>
      <c r="N48" s="28"/>
      <c r="O48" s="28"/>
      <c r="P48" s="28"/>
      <c r="Q48" s="28"/>
      <c r="R48" s="28"/>
      <c r="S48" s="28">
        <v>1</v>
      </c>
      <c r="T48" s="28"/>
      <c r="U48" s="28"/>
      <c r="V48" s="29"/>
    </row>
    <row r="49" spans="2:25">
      <c r="B49" s="17" t="str">
        <f>IFERROR(VLOOKUP(C49,[6]Sheet2!$C$3:$F$1223,2,0),"")</f>
        <v>Jeju</v>
      </c>
      <c r="C49" s="3">
        <v>86365</v>
      </c>
      <c r="D49" s="18" t="str">
        <f>IFERROR(VLOOKUP(C49,[6]Sheet2!$C$1:$F$1223,3,0),"")</f>
        <v>김태현</v>
      </c>
      <c r="E49" s="18" t="str">
        <f>IFERROR(VLOOKUP(C49,[6]Sheet2!$C$1:$F$1223,4,0),"")</f>
        <v>주식회사 판다주류제주</v>
      </c>
      <c r="F49" s="2" t="s">
        <v>2942</v>
      </c>
      <c r="G49" s="3" t="s">
        <v>3013</v>
      </c>
      <c r="H49" s="4" t="s">
        <v>2953</v>
      </c>
      <c r="I49" s="4" t="s">
        <v>2954</v>
      </c>
      <c r="J49" s="23" t="s">
        <v>3001</v>
      </c>
      <c r="K49" s="27"/>
      <c r="L49" s="28"/>
      <c r="M49" s="28"/>
      <c r="N49" s="28"/>
      <c r="O49" s="28"/>
      <c r="P49" s="28"/>
      <c r="Q49" s="28"/>
      <c r="R49" s="28"/>
      <c r="S49" s="28">
        <v>1</v>
      </c>
      <c r="T49" s="28"/>
      <c r="U49" s="28"/>
      <c r="V49" s="29"/>
      <c r="X49" s="31">
        <v>2</v>
      </c>
      <c r="Y49" s="32">
        <v>6</v>
      </c>
    </row>
    <row r="50" spans="2:25">
      <c r="B50" s="17" t="str">
        <f>IFERROR(VLOOKUP(C50,[6]Sheet2!$C$3:$F$1223,2,0),"")</f>
        <v>Jeju</v>
      </c>
      <c r="C50" s="3">
        <v>37233</v>
      </c>
      <c r="D50" s="18" t="str">
        <f>IFERROR(VLOOKUP(C50,[6]Sheet2!$C$1:$F$1223,3,0),"")</f>
        <v>김태현</v>
      </c>
      <c r="E50" s="18" t="str">
        <f>IFERROR(VLOOKUP(C50,[6]Sheet2!$C$1:$F$1223,4,0),"")</f>
        <v>대성물산(주)</v>
      </c>
      <c r="F50" s="2" t="s">
        <v>2943</v>
      </c>
      <c r="G50" s="3" t="s">
        <v>3013</v>
      </c>
      <c r="H50" s="4" t="s">
        <v>3002</v>
      </c>
      <c r="I50" s="4" t="s">
        <v>2959</v>
      </c>
      <c r="J50" s="23" t="s">
        <v>3003</v>
      </c>
      <c r="K50" s="27"/>
      <c r="L50" s="28"/>
      <c r="M50" s="28"/>
      <c r="N50" s="28"/>
      <c r="O50" s="28"/>
      <c r="P50" s="28"/>
      <c r="Q50" s="28"/>
      <c r="R50" s="28"/>
      <c r="S50" s="28"/>
      <c r="T50" s="28">
        <v>1</v>
      </c>
      <c r="U50" s="28"/>
      <c r="V50" s="29"/>
    </row>
    <row r="51" spans="2:25">
      <c r="B51" s="17" t="str">
        <f>IFERROR(VLOOKUP(C51,[6]Sheet2!$C$3:$F$1223,2,0),"")</f>
        <v>Jeju</v>
      </c>
      <c r="C51" s="3">
        <v>34033</v>
      </c>
      <c r="D51" s="18" t="str">
        <f>IFERROR(VLOOKUP(C51,[6]Sheet2!$C$1:$F$1223,3,0),"")</f>
        <v>김태현</v>
      </c>
      <c r="E51" s="18" t="str">
        <f>IFERROR(VLOOKUP(C51,[6]Sheet2!$C$1:$F$1223,4,0),"")</f>
        <v>동천(주)</v>
      </c>
      <c r="F51" s="2" t="s">
        <v>2944</v>
      </c>
      <c r="G51" s="3" t="s">
        <v>3013</v>
      </c>
      <c r="H51" s="4" t="s">
        <v>2953</v>
      </c>
      <c r="I51" s="4" t="s">
        <v>2959</v>
      </c>
      <c r="J51" s="23" t="s">
        <v>3004</v>
      </c>
      <c r="K51" s="27"/>
      <c r="L51" s="28"/>
      <c r="M51" s="28"/>
      <c r="N51" s="28"/>
      <c r="O51" s="28"/>
      <c r="P51" s="28"/>
      <c r="Q51" s="28"/>
      <c r="R51" s="28"/>
      <c r="S51" s="28"/>
      <c r="T51" s="28">
        <v>1</v>
      </c>
      <c r="U51" s="28"/>
      <c r="V51" s="29"/>
      <c r="X51" s="31">
        <v>1</v>
      </c>
    </row>
    <row r="52" spans="2:25">
      <c r="B52" s="17" t="str">
        <f>IFERROR(VLOOKUP(C52,[6]Sheet2!$C$3:$F$1223,2,0),"")</f>
        <v>Jeju</v>
      </c>
      <c r="C52" s="3">
        <v>34038</v>
      </c>
      <c r="D52" s="18" t="str">
        <f>IFERROR(VLOOKUP(C52,[6]Sheet2!$C$1:$F$1223,3,0),"")</f>
        <v>김태현</v>
      </c>
      <c r="E52" s="18" t="str">
        <f>IFERROR(VLOOKUP(C52,[6]Sheet2!$C$1:$F$1223,4,0),"")</f>
        <v>화림물산(유)</v>
      </c>
      <c r="F52" s="62" t="s">
        <v>2945</v>
      </c>
      <c r="G52" s="3" t="s">
        <v>3013</v>
      </c>
      <c r="H52" s="4" t="s">
        <v>3002</v>
      </c>
      <c r="I52" s="4" t="s">
        <v>2959</v>
      </c>
      <c r="J52" s="23" t="s">
        <v>3005</v>
      </c>
      <c r="K52" s="27"/>
      <c r="L52" s="28"/>
      <c r="M52" s="28"/>
      <c r="N52" s="28"/>
      <c r="O52" s="28"/>
      <c r="P52" s="28"/>
      <c r="Q52" s="28"/>
      <c r="R52" s="28"/>
      <c r="S52" s="28"/>
      <c r="T52" s="28">
        <v>1</v>
      </c>
      <c r="U52" s="28"/>
      <c r="V52" s="29"/>
    </row>
    <row r="53" spans="2:25">
      <c r="B53" s="17" t="str">
        <f>IFERROR(VLOOKUP(C53,[6]Sheet2!$C$3:$F$1223,2,0),"")</f>
        <v>Jeju</v>
      </c>
      <c r="C53" s="3">
        <v>86365</v>
      </c>
      <c r="D53" s="18" t="str">
        <f>IFERROR(VLOOKUP(C53,[6]Sheet2!$C$1:$F$1223,3,0),"")</f>
        <v>김태현</v>
      </c>
      <c r="E53" s="18" t="str">
        <f>IFERROR(VLOOKUP(C53,[6]Sheet2!$C$1:$F$1223,4,0),"")</f>
        <v>주식회사 판다주류제주</v>
      </c>
      <c r="F53" s="2" t="s">
        <v>2946</v>
      </c>
      <c r="G53" s="3" t="s">
        <v>3013</v>
      </c>
      <c r="H53" s="4" t="s">
        <v>3002</v>
      </c>
      <c r="I53" s="4" t="s">
        <v>2954</v>
      </c>
      <c r="J53" s="23" t="s">
        <v>3006</v>
      </c>
      <c r="K53" s="27"/>
      <c r="L53" s="28"/>
      <c r="M53" s="28"/>
      <c r="N53" s="28"/>
      <c r="O53" s="28"/>
      <c r="P53" s="28"/>
      <c r="Q53" s="28"/>
      <c r="R53" s="28"/>
      <c r="S53" s="28"/>
      <c r="T53" s="28">
        <v>1</v>
      </c>
      <c r="U53" s="28"/>
      <c r="V53" s="29"/>
      <c r="X53" s="31">
        <v>1</v>
      </c>
      <c r="Y53" s="32">
        <v>2</v>
      </c>
    </row>
    <row r="54" spans="2:25">
      <c r="B54" s="17" t="str">
        <f>IFERROR(VLOOKUP(C54,[6]Sheet2!$C$3:$F$1223,2,0),"")</f>
        <v>Jeju</v>
      </c>
      <c r="C54" s="3">
        <v>86365</v>
      </c>
      <c r="D54" s="18" t="str">
        <f>IFERROR(VLOOKUP(C54,[6]Sheet2!$C$1:$F$1223,3,0),"")</f>
        <v>김태현</v>
      </c>
      <c r="E54" s="18" t="str">
        <f>IFERROR(VLOOKUP(C54,[6]Sheet2!$C$1:$F$1223,4,0),"")</f>
        <v>주식회사 판다주류제주</v>
      </c>
      <c r="F54" s="2" t="s">
        <v>2947</v>
      </c>
      <c r="G54" s="3" t="s">
        <v>3013</v>
      </c>
      <c r="H54" s="4" t="s">
        <v>3002</v>
      </c>
      <c r="I54" s="4" t="s">
        <v>2954</v>
      </c>
      <c r="J54" s="23" t="s">
        <v>3007</v>
      </c>
      <c r="K54" s="27"/>
      <c r="L54" s="28"/>
      <c r="M54" s="28"/>
      <c r="N54" s="28"/>
      <c r="O54" s="28"/>
      <c r="P54" s="28"/>
      <c r="Q54" s="28"/>
      <c r="R54" s="28"/>
      <c r="S54" s="28"/>
      <c r="T54" s="28">
        <v>1</v>
      </c>
      <c r="U54" s="28"/>
      <c r="V54" s="29"/>
    </row>
    <row r="55" spans="2:25">
      <c r="B55" s="17" t="str">
        <f>IFERROR(VLOOKUP(C55,[6]Sheet2!$C$3:$F$1223,2,0),"")</f>
        <v>Jeju</v>
      </c>
      <c r="C55" s="3">
        <v>86365</v>
      </c>
      <c r="D55" s="18" t="str">
        <f>IFERROR(VLOOKUP(C55,[6]Sheet2!$C$1:$F$1223,3,0),"")</f>
        <v>김태현</v>
      </c>
      <c r="E55" s="18" t="str">
        <f>IFERROR(VLOOKUP(C55,[6]Sheet2!$C$1:$F$1223,4,0),"")</f>
        <v>주식회사 판다주류제주</v>
      </c>
      <c r="F55" s="2" t="s">
        <v>2948</v>
      </c>
      <c r="G55" s="3" t="s">
        <v>3013</v>
      </c>
      <c r="H55" s="4" t="s">
        <v>2953</v>
      </c>
      <c r="I55" s="4" t="s">
        <v>2959</v>
      </c>
      <c r="J55" s="23" t="s">
        <v>3008</v>
      </c>
      <c r="K55" s="27"/>
      <c r="L55" s="28"/>
      <c r="M55" s="28"/>
      <c r="N55" s="28"/>
      <c r="O55" s="28"/>
      <c r="P55" s="28"/>
      <c r="Q55" s="28"/>
      <c r="R55" s="28"/>
      <c r="S55" s="28"/>
      <c r="T55" s="28">
        <v>1</v>
      </c>
      <c r="U55" s="28"/>
      <c r="V55" s="29"/>
    </row>
    <row r="56" spans="2:25">
      <c r="B56" s="17" t="str">
        <f>IFERROR(VLOOKUP(C56,[6]Sheet2!$C$3:$F$1223,2,0),"")</f>
        <v>Jeju</v>
      </c>
      <c r="C56" s="3">
        <v>86365</v>
      </c>
      <c r="D56" s="18" t="str">
        <f>IFERROR(VLOOKUP(C56,[6]Sheet2!$C$1:$F$1223,3,0),"")</f>
        <v>김태현</v>
      </c>
      <c r="E56" s="18" t="str">
        <f>IFERROR(VLOOKUP(C56,[6]Sheet2!$C$1:$F$1223,4,0),"")</f>
        <v>주식회사 판다주류제주</v>
      </c>
      <c r="F56" s="2" t="s">
        <v>2949</v>
      </c>
      <c r="G56" s="3" t="s">
        <v>3013</v>
      </c>
      <c r="H56" s="4" t="s">
        <v>2953</v>
      </c>
      <c r="I56" s="4" t="s">
        <v>2959</v>
      </c>
      <c r="J56" s="23" t="s">
        <v>3009</v>
      </c>
      <c r="K56" s="27"/>
      <c r="L56" s="28"/>
      <c r="M56" s="28"/>
      <c r="N56" s="28"/>
      <c r="O56" s="28"/>
      <c r="P56" s="28"/>
      <c r="Q56" s="28"/>
      <c r="R56" s="28"/>
      <c r="S56" s="28"/>
      <c r="T56" s="28"/>
      <c r="U56" s="28">
        <v>1</v>
      </c>
      <c r="V56" s="29"/>
      <c r="X56" s="31">
        <v>2</v>
      </c>
      <c r="Y56" s="32">
        <v>1</v>
      </c>
    </row>
    <row r="57" spans="2:25">
      <c r="B57" s="17" t="str">
        <f>IFERROR(VLOOKUP(C57,[6]Sheet2!$C$3:$F$1223,2,0),"")</f>
        <v>Jeju</v>
      </c>
      <c r="C57" s="3">
        <v>37233</v>
      </c>
      <c r="D57" s="18" t="str">
        <f>IFERROR(VLOOKUP(C57,[6]Sheet2!$C$1:$F$1223,3,0),"")</f>
        <v>김태현</v>
      </c>
      <c r="E57" s="18" t="str">
        <f>IFERROR(VLOOKUP(C57,[6]Sheet2!$C$1:$F$1223,4,0),"")</f>
        <v>대성물산(주)</v>
      </c>
      <c r="F57" s="2" t="s">
        <v>2950</v>
      </c>
      <c r="G57" s="3" t="s">
        <v>3013</v>
      </c>
      <c r="H57" s="4" t="s">
        <v>2953</v>
      </c>
      <c r="I57" s="4" t="s">
        <v>2959</v>
      </c>
      <c r="J57" s="23" t="s">
        <v>3010</v>
      </c>
      <c r="K57" s="27"/>
      <c r="L57" s="28"/>
      <c r="M57" s="28"/>
      <c r="N57" s="28"/>
      <c r="O57" s="28"/>
      <c r="P57" s="28"/>
      <c r="Q57" s="28"/>
      <c r="R57" s="28"/>
      <c r="S57" s="28"/>
      <c r="T57" s="28"/>
      <c r="U57" s="28">
        <v>1</v>
      </c>
      <c r="V57" s="29"/>
    </row>
    <row r="58" spans="2:25">
      <c r="B58" s="17" t="str">
        <f>IFERROR(VLOOKUP(C58,[6]Sheet2!$C$3:$F$1223,2,0),"")</f>
        <v>Jeju</v>
      </c>
      <c r="C58" s="3">
        <v>34024</v>
      </c>
      <c r="D58" s="18" t="str">
        <f>IFERROR(VLOOKUP(C58,[6]Sheet2!$C$1:$F$1223,3,0),"")</f>
        <v>김태현</v>
      </c>
      <c r="E58" s="18" t="str">
        <f>IFERROR(VLOOKUP(C58,[6]Sheet2!$C$1:$F$1223,4,0),"")</f>
        <v>제일주류주식회사</v>
      </c>
      <c r="F58" s="2" t="s">
        <v>2951</v>
      </c>
      <c r="G58" s="3" t="s">
        <v>3013</v>
      </c>
      <c r="H58" s="4" t="s">
        <v>2953</v>
      </c>
      <c r="I58" s="4" t="s">
        <v>2959</v>
      </c>
      <c r="J58" s="23" t="s">
        <v>3011</v>
      </c>
      <c r="K58" s="27"/>
      <c r="L58" s="28"/>
      <c r="M58" s="28"/>
      <c r="N58" s="28"/>
      <c r="O58" s="28"/>
      <c r="P58" s="28"/>
      <c r="Q58" s="28"/>
      <c r="R58" s="28"/>
      <c r="S58" s="28"/>
      <c r="T58" s="28"/>
      <c r="U58" s="28">
        <v>1</v>
      </c>
      <c r="V58" s="29"/>
    </row>
    <row r="59" spans="2:25">
      <c r="B59" s="17" t="str">
        <f>IFERROR(VLOOKUP(C59,[6]Sheet2!$C$3:$F$1223,2,0),"")</f>
        <v>Jeju</v>
      </c>
      <c r="C59" s="3">
        <v>34024</v>
      </c>
      <c r="D59" s="18" t="str">
        <f>IFERROR(VLOOKUP(C59,[6]Sheet2!$C$1:$F$1223,3,0),"")</f>
        <v>김태현</v>
      </c>
      <c r="E59" s="18" t="str">
        <f>IFERROR(VLOOKUP(C59,[6]Sheet2!$C$1:$F$1223,4,0),"")</f>
        <v>제일주류주식회사</v>
      </c>
      <c r="F59" s="2" t="s">
        <v>2952</v>
      </c>
      <c r="G59" s="3" t="s">
        <v>3013</v>
      </c>
      <c r="H59" s="4" t="s">
        <v>2953</v>
      </c>
      <c r="I59" s="4" t="s">
        <v>2959</v>
      </c>
      <c r="J59" s="23" t="s">
        <v>3012</v>
      </c>
      <c r="K59" s="27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9">
        <v>2</v>
      </c>
      <c r="X59" s="31">
        <v>1</v>
      </c>
    </row>
    <row r="60" spans="2:25">
      <c r="B60" s="17" t="str">
        <f>IFERROR(VLOOKUP(C60,[6]Sheet2!$C$3:$F$1223,2,0),"")</f>
        <v>Jeju</v>
      </c>
      <c r="C60" s="3">
        <v>86365</v>
      </c>
      <c r="D60" s="18" t="str">
        <f>IFERROR(VLOOKUP(C60,[6]Sheet2!$C$1:$F$1223,3,0),"")</f>
        <v>김태현</v>
      </c>
      <c r="E60" s="18" t="str">
        <f>IFERROR(VLOOKUP(C60,[6]Sheet2!$C$1:$F$1223,4,0),"")</f>
        <v>주식회사 판다주류제주</v>
      </c>
      <c r="F60" s="2" t="s">
        <v>3657</v>
      </c>
      <c r="G60" s="3" t="s">
        <v>3013</v>
      </c>
      <c r="H60" s="4" t="s">
        <v>2953</v>
      </c>
      <c r="I60" s="4" t="s">
        <v>2959</v>
      </c>
      <c r="J60" s="23" t="s">
        <v>3658</v>
      </c>
      <c r="K60" s="27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9">
        <v>2</v>
      </c>
      <c r="X60" s="31">
        <v>4</v>
      </c>
      <c r="Y60" s="32">
        <v>2</v>
      </c>
    </row>
    <row r="61" spans="2:25">
      <c r="B61" s="17" t="str">
        <f>IFERROR(VLOOKUP(C61,[6]Sheet2!$C$3:$F$1223,2,0),"")</f>
        <v>Jeju</v>
      </c>
      <c r="C61" s="3">
        <v>34045</v>
      </c>
      <c r="D61" s="18" t="str">
        <f>IFERROR(VLOOKUP(C61,[6]Sheet2!$C$1:$F$1223,3,0),"")</f>
        <v>김태현</v>
      </c>
      <c r="E61" s="18" t="str">
        <f>IFERROR(VLOOKUP(C61,[6]Sheet2!$C$1:$F$1223,4,0),"")</f>
        <v>일신물산(유)</v>
      </c>
      <c r="F61" s="2" t="s">
        <v>3659</v>
      </c>
      <c r="G61" s="3" t="s">
        <v>3013</v>
      </c>
      <c r="H61" s="4" t="s">
        <v>2953</v>
      </c>
      <c r="I61" s="4" t="s">
        <v>2959</v>
      </c>
      <c r="J61" s="23" t="s">
        <v>3660</v>
      </c>
      <c r="K61" s="27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9">
        <v>6</v>
      </c>
    </row>
    <row r="62" spans="2:25">
      <c r="B62" s="17" t="str">
        <f>IFERROR(VLOOKUP(C62,[6]Sheet2!$C$3:$F$1223,2,0),"")</f>
        <v>Jeju</v>
      </c>
      <c r="C62" s="3">
        <v>34031</v>
      </c>
      <c r="D62" s="18" t="str">
        <f>IFERROR(VLOOKUP(C62,[6]Sheet2!$C$1:$F$1223,3,0),"")</f>
        <v>김태현</v>
      </c>
      <c r="E62" s="18" t="str">
        <f>IFERROR(VLOOKUP(C62,[6]Sheet2!$C$1:$F$1223,4,0),"")</f>
        <v>영진(주)</v>
      </c>
      <c r="F62" s="2" t="s">
        <v>3661</v>
      </c>
      <c r="G62" s="3" t="s">
        <v>3013</v>
      </c>
      <c r="H62" s="4" t="s">
        <v>2953</v>
      </c>
      <c r="I62" s="4" t="s">
        <v>2959</v>
      </c>
      <c r="J62" s="23" t="s">
        <v>3662</v>
      </c>
      <c r="K62" s="27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9">
        <v>1</v>
      </c>
    </row>
    <row r="63" spans="2:25">
      <c r="B63" s="17" t="str">
        <f>IFERROR(VLOOKUP(C63,[6]Sheet2!$C$3:$F$1223,2,0),"")</f>
        <v>Jeju</v>
      </c>
      <c r="C63" s="3">
        <v>34025</v>
      </c>
      <c r="D63" s="18" t="str">
        <f>IFERROR(VLOOKUP(C63,[6]Sheet2!$C$1:$F$1223,3,0),"")</f>
        <v>김태현</v>
      </c>
      <c r="E63" s="18" t="str">
        <f>IFERROR(VLOOKUP(C63,[6]Sheet2!$C$1:$F$1223,4,0),"")</f>
        <v>세계물산주식회사</v>
      </c>
      <c r="F63" s="2" t="s">
        <v>3663</v>
      </c>
      <c r="G63" s="3" t="s">
        <v>3013</v>
      </c>
      <c r="H63" s="4" t="s">
        <v>2953</v>
      </c>
      <c r="I63" s="4" t="s">
        <v>2959</v>
      </c>
      <c r="J63" s="23" t="s">
        <v>3664</v>
      </c>
      <c r="K63" s="27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9">
        <v>3</v>
      </c>
    </row>
    <row r="64" spans="2:25">
      <c r="B64" s="17" t="str">
        <f>IFERROR(VLOOKUP(C64,[6]Sheet2!$C$3:$F$1223,2,0),"")</f>
        <v>Jeju</v>
      </c>
      <c r="C64" s="3">
        <v>34024</v>
      </c>
      <c r="D64" s="18" t="str">
        <f>IFERROR(VLOOKUP(C64,[6]Sheet2!$C$1:$F$1223,3,0),"")</f>
        <v>김태현</v>
      </c>
      <c r="E64" s="18" t="str">
        <f>IFERROR(VLOOKUP(C64,[6]Sheet2!$C$1:$F$1223,4,0),"")</f>
        <v>제일주류주식회사</v>
      </c>
      <c r="F64" s="2" t="s">
        <v>3665</v>
      </c>
      <c r="G64" s="3" t="s">
        <v>3013</v>
      </c>
      <c r="H64" s="4" t="s">
        <v>2953</v>
      </c>
      <c r="I64" s="4" t="s">
        <v>2959</v>
      </c>
      <c r="J64" s="23" t="s">
        <v>3666</v>
      </c>
      <c r="K64" s="27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9">
        <v>1</v>
      </c>
    </row>
    <row r="65" spans="2:26">
      <c r="B65" s="17" t="str">
        <f>IFERROR(VLOOKUP(C65,[6]Sheet2!$C$3:$F$1223,2,0),"")</f>
        <v>Jeju</v>
      </c>
      <c r="C65" s="3">
        <v>34024</v>
      </c>
      <c r="D65" s="18" t="str">
        <f>IFERROR(VLOOKUP(C65,[6]Sheet2!$C$1:$F$1223,3,0),"")</f>
        <v>김태현</v>
      </c>
      <c r="E65" s="18" t="str">
        <f>IFERROR(VLOOKUP(C65,[6]Sheet2!$C$1:$F$1223,4,0),"")</f>
        <v>제일주류주식회사</v>
      </c>
      <c r="F65" s="2" t="s">
        <v>3667</v>
      </c>
      <c r="G65" s="3" t="s">
        <v>3013</v>
      </c>
      <c r="H65" s="4" t="s">
        <v>2953</v>
      </c>
      <c r="I65" s="4" t="s">
        <v>2959</v>
      </c>
      <c r="J65" s="23" t="s">
        <v>3668</v>
      </c>
      <c r="K65" s="27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9">
        <v>1</v>
      </c>
    </row>
    <row r="66" spans="2:26">
      <c r="B66" s="17" t="str">
        <f>IFERROR(VLOOKUP(C66,[6]Sheet2!$C$3:$F$1223,2,0),"")</f>
        <v>Jeju</v>
      </c>
      <c r="C66" s="3">
        <v>34033</v>
      </c>
      <c r="D66" s="18" t="str">
        <f>IFERROR(VLOOKUP(C66,[6]Sheet2!$C$1:$F$1223,3,0),"")</f>
        <v>김태현</v>
      </c>
      <c r="E66" s="18" t="str">
        <f>IFERROR(VLOOKUP(C66,[6]Sheet2!$C$1:$F$1223,4,0),"")</f>
        <v>동천(주)</v>
      </c>
      <c r="F66" s="2" t="s">
        <v>3669</v>
      </c>
      <c r="G66" s="3" t="s">
        <v>3013</v>
      </c>
      <c r="H66" s="4" t="s">
        <v>2953</v>
      </c>
      <c r="I66" s="4" t="s">
        <v>2959</v>
      </c>
      <c r="J66" s="23" t="s">
        <v>3670</v>
      </c>
      <c r="K66" s="27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9">
        <v>1</v>
      </c>
    </row>
    <row r="67" spans="2:26">
      <c r="B67" s="17" t="str">
        <f>IFERROR(VLOOKUP(C67,[6]Sheet2!$C$3:$F$1223,2,0),"")</f>
        <v>Jeju</v>
      </c>
      <c r="C67" s="3">
        <v>34033</v>
      </c>
      <c r="D67" s="18" t="str">
        <f>IFERROR(VLOOKUP(C67,[6]Sheet2!$C$1:$F$1223,3,0),"")</f>
        <v>김태현</v>
      </c>
      <c r="E67" s="18" t="str">
        <f>IFERROR(VLOOKUP(C67,[6]Sheet2!$C$1:$F$1223,4,0),"")</f>
        <v>동천(주)</v>
      </c>
      <c r="F67" s="2" t="s">
        <v>3671</v>
      </c>
      <c r="G67" s="3" t="s">
        <v>3013</v>
      </c>
      <c r="H67" s="4" t="s">
        <v>2953</v>
      </c>
      <c r="I67" s="4" t="s">
        <v>2959</v>
      </c>
      <c r="J67" s="23" t="s">
        <v>3672</v>
      </c>
      <c r="K67" s="27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9">
        <v>1</v>
      </c>
    </row>
    <row r="68" spans="2:26">
      <c r="B68" s="17" t="str">
        <f>IFERROR(VLOOKUP(C68,[6]Sheet2!$C$3:$F$1223,2,0),"")</f>
        <v>Jeju</v>
      </c>
      <c r="C68" s="3">
        <v>34038</v>
      </c>
      <c r="D68" s="18" t="str">
        <f>IFERROR(VLOOKUP(C68,[6]Sheet2!$C$1:$F$1223,3,0),"")</f>
        <v>김태현</v>
      </c>
      <c r="E68" s="18" t="str">
        <f>IFERROR(VLOOKUP(C68,[6]Sheet2!$C$1:$F$1223,4,0),"")</f>
        <v>화림물산(유)</v>
      </c>
      <c r="F68" s="2" t="s">
        <v>3673</v>
      </c>
      <c r="G68" s="3" t="s">
        <v>3013</v>
      </c>
      <c r="H68" s="4" t="s">
        <v>2953</v>
      </c>
      <c r="I68" s="4" t="s">
        <v>3674</v>
      </c>
      <c r="J68" s="23" t="s">
        <v>3675</v>
      </c>
      <c r="K68" s="27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9">
        <v>2</v>
      </c>
    </row>
    <row r="69" spans="2:26">
      <c r="B69" s="17" t="str">
        <f>IFERROR(VLOOKUP(C69,[6]Sheet2!$C$3:$F$1223,2,0),"")</f>
        <v>Jeju</v>
      </c>
      <c r="C69" s="3">
        <v>86365</v>
      </c>
      <c r="D69" s="18" t="str">
        <f>IFERROR(VLOOKUP(C69,[6]Sheet2!$C$1:$F$1223,3,0),"")</f>
        <v>김태현</v>
      </c>
      <c r="E69" s="18" t="str">
        <f>IFERROR(VLOOKUP(C69,[6]Sheet2!$C$1:$F$1223,4,0),"")</f>
        <v>주식회사 판다주류제주</v>
      </c>
      <c r="F69" s="2" t="s">
        <v>3676</v>
      </c>
      <c r="G69" s="3" t="s">
        <v>3013</v>
      </c>
      <c r="H69" s="4" t="s">
        <v>2953</v>
      </c>
      <c r="I69" s="4" t="s">
        <v>2959</v>
      </c>
      <c r="J69" s="23" t="s">
        <v>3677</v>
      </c>
      <c r="K69" s="27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9">
        <v>4</v>
      </c>
    </row>
    <row r="70" spans="2:26">
      <c r="B70" s="17" t="str">
        <f>IFERROR(VLOOKUP(C70,[6]Sheet2!$C$3:$F$1223,2,0),"")</f>
        <v>Jeju</v>
      </c>
      <c r="C70" s="3">
        <v>34024</v>
      </c>
      <c r="D70" s="18" t="str">
        <f>IFERROR(VLOOKUP(C70,[6]Sheet2!$C$1:$F$1223,3,0),"")</f>
        <v>김태현</v>
      </c>
      <c r="E70" s="18" t="str">
        <f>IFERROR(VLOOKUP(C70,[6]Sheet2!$C$1:$F$1223,4,0),"")</f>
        <v>제일주류주식회사</v>
      </c>
      <c r="F70" s="2" t="s">
        <v>3678</v>
      </c>
      <c r="G70" s="3" t="s">
        <v>3679</v>
      </c>
      <c r="H70" s="4" t="s">
        <v>2953</v>
      </c>
      <c r="I70" s="4" t="s">
        <v>3674</v>
      </c>
      <c r="J70" s="23" t="s">
        <v>3680</v>
      </c>
      <c r="K70" s="27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9"/>
      <c r="Y70" s="32">
        <v>1</v>
      </c>
    </row>
    <row r="71" spans="2:26">
      <c r="B71" s="17" t="str">
        <f>IFERROR(VLOOKUP(C71,[6]Sheet2!$C$3:$F$1223,2,0),"")</f>
        <v>Jeju</v>
      </c>
      <c r="C71" s="3">
        <v>34042</v>
      </c>
      <c r="D71" s="18" t="str">
        <f>IFERROR(VLOOKUP(C71,[6]Sheet2!$C$1:$F$1223,3,0),"")</f>
        <v>김태현</v>
      </c>
      <c r="E71" s="18" t="str">
        <f>IFERROR(VLOOKUP(C71,[6]Sheet2!$C$1:$F$1223,4,0),"")</f>
        <v>우주물산(주)</v>
      </c>
      <c r="F71" s="61" t="s">
        <v>3890</v>
      </c>
      <c r="G71" s="3" t="s">
        <v>3679</v>
      </c>
      <c r="H71" s="4"/>
      <c r="I71" s="4"/>
      <c r="J71" s="23"/>
      <c r="K71" s="27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9"/>
      <c r="Z71" s="32">
        <v>2</v>
      </c>
    </row>
    <row r="72" spans="2:26">
      <c r="B72" s="17" t="str">
        <f>IFERROR(VLOOKUP(C72,[3]Sheet2!$C$3:$F$1223,2,0),"")</f>
        <v/>
      </c>
      <c r="C72" s="3"/>
      <c r="D72" s="18" t="str">
        <f>IFERROR(VLOOKUP(C72,[3]Sheet2!$C$1:$F$1223,3,0),"")</f>
        <v/>
      </c>
      <c r="E72" s="18" t="str">
        <f>IFERROR(VLOOKUP(C72,[3]Sheet2!$C$1:$F$1223,4,0),"")</f>
        <v/>
      </c>
      <c r="F72" s="2"/>
      <c r="G72" s="3"/>
      <c r="H72" s="4"/>
      <c r="I72" s="4"/>
      <c r="J72" s="23"/>
      <c r="K72" s="27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9"/>
    </row>
    <row r="73" spans="2:26">
      <c r="B73" s="17" t="str">
        <f>IFERROR(VLOOKUP(C73,[3]Sheet2!$C$3:$F$1223,2,0),"")</f>
        <v/>
      </c>
      <c r="C73" s="3"/>
      <c r="D73" s="18" t="str">
        <f>IFERROR(VLOOKUP(C73,[3]Sheet2!$C$1:$F$1223,3,0),"")</f>
        <v/>
      </c>
      <c r="E73" s="18" t="str">
        <f>IFERROR(VLOOKUP(C73,[3]Sheet2!$C$1:$F$1223,4,0),"")</f>
        <v/>
      </c>
      <c r="F73" s="2"/>
      <c r="G73" s="3"/>
      <c r="H73" s="4"/>
      <c r="I73" s="4"/>
      <c r="J73" s="23"/>
      <c r="K73" s="27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34"/>
    </row>
    <row r="74" spans="2:26">
      <c r="B74" s="17" t="str">
        <f>IFERROR(VLOOKUP(C74,[3]Sheet2!$C$3:$F$1223,2,0),"")</f>
        <v/>
      </c>
      <c r="C74" s="3"/>
      <c r="D74" s="18" t="str">
        <f>IFERROR(VLOOKUP(C74,[3]Sheet2!$C$1:$F$1223,3,0),"")</f>
        <v/>
      </c>
      <c r="E74" s="18" t="str">
        <f>IFERROR(VLOOKUP(C74,[3]Sheet2!$C$1:$F$1223,4,0),"")</f>
        <v/>
      </c>
      <c r="F74" s="2"/>
      <c r="G74" s="3"/>
      <c r="H74" s="4"/>
      <c r="I74" s="4"/>
      <c r="J74" s="23"/>
      <c r="K74" s="27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34"/>
    </row>
    <row r="75" spans="2:26">
      <c r="B75" s="17" t="str">
        <f>IFERROR(VLOOKUP(C75,[3]Sheet2!$C$3:$F$1223,2,0),"")</f>
        <v/>
      </c>
      <c r="C75" s="3"/>
      <c r="D75" s="18" t="str">
        <f>IFERROR(VLOOKUP(C75,[3]Sheet2!$C$1:$F$1223,3,0),"")</f>
        <v/>
      </c>
      <c r="E75" s="18" t="str">
        <f>IFERROR(VLOOKUP(C75,[3]Sheet2!$C$1:$F$1223,4,0),"")</f>
        <v/>
      </c>
      <c r="F75" s="2"/>
      <c r="G75" s="3"/>
      <c r="H75" s="4"/>
      <c r="I75" s="4"/>
      <c r="J75" s="23"/>
      <c r="K75" s="27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34"/>
    </row>
    <row r="76" spans="2:26">
      <c r="B76" s="17" t="str">
        <f>IFERROR(VLOOKUP(C76,[3]Sheet2!$C$3:$F$1223,2,0),"")</f>
        <v/>
      </c>
      <c r="C76" s="3"/>
      <c r="D76" s="18" t="str">
        <f>IFERROR(VLOOKUP(C76,[3]Sheet2!$C$1:$F$1223,3,0),"")</f>
        <v/>
      </c>
      <c r="E76" s="18" t="str">
        <f>IFERROR(VLOOKUP(C76,[3]Sheet2!$C$1:$F$1223,4,0),"")</f>
        <v/>
      </c>
      <c r="F76" s="2"/>
      <c r="G76" s="3"/>
      <c r="H76" s="4"/>
      <c r="I76" s="4"/>
      <c r="J76" s="23"/>
      <c r="K76" s="27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34"/>
    </row>
    <row r="77" spans="2:26">
      <c r="B77" s="17" t="str">
        <f>IFERROR(VLOOKUP(C77,[3]Sheet2!$C$3:$F$1223,2,0),"")</f>
        <v/>
      </c>
      <c r="C77" s="3"/>
      <c r="D77" s="18" t="str">
        <f>IFERROR(VLOOKUP(C77,[3]Sheet2!$C$1:$F$1223,3,0),"")</f>
        <v/>
      </c>
      <c r="E77" s="18" t="str">
        <f>IFERROR(VLOOKUP(C77,[3]Sheet2!$C$1:$F$1223,4,0),"")</f>
        <v/>
      </c>
      <c r="F77" s="2"/>
      <c r="G77" s="3"/>
      <c r="H77" s="4"/>
      <c r="I77" s="4"/>
      <c r="J77" s="23"/>
      <c r="K77" s="27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34"/>
    </row>
    <row r="78" spans="2:26">
      <c r="B78" s="17" t="str">
        <f>IFERROR(VLOOKUP(C78,[3]Sheet2!$C$3:$F$1223,2,0),"")</f>
        <v/>
      </c>
      <c r="C78" s="3"/>
      <c r="D78" s="18" t="str">
        <f>IFERROR(VLOOKUP(C78,[3]Sheet2!$C$1:$F$1223,3,0),"")</f>
        <v/>
      </c>
      <c r="E78" s="18" t="str">
        <f>IFERROR(VLOOKUP(C78,[3]Sheet2!$C$1:$F$1223,4,0),"")</f>
        <v/>
      </c>
      <c r="F78" s="2"/>
      <c r="G78" s="3"/>
      <c r="H78" s="4"/>
      <c r="I78" s="4"/>
      <c r="J78" s="23"/>
      <c r="K78" s="27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34"/>
    </row>
    <row r="79" spans="2:26">
      <c r="B79" s="17" t="str">
        <f>IFERROR(VLOOKUP(C79,[3]Sheet2!$C$3:$F$1223,2,0),"")</f>
        <v/>
      </c>
      <c r="C79" s="3"/>
      <c r="D79" s="18" t="str">
        <f>IFERROR(VLOOKUP(C79,[3]Sheet2!$C$1:$F$1223,3,0),"")</f>
        <v/>
      </c>
      <c r="E79" s="18" t="str">
        <f>IFERROR(VLOOKUP(C79,[3]Sheet2!$C$1:$F$1223,4,0),"")</f>
        <v/>
      </c>
      <c r="F79" s="2"/>
      <c r="G79" s="3"/>
      <c r="H79" s="4"/>
      <c r="I79" s="4"/>
      <c r="J79" s="23"/>
      <c r="K79" s="27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34"/>
    </row>
    <row r="80" spans="2:26">
      <c r="B80" s="17" t="str">
        <f>IFERROR(VLOOKUP(C80,[3]Sheet2!$C$3:$F$1223,2,0),"")</f>
        <v/>
      </c>
      <c r="C80" s="3"/>
      <c r="D80" s="18" t="str">
        <f>IFERROR(VLOOKUP(C80,[3]Sheet2!$C$1:$F$1223,3,0),"")</f>
        <v/>
      </c>
      <c r="E80" s="18" t="str">
        <f>IFERROR(VLOOKUP(C80,[3]Sheet2!$C$1:$F$1223,4,0),"")</f>
        <v/>
      </c>
      <c r="F80" s="2"/>
      <c r="G80" s="3"/>
      <c r="H80" s="4"/>
      <c r="I80" s="4"/>
      <c r="J80" s="23"/>
      <c r="K80" s="27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34"/>
    </row>
    <row r="81" spans="2:22">
      <c r="B81" s="17" t="str">
        <f>IFERROR(VLOOKUP(C81,[3]Sheet2!$C$3:$F$1223,2,0),"")</f>
        <v/>
      </c>
      <c r="C81" s="3"/>
      <c r="D81" s="18" t="str">
        <f>IFERROR(VLOOKUP(C81,[3]Sheet2!$C$1:$F$1223,3,0),"")</f>
        <v/>
      </c>
      <c r="E81" s="18" t="str">
        <f>IFERROR(VLOOKUP(C81,[3]Sheet2!$C$1:$F$1223,4,0),"")</f>
        <v/>
      </c>
      <c r="F81" s="2"/>
      <c r="G81" s="3"/>
      <c r="H81" s="4"/>
      <c r="I81" s="4"/>
      <c r="J81" s="23"/>
      <c r="K81" s="27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34"/>
    </row>
    <row r="82" spans="2:22">
      <c r="B82" s="17" t="str">
        <f>IFERROR(VLOOKUP(C82,[3]Sheet2!$C$3:$F$1223,2,0),"")</f>
        <v/>
      </c>
      <c r="C82" s="3"/>
      <c r="D82" s="18" t="str">
        <f>IFERROR(VLOOKUP(C82,[3]Sheet2!$C$1:$F$1223,3,0),"")</f>
        <v/>
      </c>
      <c r="E82" s="18" t="str">
        <f>IFERROR(VLOOKUP(C82,[3]Sheet2!$C$1:$F$1223,4,0),"")</f>
        <v/>
      </c>
      <c r="F82" s="2"/>
      <c r="G82" s="3"/>
      <c r="H82" s="4"/>
      <c r="I82" s="4"/>
      <c r="J82" s="23"/>
      <c r="K82" s="27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34"/>
    </row>
    <row r="83" spans="2:22">
      <c r="B83" s="17" t="str">
        <f>IFERROR(VLOOKUP(C83,[3]Sheet2!$C$3:$F$1223,2,0),"")</f>
        <v/>
      </c>
      <c r="C83" s="3"/>
      <c r="D83" s="18" t="str">
        <f>IFERROR(VLOOKUP(C83,[3]Sheet2!$C$1:$F$1223,3,0),"")</f>
        <v/>
      </c>
      <c r="E83" s="18" t="str">
        <f>IFERROR(VLOOKUP(C83,[3]Sheet2!$C$1:$F$1223,4,0),"")</f>
        <v/>
      </c>
      <c r="F83" s="2"/>
      <c r="G83" s="3"/>
      <c r="H83" s="4"/>
      <c r="I83" s="4"/>
      <c r="J83" s="23"/>
      <c r="K83" s="27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34"/>
    </row>
    <row r="84" spans="2:22">
      <c r="B84" s="17" t="str">
        <f>IFERROR(VLOOKUP(C84,[3]Sheet2!$C$3:$F$1223,2,0),"")</f>
        <v/>
      </c>
      <c r="C84" s="3"/>
      <c r="D84" s="18" t="str">
        <f>IFERROR(VLOOKUP(C84,[3]Sheet2!$C$1:$F$1223,3,0),"")</f>
        <v/>
      </c>
      <c r="E84" s="18" t="str">
        <f>IFERROR(VLOOKUP(C84,[3]Sheet2!$C$1:$F$1223,4,0),"")</f>
        <v/>
      </c>
      <c r="F84" s="2"/>
      <c r="G84" s="3"/>
      <c r="H84" s="4"/>
      <c r="I84" s="4"/>
      <c r="J84" s="23"/>
      <c r="K84" s="27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34"/>
    </row>
    <row r="85" spans="2:22">
      <c r="B85" s="17" t="str">
        <f>IFERROR(VLOOKUP(C85,[3]Sheet2!$C$3:$F$1223,2,0),"")</f>
        <v/>
      </c>
      <c r="C85" s="3"/>
      <c r="D85" s="18" t="str">
        <f>IFERROR(VLOOKUP(C85,[3]Sheet2!$C$1:$F$1223,3,0),"")</f>
        <v/>
      </c>
      <c r="E85" s="18" t="str">
        <f>IFERROR(VLOOKUP(C85,[3]Sheet2!$C$1:$F$1223,4,0),"")</f>
        <v/>
      </c>
      <c r="F85" s="2"/>
      <c r="G85" s="3"/>
      <c r="H85" s="4"/>
      <c r="I85" s="4"/>
      <c r="J85" s="23"/>
      <c r="K85" s="27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34"/>
    </row>
    <row r="86" spans="2:22">
      <c r="B86" s="17" t="str">
        <f>IFERROR(VLOOKUP(C86,[3]Sheet2!$C$3:$F$1223,2,0),"")</f>
        <v/>
      </c>
      <c r="C86" s="3"/>
      <c r="D86" s="18" t="str">
        <f>IFERROR(VLOOKUP(C86,[3]Sheet2!$C$1:$F$1223,3,0),"")</f>
        <v/>
      </c>
      <c r="E86" s="18" t="str">
        <f>IFERROR(VLOOKUP(C86,[3]Sheet2!$C$1:$F$1223,4,0),"")</f>
        <v/>
      </c>
      <c r="F86" s="2"/>
      <c r="G86" s="3"/>
      <c r="H86" s="4"/>
      <c r="I86" s="4"/>
      <c r="J86" s="23"/>
      <c r="K86" s="27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34"/>
    </row>
    <row r="87" spans="2:22">
      <c r="B87" s="17" t="str">
        <f>IFERROR(VLOOKUP(C87,[3]Sheet2!$C$3:$F$1223,2,0),"")</f>
        <v/>
      </c>
      <c r="C87" s="3"/>
      <c r="D87" s="18" t="str">
        <f>IFERROR(VLOOKUP(C87,[3]Sheet2!$C$1:$F$1223,3,0),"")</f>
        <v/>
      </c>
      <c r="E87" s="18" t="str">
        <f>IFERROR(VLOOKUP(C87,[3]Sheet2!$C$1:$F$1223,4,0),"")</f>
        <v/>
      </c>
      <c r="F87" s="2"/>
      <c r="G87" s="3"/>
      <c r="H87" s="4"/>
      <c r="I87" s="4"/>
      <c r="J87" s="23"/>
      <c r="K87" s="27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34"/>
    </row>
    <row r="88" spans="2:22">
      <c r="B88" s="17" t="str">
        <f>IFERROR(VLOOKUP(C88,[3]Sheet2!$C$3:$F$1223,2,0),"")</f>
        <v/>
      </c>
      <c r="C88" s="3"/>
      <c r="D88" s="18" t="str">
        <f>IFERROR(VLOOKUP(C88,[3]Sheet2!$C$1:$F$1223,3,0),"")</f>
        <v/>
      </c>
      <c r="E88" s="18" t="str">
        <f>IFERROR(VLOOKUP(C88,[3]Sheet2!$C$1:$F$1223,4,0),"")</f>
        <v/>
      </c>
      <c r="F88" s="2"/>
      <c r="G88" s="3"/>
      <c r="H88" s="4"/>
      <c r="I88" s="4"/>
      <c r="J88" s="23"/>
      <c r="K88" s="27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34"/>
    </row>
    <row r="89" spans="2:22">
      <c r="B89" s="17" t="str">
        <f>IFERROR(VLOOKUP(C89,[3]Sheet2!$C$3:$F$1223,2,0),"")</f>
        <v/>
      </c>
      <c r="C89" s="3"/>
      <c r="D89" s="18" t="str">
        <f>IFERROR(VLOOKUP(C89,[3]Sheet2!$C$1:$F$1223,3,0),"")</f>
        <v/>
      </c>
      <c r="E89" s="18" t="str">
        <f>IFERROR(VLOOKUP(C89,[3]Sheet2!$C$1:$F$1223,4,0),"")</f>
        <v/>
      </c>
      <c r="F89" s="2"/>
      <c r="G89" s="3"/>
      <c r="H89" s="4"/>
      <c r="I89" s="4"/>
      <c r="J89" s="23"/>
      <c r="K89" s="27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34"/>
    </row>
    <row r="90" spans="2:22">
      <c r="B90" s="17" t="str">
        <f>IFERROR(VLOOKUP(C90,[3]Sheet2!$C$3:$F$1223,2,0),"")</f>
        <v/>
      </c>
      <c r="C90" s="3"/>
      <c r="D90" s="18" t="str">
        <f>IFERROR(VLOOKUP(C90,[3]Sheet2!$C$1:$F$1223,3,0),"")</f>
        <v/>
      </c>
      <c r="E90" s="18" t="str">
        <f>IFERROR(VLOOKUP(C90,[3]Sheet2!$C$1:$F$1223,4,0),"")</f>
        <v/>
      </c>
      <c r="F90" s="2"/>
      <c r="G90" s="3"/>
      <c r="H90" s="4"/>
      <c r="I90" s="4"/>
      <c r="J90" s="23"/>
      <c r="K90" s="27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34"/>
    </row>
    <row r="91" spans="2:22">
      <c r="B91" s="17" t="str">
        <f>IFERROR(VLOOKUP(C91,[3]Sheet2!$C$3:$F$1223,2,0),"")</f>
        <v/>
      </c>
      <c r="C91" s="3"/>
      <c r="D91" s="18" t="str">
        <f>IFERROR(VLOOKUP(C91,[3]Sheet2!$C$1:$F$1223,3,0),"")</f>
        <v/>
      </c>
      <c r="E91" s="18" t="str">
        <f>IFERROR(VLOOKUP(C91,[3]Sheet2!$C$1:$F$1223,4,0),"")</f>
        <v/>
      </c>
      <c r="F91" s="2"/>
      <c r="G91" s="3"/>
      <c r="H91" s="4"/>
      <c r="I91" s="4"/>
      <c r="J91" s="23"/>
      <c r="K91" s="27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34"/>
    </row>
    <row r="92" spans="2:22">
      <c r="B92" s="17" t="str">
        <f>IFERROR(VLOOKUP(C92,[3]Sheet2!$C$3:$F$1223,2,0),"")</f>
        <v/>
      </c>
      <c r="C92" s="3"/>
      <c r="D92" s="18" t="str">
        <f>IFERROR(VLOOKUP(C92,[3]Sheet2!$C$1:$F$1223,3,0),"")</f>
        <v/>
      </c>
      <c r="E92" s="18" t="str">
        <f>IFERROR(VLOOKUP(C92,[3]Sheet2!$C$1:$F$1223,4,0),"")</f>
        <v/>
      </c>
      <c r="F92" s="2"/>
      <c r="G92" s="3"/>
      <c r="H92" s="4"/>
      <c r="I92" s="4"/>
      <c r="J92" s="23"/>
      <c r="K92" s="27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34"/>
    </row>
    <row r="93" spans="2:22">
      <c r="B93" s="17" t="str">
        <f>IFERROR(VLOOKUP(C93,[3]Sheet2!$C$3:$F$1223,2,0),"")</f>
        <v/>
      </c>
      <c r="C93" s="3"/>
      <c r="D93" s="18" t="str">
        <f>IFERROR(VLOOKUP(C93,[3]Sheet2!$C$1:$F$1223,3,0),"")</f>
        <v/>
      </c>
      <c r="E93" s="18" t="str">
        <f>IFERROR(VLOOKUP(C93,[3]Sheet2!$C$1:$F$1223,4,0),"")</f>
        <v/>
      </c>
      <c r="F93" s="2"/>
      <c r="G93" s="3"/>
      <c r="H93" s="4"/>
      <c r="I93" s="4"/>
      <c r="J93" s="23"/>
      <c r="K93" s="27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34"/>
    </row>
    <row r="94" spans="2:22">
      <c r="B94" s="17" t="str">
        <f>IFERROR(VLOOKUP(C94,[3]Sheet2!$C$3:$F$1223,2,0),"")</f>
        <v/>
      </c>
      <c r="C94" s="3"/>
      <c r="D94" s="18" t="str">
        <f>IFERROR(VLOOKUP(C94,[3]Sheet2!$C$1:$F$1223,3,0),"")</f>
        <v/>
      </c>
      <c r="E94" s="18" t="str">
        <f>IFERROR(VLOOKUP(C94,[3]Sheet2!$C$1:$F$1223,4,0),"")</f>
        <v/>
      </c>
      <c r="F94" s="2"/>
      <c r="G94" s="3"/>
      <c r="H94" s="4"/>
      <c r="I94" s="4"/>
      <c r="J94" s="23"/>
      <c r="K94" s="27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34"/>
    </row>
    <row r="95" spans="2:22">
      <c r="B95" s="17" t="str">
        <f>IFERROR(VLOOKUP(C95,[3]Sheet2!$C$3:$F$1223,2,0),"")</f>
        <v/>
      </c>
      <c r="C95" s="3"/>
      <c r="D95" s="18" t="str">
        <f>IFERROR(VLOOKUP(C95,[3]Sheet2!$C$1:$F$1223,3,0),"")</f>
        <v/>
      </c>
      <c r="E95" s="18" t="str">
        <f>IFERROR(VLOOKUP(C95,[3]Sheet2!$C$1:$F$1223,4,0),"")</f>
        <v/>
      </c>
      <c r="F95" s="2"/>
      <c r="G95" s="3"/>
      <c r="H95" s="4"/>
      <c r="I95" s="4"/>
      <c r="J95" s="23"/>
      <c r="K95" s="27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34"/>
    </row>
    <row r="96" spans="2:22">
      <c r="B96" s="17" t="str">
        <f>IFERROR(VLOOKUP(C96,[3]Sheet2!$C$3:$F$1223,2,0),"")</f>
        <v/>
      </c>
      <c r="C96" s="3"/>
      <c r="D96" s="18" t="str">
        <f>IFERROR(VLOOKUP(C96,[3]Sheet2!$C$1:$F$1223,3,0),"")</f>
        <v/>
      </c>
      <c r="E96" s="18" t="str">
        <f>IFERROR(VLOOKUP(C96,[3]Sheet2!$C$1:$F$1223,4,0),"")</f>
        <v/>
      </c>
      <c r="F96" s="2"/>
      <c r="G96" s="3"/>
      <c r="H96" s="4"/>
      <c r="I96" s="4"/>
      <c r="J96" s="23"/>
      <c r="K96" s="27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34"/>
    </row>
    <row r="97" spans="2:22">
      <c r="B97" s="17" t="str">
        <f>IFERROR(VLOOKUP(C97,[3]Sheet2!$C$3:$F$1223,2,0),"")</f>
        <v/>
      </c>
      <c r="C97" s="3"/>
      <c r="D97" s="18" t="str">
        <f>IFERROR(VLOOKUP(C97,[3]Sheet2!$C$1:$F$1223,3,0),"")</f>
        <v/>
      </c>
      <c r="E97" s="18" t="str">
        <f>IFERROR(VLOOKUP(C97,[3]Sheet2!$C$1:$F$1223,4,0),"")</f>
        <v/>
      </c>
      <c r="F97" s="2"/>
      <c r="G97" s="3"/>
      <c r="H97" s="4"/>
      <c r="I97" s="4"/>
      <c r="J97" s="23"/>
      <c r="K97" s="27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34"/>
    </row>
    <row r="98" spans="2:22">
      <c r="B98" s="17" t="str">
        <f>IFERROR(VLOOKUP(C98,[3]Sheet2!$C$3:$F$1223,2,0),"")</f>
        <v/>
      </c>
      <c r="C98" s="3"/>
      <c r="D98" s="18" t="str">
        <f>IFERROR(VLOOKUP(C98,[3]Sheet2!$C$1:$F$1223,3,0),"")</f>
        <v/>
      </c>
      <c r="E98" s="18" t="str">
        <f>IFERROR(VLOOKUP(C98,[3]Sheet2!$C$1:$F$1223,4,0),"")</f>
        <v/>
      </c>
      <c r="F98" s="2"/>
      <c r="G98" s="3"/>
      <c r="H98" s="4"/>
      <c r="I98" s="4"/>
      <c r="J98" s="23"/>
      <c r="K98" s="27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34"/>
    </row>
    <row r="99" spans="2:22">
      <c r="B99" s="17" t="str">
        <f>IFERROR(VLOOKUP(C99,[3]Sheet2!$C$3:$F$1223,2,0),"")</f>
        <v/>
      </c>
      <c r="C99" s="3"/>
      <c r="D99" s="18" t="str">
        <f>IFERROR(VLOOKUP(C99,[3]Sheet2!$C$1:$F$1223,3,0),"")</f>
        <v/>
      </c>
      <c r="E99" s="18" t="str">
        <f>IFERROR(VLOOKUP(C99,[3]Sheet2!$C$1:$F$1223,4,0),"")</f>
        <v/>
      </c>
      <c r="F99" s="2"/>
      <c r="G99" s="3"/>
      <c r="H99" s="4"/>
      <c r="I99" s="4"/>
      <c r="J99" s="23"/>
      <c r="K99" s="27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34"/>
    </row>
    <row r="100" spans="2:22">
      <c r="B100" s="17" t="str">
        <f>IFERROR(VLOOKUP(C100,[3]Sheet2!$C$3:$F$1223,2,0),"")</f>
        <v/>
      </c>
      <c r="C100" s="3"/>
      <c r="D100" s="18" t="str">
        <f>IFERROR(VLOOKUP(C100,[3]Sheet2!$C$1:$F$1223,3,0),"")</f>
        <v/>
      </c>
      <c r="E100" s="18" t="str">
        <f>IFERROR(VLOOKUP(C100,[3]Sheet2!$C$1:$F$1223,4,0),"")</f>
        <v/>
      </c>
      <c r="F100" s="2"/>
      <c r="G100" s="3"/>
      <c r="H100" s="4"/>
      <c r="I100" s="4"/>
      <c r="J100" s="23"/>
      <c r="K100" s="27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34"/>
    </row>
    <row r="101" spans="2:22">
      <c r="B101" s="17" t="str">
        <f>IFERROR(VLOOKUP(C101,[3]Sheet2!$C$3:$F$1223,2,0),"")</f>
        <v/>
      </c>
      <c r="C101" s="3"/>
      <c r="D101" s="18" t="str">
        <f>IFERROR(VLOOKUP(C101,[3]Sheet2!$C$1:$F$1223,3,0),"")</f>
        <v/>
      </c>
      <c r="E101" s="18" t="str">
        <f>IFERROR(VLOOKUP(C101,[3]Sheet2!$C$1:$F$1223,4,0),"")</f>
        <v/>
      </c>
      <c r="F101" s="2"/>
      <c r="G101" s="3"/>
      <c r="H101" s="4"/>
      <c r="I101" s="4"/>
      <c r="J101" s="23"/>
      <c r="K101" s="27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34"/>
    </row>
    <row r="102" spans="2:22">
      <c r="B102" s="17" t="str">
        <f>IFERROR(VLOOKUP(C102,[3]Sheet2!$C$3:$F$1223,2,0),"")</f>
        <v/>
      </c>
      <c r="C102" s="3"/>
      <c r="D102" s="18" t="str">
        <f>IFERROR(VLOOKUP(C102,[3]Sheet2!$C$1:$F$1223,3,0),"")</f>
        <v/>
      </c>
      <c r="E102" s="18" t="str">
        <f>IFERROR(VLOOKUP(C102,[3]Sheet2!$C$1:$F$1223,4,0),"")</f>
        <v/>
      </c>
      <c r="F102" s="2"/>
      <c r="G102" s="3"/>
      <c r="H102" s="4"/>
      <c r="I102" s="4"/>
      <c r="J102" s="23"/>
      <c r="K102" s="27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34"/>
    </row>
    <row r="103" spans="2:22">
      <c r="B103" s="17" t="str">
        <f>IFERROR(VLOOKUP(C103,[3]Sheet2!$C$3:$F$1223,2,0),"")</f>
        <v/>
      </c>
      <c r="C103" s="3"/>
      <c r="D103" s="18" t="str">
        <f>IFERROR(VLOOKUP(C103,[3]Sheet2!$C$1:$F$1223,3,0),"")</f>
        <v/>
      </c>
      <c r="E103" s="18" t="str">
        <f>IFERROR(VLOOKUP(C103,[3]Sheet2!$C$1:$F$1223,4,0),"")</f>
        <v/>
      </c>
      <c r="F103" s="2"/>
      <c r="G103" s="3"/>
      <c r="H103" s="4"/>
      <c r="I103" s="4"/>
      <c r="J103" s="23"/>
      <c r="K103" s="27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34"/>
    </row>
    <row r="104" spans="2:22">
      <c r="B104" s="17" t="str">
        <f>IFERROR(VLOOKUP(C104,[3]Sheet2!$C$3:$F$1223,2,0),"")</f>
        <v/>
      </c>
      <c r="C104" s="3"/>
      <c r="D104" s="18" t="str">
        <f>IFERROR(VLOOKUP(C104,[3]Sheet2!$C$1:$F$1223,3,0),"")</f>
        <v/>
      </c>
      <c r="E104" s="18" t="str">
        <f>IFERROR(VLOOKUP(C104,[3]Sheet2!$C$1:$F$1223,4,0),"")</f>
        <v/>
      </c>
      <c r="F104" s="2"/>
      <c r="G104" s="3"/>
      <c r="H104" s="4"/>
      <c r="I104" s="4"/>
      <c r="J104" s="23"/>
      <c r="K104" s="27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34"/>
    </row>
    <row r="105" spans="2:22">
      <c r="B105" s="17" t="str">
        <f>IFERROR(VLOOKUP(C105,[3]Sheet2!$C$3:$F$1223,2,0),"")</f>
        <v/>
      </c>
      <c r="C105" s="3"/>
      <c r="D105" s="18" t="str">
        <f>IFERROR(VLOOKUP(C105,[3]Sheet2!$C$1:$F$1223,3,0),"")</f>
        <v/>
      </c>
      <c r="E105" s="18" t="str">
        <f>IFERROR(VLOOKUP(C105,[3]Sheet2!$C$1:$F$1223,4,0),"")</f>
        <v/>
      </c>
      <c r="F105" s="2"/>
      <c r="G105" s="3"/>
      <c r="H105" s="4"/>
      <c r="I105" s="4"/>
      <c r="J105" s="23"/>
      <c r="K105" s="27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34"/>
    </row>
    <row r="106" spans="2:22">
      <c r="B106" s="17" t="str">
        <f>IFERROR(VLOOKUP(C106,[3]Sheet2!$C$3:$F$1223,2,0),"")</f>
        <v/>
      </c>
      <c r="C106" s="3"/>
      <c r="D106" s="18" t="str">
        <f>IFERROR(VLOOKUP(C106,[3]Sheet2!$C$1:$F$1223,3,0),"")</f>
        <v/>
      </c>
      <c r="E106" s="18" t="str">
        <f>IFERROR(VLOOKUP(C106,[3]Sheet2!$C$1:$F$1223,4,0),"")</f>
        <v/>
      </c>
      <c r="F106" s="2"/>
      <c r="G106" s="3"/>
      <c r="H106" s="4"/>
      <c r="I106" s="4"/>
      <c r="J106" s="23"/>
      <c r="K106" s="27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34"/>
    </row>
    <row r="107" spans="2:22">
      <c r="B107" s="17" t="str">
        <f>IFERROR(VLOOKUP(C107,[3]Sheet2!$C$3:$F$1223,2,0),"")</f>
        <v/>
      </c>
      <c r="C107" s="3"/>
      <c r="D107" s="18" t="str">
        <f>IFERROR(VLOOKUP(C107,[3]Sheet2!$C$1:$F$1223,3,0),"")</f>
        <v/>
      </c>
      <c r="E107" s="18" t="str">
        <f>IFERROR(VLOOKUP(C107,[3]Sheet2!$C$1:$F$1223,4,0),"")</f>
        <v/>
      </c>
      <c r="F107" s="2"/>
      <c r="G107" s="3"/>
      <c r="H107" s="4"/>
      <c r="I107" s="4"/>
      <c r="J107" s="23"/>
      <c r="K107" s="27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34"/>
    </row>
    <row r="108" spans="2:22">
      <c r="B108" s="17" t="str">
        <f>IFERROR(VLOOKUP(C108,[3]Sheet2!$C$3:$F$1223,2,0),"")</f>
        <v/>
      </c>
      <c r="C108" s="3"/>
      <c r="D108" s="18" t="str">
        <f>IFERROR(VLOOKUP(C108,[3]Sheet2!$C$1:$F$1223,3,0),"")</f>
        <v/>
      </c>
      <c r="E108" s="18" t="str">
        <f>IFERROR(VLOOKUP(C108,[3]Sheet2!$C$1:$F$1223,4,0),"")</f>
        <v/>
      </c>
      <c r="F108" s="2"/>
      <c r="G108" s="3"/>
      <c r="H108" s="4"/>
      <c r="I108" s="4"/>
      <c r="J108" s="23"/>
      <c r="K108" s="27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34"/>
    </row>
    <row r="109" spans="2:22">
      <c r="B109" s="17" t="str">
        <f>IFERROR(VLOOKUP(C109,[3]Sheet2!$C$3:$F$1223,2,0),"")</f>
        <v/>
      </c>
      <c r="C109" s="3"/>
      <c r="D109" s="18" t="str">
        <f>IFERROR(VLOOKUP(C109,[3]Sheet2!$C$1:$F$1223,3,0),"")</f>
        <v/>
      </c>
      <c r="E109" s="18" t="str">
        <f>IFERROR(VLOOKUP(C109,[3]Sheet2!$C$1:$F$1223,4,0),"")</f>
        <v/>
      </c>
      <c r="F109" s="2"/>
      <c r="G109" s="3"/>
      <c r="H109" s="4"/>
      <c r="I109" s="4"/>
      <c r="J109" s="23"/>
      <c r="K109" s="27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34"/>
    </row>
    <row r="110" spans="2:22">
      <c r="B110" s="17" t="str">
        <f>IFERROR(VLOOKUP(C110,[3]Sheet2!$C$3:$F$1223,2,0),"")</f>
        <v/>
      </c>
      <c r="C110" s="3"/>
      <c r="D110" s="18" t="str">
        <f>IFERROR(VLOOKUP(C110,[3]Sheet2!$C$1:$F$1223,3,0),"")</f>
        <v/>
      </c>
      <c r="E110" s="18" t="str">
        <f>IFERROR(VLOOKUP(C110,[3]Sheet2!$C$1:$F$1223,4,0),"")</f>
        <v/>
      </c>
      <c r="F110" s="2"/>
      <c r="G110" s="3"/>
      <c r="H110" s="4"/>
      <c r="I110" s="4"/>
      <c r="J110" s="23"/>
      <c r="K110" s="27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34"/>
    </row>
    <row r="111" spans="2:22">
      <c r="B111" s="17" t="str">
        <f>IFERROR(VLOOKUP(C111,[3]Sheet2!$C$3:$F$1223,2,0),"")</f>
        <v/>
      </c>
      <c r="C111" s="3"/>
      <c r="D111" s="18" t="str">
        <f>IFERROR(VLOOKUP(C111,[3]Sheet2!$C$1:$F$1223,3,0),"")</f>
        <v/>
      </c>
      <c r="E111" s="18" t="str">
        <f>IFERROR(VLOOKUP(C111,[3]Sheet2!$C$1:$F$1223,4,0),"")</f>
        <v/>
      </c>
      <c r="F111" s="2"/>
      <c r="G111" s="3"/>
      <c r="H111" s="4"/>
      <c r="I111" s="4"/>
      <c r="J111" s="23"/>
      <c r="K111" s="27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34"/>
    </row>
    <row r="112" spans="2:22">
      <c r="B112" s="17" t="str">
        <f>IFERROR(VLOOKUP(C112,[3]Sheet2!$C$3:$F$1223,2,0),"")</f>
        <v/>
      </c>
      <c r="C112" s="3"/>
      <c r="D112" s="18" t="str">
        <f>IFERROR(VLOOKUP(C112,[3]Sheet2!$C$1:$F$1223,3,0),"")</f>
        <v/>
      </c>
      <c r="E112" s="18" t="str">
        <f>IFERROR(VLOOKUP(C112,[3]Sheet2!$C$1:$F$1223,4,0),"")</f>
        <v/>
      </c>
      <c r="F112" s="2"/>
      <c r="G112" s="3"/>
      <c r="H112" s="4"/>
      <c r="I112" s="4"/>
      <c r="J112" s="23"/>
      <c r="K112" s="27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34"/>
    </row>
    <row r="113" spans="2:22">
      <c r="B113" s="17" t="str">
        <f>IFERROR(VLOOKUP(C113,[3]Sheet2!$C$3:$F$1223,2,0),"")</f>
        <v/>
      </c>
      <c r="C113" s="3"/>
      <c r="D113" s="18" t="str">
        <f>IFERROR(VLOOKUP(C113,[3]Sheet2!$C$1:$F$1223,3,0),"")</f>
        <v/>
      </c>
      <c r="E113" s="18" t="str">
        <f>IFERROR(VLOOKUP(C113,[3]Sheet2!$C$1:$F$1223,4,0),"")</f>
        <v/>
      </c>
      <c r="F113" s="2"/>
      <c r="G113" s="3"/>
      <c r="H113" s="4"/>
      <c r="I113" s="4"/>
      <c r="J113" s="23"/>
      <c r="K113" s="27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34"/>
    </row>
    <row r="114" spans="2:22">
      <c r="B114" s="17" t="str">
        <f>IFERROR(VLOOKUP(C114,[3]Sheet2!$C$3:$F$1223,2,0),"")</f>
        <v/>
      </c>
      <c r="C114" s="3"/>
      <c r="D114" s="18" t="str">
        <f>IFERROR(VLOOKUP(C114,[3]Sheet2!$C$1:$F$1223,3,0),"")</f>
        <v/>
      </c>
      <c r="E114" s="18" t="str">
        <f>IFERROR(VLOOKUP(C114,[3]Sheet2!$C$1:$F$1223,4,0),"")</f>
        <v/>
      </c>
      <c r="F114" s="2"/>
      <c r="G114" s="3"/>
      <c r="H114" s="4"/>
      <c r="I114" s="4"/>
      <c r="J114" s="23"/>
      <c r="K114" s="27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34"/>
    </row>
    <row r="115" spans="2:22">
      <c r="B115" s="17" t="str">
        <f>IFERROR(VLOOKUP(C115,[3]Sheet2!$C$3:$F$1223,2,0),"")</f>
        <v/>
      </c>
      <c r="C115" s="3"/>
      <c r="D115" s="18" t="str">
        <f>IFERROR(VLOOKUP(C115,[3]Sheet2!$C$1:$F$1223,3,0),"")</f>
        <v/>
      </c>
      <c r="E115" s="18" t="str">
        <f>IFERROR(VLOOKUP(C115,[3]Sheet2!$C$1:$F$1223,4,0),"")</f>
        <v/>
      </c>
      <c r="F115" s="2"/>
      <c r="G115" s="3"/>
      <c r="H115" s="4"/>
      <c r="I115" s="4"/>
      <c r="J115" s="23"/>
      <c r="K115" s="27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34"/>
    </row>
    <row r="116" spans="2:22">
      <c r="B116" s="17" t="str">
        <f>IFERROR(VLOOKUP(C116,[3]Sheet2!$C$3:$F$1223,2,0),"")</f>
        <v/>
      </c>
      <c r="C116" s="3"/>
      <c r="D116" s="18" t="str">
        <f>IFERROR(VLOOKUP(C116,[3]Sheet2!$C$1:$F$1223,3,0),"")</f>
        <v/>
      </c>
      <c r="E116" s="18" t="str">
        <f>IFERROR(VLOOKUP(C116,[3]Sheet2!$C$1:$F$1223,4,0),"")</f>
        <v/>
      </c>
      <c r="F116" s="2"/>
      <c r="G116" s="3"/>
      <c r="H116" s="4"/>
      <c r="I116" s="4"/>
      <c r="J116" s="23"/>
      <c r="K116" s="27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34"/>
    </row>
    <row r="117" spans="2:22">
      <c r="B117" s="17" t="str">
        <f>IFERROR(VLOOKUP(C117,[3]Sheet2!$C$3:$F$1223,2,0),"")</f>
        <v/>
      </c>
      <c r="C117" s="3"/>
      <c r="D117" s="18" t="str">
        <f>IFERROR(VLOOKUP(C117,[3]Sheet2!$C$1:$F$1223,3,0),"")</f>
        <v/>
      </c>
      <c r="E117" s="18" t="str">
        <f>IFERROR(VLOOKUP(C117,[3]Sheet2!$C$1:$F$1223,4,0),"")</f>
        <v/>
      </c>
      <c r="F117" s="2"/>
      <c r="G117" s="3"/>
      <c r="H117" s="4"/>
      <c r="I117" s="4"/>
      <c r="J117" s="23"/>
      <c r="K117" s="27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34"/>
    </row>
    <row r="118" spans="2:22">
      <c r="B118" s="17" t="str">
        <f>IFERROR(VLOOKUP(C118,[3]Sheet2!$C$3:$F$1223,2,0),"")</f>
        <v/>
      </c>
      <c r="C118" s="3"/>
      <c r="D118" s="18" t="str">
        <f>IFERROR(VLOOKUP(C118,[3]Sheet2!$C$1:$F$1223,3,0),"")</f>
        <v/>
      </c>
      <c r="E118" s="18" t="str">
        <f>IFERROR(VLOOKUP(C118,[3]Sheet2!$C$1:$F$1223,4,0),"")</f>
        <v/>
      </c>
      <c r="F118" s="2"/>
      <c r="G118" s="3"/>
      <c r="H118" s="4"/>
      <c r="I118" s="4"/>
      <c r="J118" s="23"/>
      <c r="K118" s="27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34"/>
    </row>
    <row r="119" spans="2:22">
      <c r="B119" s="17" t="str">
        <f>IFERROR(VLOOKUP(C119,[3]Sheet2!$C$3:$F$1223,2,0),"")</f>
        <v/>
      </c>
      <c r="C119" s="3"/>
      <c r="D119" s="18" t="str">
        <f>IFERROR(VLOOKUP(C119,[3]Sheet2!$C$1:$F$1223,3,0),"")</f>
        <v/>
      </c>
      <c r="E119" s="18" t="str">
        <f>IFERROR(VLOOKUP(C119,[3]Sheet2!$C$1:$F$1223,4,0),"")</f>
        <v/>
      </c>
      <c r="F119" s="2"/>
      <c r="G119" s="3"/>
      <c r="H119" s="4"/>
      <c r="I119" s="4"/>
      <c r="J119" s="23"/>
      <c r="K119" s="27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34"/>
    </row>
    <row r="120" spans="2:22">
      <c r="B120" s="17" t="str">
        <f>IFERROR(VLOOKUP(C120,[3]Sheet2!$C$3:$F$1223,2,0),"")</f>
        <v/>
      </c>
      <c r="C120" s="3"/>
      <c r="D120" s="18" t="str">
        <f>IFERROR(VLOOKUP(C120,[3]Sheet2!$C$1:$F$1223,3,0),"")</f>
        <v/>
      </c>
      <c r="E120" s="18" t="str">
        <f>IFERROR(VLOOKUP(C120,[3]Sheet2!$C$1:$F$1223,4,0),"")</f>
        <v/>
      </c>
      <c r="F120" s="2"/>
      <c r="G120" s="3"/>
      <c r="H120" s="4"/>
      <c r="I120" s="4"/>
      <c r="J120" s="23"/>
      <c r="K120" s="27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34"/>
    </row>
    <row r="121" spans="2:22">
      <c r="B121" s="17" t="str">
        <f>IFERROR(VLOOKUP(C121,[3]Sheet2!$C$3:$F$1223,2,0),"")</f>
        <v/>
      </c>
      <c r="C121" s="3"/>
      <c r="D121" s="18" t="str">
        <f>IFERROR(VLOOKUP(C121,[3]Sheet2!$C$1:$F$1223,3,0),"")</f>
        <v/>
      </c>
      <c r="E121" s="18" t="str">
        <f>IFERROR(VLOOKUP(C121,[3]Sheet2!$C$1:$F$1223,4,0),"")</f>
        <v/>
      </c>
      <c r="F121" s="2"/>
      <c r="G121" s="3"/>
      <c r="H121" s="4"/>
      <c r="I121" s="4"/>
      <c r="J121" s="23"/>
      <c r="K121" s="27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34"/>
    </row>
    <row r="122" spans="2:22">
      <c r="B122" s="17" t="str">
        <f>IFERROR(VLOOKUP(C122,[3]Sheet2!$C$3:$F$1223,2,0),"")</f>
        <v/>
      </c>
      <c r="C122" s="3"/>
      <c r="D122" s="18" t="str">
        <f>IFERROR(VLOOKUP(C122,[3]Sheet2!$C$1:$F$1223,3,0),"")</f>
        <v/>
      </c>
      <c r="E122" s="18" t="str">
        <f>IFERROR(VLOOKUP(C122,[3]Sheet2!$C$1:$F$1223,4,0),"")</f>
        <v/>
      </c>
      <c r="F122" s="2"/>
      <c r="G122" s="3"/>
      <c r="H122" s="4"/>
      <c r="I122" s="4"/>
      <c r="J122" s="23"/>
      <c r="K122" s="27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34"/>
    </row>
    <row r="123" spans="2:22">
      <c r="B123" s="17" t="str">
        <f>IFERROR(VLOOKUP(C123,[3]Sheet2!$C$3:$F$1223,2,0),"")</f>
        <v/>
      </c>
      <c r="C123" s="3"/>
      <c r="D123" s="18" t="str">
        <f>IFERROR(VLOOKUP(C123,[3]Sheet2!$C$1:$F$1223,3,0),"")</f>
        <v/>
      </c>
      <c r="E123" s="18" t="str">
        <f>IFERROR(VLOOKUP(C123,[3]Sheet2!$C$1:$F$1223,4,0),"")</f>
        <v/>
      </c>
      <c r="F123" s="2"/>
      <c r="G123" s="3"/>
      <c r="H123" s="4"/>
      <c r="I123" s="4"/>
      <c r="J123" s="23"/>
      <c r="K123" s="27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34"/>
    </row>
    <row r="124" spans="2:22">
      <c r="B124" s="17" t="str">
        <f>IFERROR(VLOOKUP(C124,[3]Sheet2!$C$3:$F$1223,2,0),"")</f>
        <v/>
      </c>
      <c r="C124" s="3"/>
      <c r="D124" s="18" t="str">
        <f>IFERROR(VLOOKUP(C124,[3]Sheet2!$C$1:$F$1223,3,0),"")</f>
        <v/>
      </c>
      <c r="E124" s="18" t="str">
        <f>IFERROR(VLOOKUP(C124,[3]Sheet2!$C$1:$F$1223,4,0),"")</f>
        <v/>
      </c>
      <c r="F124" s="2"/>
      <c r="G124" s="3"/>
      <c r="H124" s="4"/>
      <c r="I124" s="4"/>
      <c r="J124" s="23"/>
      <c r="K124" s="27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34"/>
    </row>
    <row r="125" spans="2:22">
      <c r="B125" s="17" t="str">
        <f>IFERROR(VLOOKUP(C125,[3]Sheet2!$C$3:$F$1223,2,0),"")</f>
        <v/>
      </c>
      <c r="C125" s="3"/>
      <c r="D125" s="18" t="str">
        <f>IFERROR(VLOOKUP(C125,[3]Sheet2!$C$1:$F$1223,3,0),"")</f>
        <v/>
      </c>
      <c r="E125" s="18" t="str">
        <f>IFERROR(VLOOKUP(C125,[3]Sheet2!$C$1:$F$1223,4,0),"")</f>
        <v/>
      </c>
      <c r="F125" s="2"/>
      <c r="G125" s="3"/>
      <c r="H125" s="4"/>
      <c r="I125" s="4"/>
      <c r="J125" s="23"/>
      <c r="K125" s="27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34"/>
    </row>
    <row r="126" spans="2:22">
      <c r="B126" s="17" t="str">
        <f>IFERROR(VLOOKUP(C126,[3]Sheet2!$C$3:$F$1223,2,0),"")</f>
        <v/>
      </c>
      <c r="C126" s="3"/>
      <c r="D126" s="18" t="str">
        <f>IFERROR(VLOOKUP(C126,[3]Sheet2!$C$1:$F$1223,3,0),"")</f>
        <v/>
      </c>
      <c r="E126" s="18" t="str">
        <f>IFERROR(VLOOKUP(C126,[3]Sheet2!$C$1:$F$1223,4,0),"")</f>
        <v/>
      </c>
      <c r="F126" s="2"/>
      <c r="G126" s="3"/>
      <c r="H126" s="4"/>
      <c r="I126" s="4"/>
      <c r="J126" s="23"/>
      <c r="K126" s="27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34"/>
    </row>
    <row r="127" spans="2:22">
      <c r="B127" s="17" t="str">
        <f>IFERROR(VLOOKUP(C127,[3]Sheet2!$C$3:$F$1223,2,0),"")</f>
        <v/>
      </c>
      <c r="C127" s="3"/>
      <c r="D127" s="18" t="str">
        <f>IFERROR(VLOOKUP(C127,[3]Sheet2!$C$1:$F$1223,3,0),"")</f>
        <v/>
      </c>
      <c r="E127" s="18" t="str">
        <f>IFERROR(VLOOKUP(C127,[3]Sheet2!$C$1:$F$1223,4,0),"")</f>
        <v/>
      </c>
      <c r="F127" s="2"/>
      <c r="G127" s="3"/>
      <c r="H127" s="4"/>
      <c r="I127" s="4"/>
      <c r="J127" s="23"/>
      <c r="K127" s="27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34"/>
    </row>
    <row r="128" spans="2:22">
      <c r="B128" s="17" t="str">
        <f>IFERROR(VLOOKUP(C128,[3]Sheet2!$C$3:$F$1223,2,0),"")</f>
        <v/>
      </c>
      <c r="C128" s="3"/>
      <c r="D128" s="18" t="str">
        <f>IFERROR(VLOOKUP(C128,[3]Sheet2!$C$1:$F$1223,3,0),"")</f>
        <v/>
      </c>
      <c r="E128" s="18" t="str">
        <f>IFERROR(VLOOKUP(C128,[3]Sheet2!$C$1:$F$1223,4,0),"")</f>
        <v/>
      </c>
      <c r="F128" s="2"/>
      <c r="G128" s="3"/>
      <c r="H128" s="4"/>
      <c r="I128" s="4"/>
      <c r="J128" s="23"/>
      <c r="K128" s="27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34"/>
    </row>
    <row r="129" spans="2:22">
      <c r="B129" s="17" t="str">
        <f>IFERROR(VLOOKUP(C129,[3]Sheet2!$C$3:$F$1223,2,0),"")</f>
        <v/>
      </c>
      <c r="C129" s="3"/>
      <c r="D129" s="18" t="str">
        <f>IFERROR(VLOOKUP(C129,[3]Sheet2!$C$1:$F$1223,3,0),"")</f>
        <v/>
      </c>
      <c r="E129" s="18" t="str">
        <f>IFERROR(VLOOKUP(C129,[3]Sheet2!$C$1:$F$1223,4,0),"")</f>
        <v/>
      </c>
      <c r="F129" s="2"/>
      <c r="G129" s="3"/>
      <c r="H129" s="4"/>
      <c r="I129" s="4"/>
      <c r="J129" s="23"/>
      <c r="K129" s="27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34"/>
    </row>
    <row r="130" spans="2:22">
      <c r="B130" s="17" t="str">
        <f>IFERROR(VLOOKUP(C130,[3]Sheet2!$C$3:$F$1223,2,0),"")</f>
        <v/>
      </c>
      <c r="C130" s="3"/>
      <c r="D130" s="18" t="str">
        <f>IFERROR(VLOOKUP(C130,[3]Sheet2!$C$1:$F$1223,3,0),"")</f>
        <v/>
      </c>
      <c r="E130" s="18" t="str">
        <f>IFERROR(VLOOKUP(C130,[3]Sheet2!$C$1:$F$1223,4,0),"")</f>
        <v/>
      </c>
      <c r="F130" s="2"/>
      <c r="G130" s="3"/>
      <c r="H130" s="4"/>
      <c r="I130" s="4"/>
      <c r="J130" s="23"/>
      <c r="K130" s="27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34"/>
    </row>
    <row r="131" spans="2:22">
      <c r="B131" s="17" t="str">
        <f>IFERROR(VLOOKUP(C131,[3]Sheet2!$C$3:$F$1223,2,0),"")</f>
        <v/>
      </c>
      <c r="C131" s="3"/>
      <c r="D131" s="18" t="str">
        <f>IFERROR(VLOOKUP(C131,[3]Sheet2!$C$1:$F$1223,3,0),"")</f>
        <v/>
      </c>
      <c r="E131" s="18" t="str">
        <f>IFERROR(VLOOKUP(C131,[3]Sheet2!$C$1:$F$1223,4,0),"")</f>
        <v/>
      </c>
      <c r="F131" s="2"/>
      <c r="G131" s="3"/>
      <c r="H131" s="4"/>
      <c r="I131" s="4"/>
      <c r="J131" s="23"/>
      <c r="K131" s="27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34"/>
    </row>
    <row r="132" spans="2:22">
      <c r="B132" s="17" t="str">
        <f>IFERROR(VLOOKUP(C132,[3]Sheet2!$C$3:$F$1223,2,0),"")</f>
        <v/>
      </c>
      <c r="C132" s="3"/>
      <c r="D132" s="18" t="str">
        <f>IFERROR(VLOOKUP(C132,[3]Sheet2!$C$1:$F$1223,3,0),"")</f>
        <v/>
      </c>
      <c r="E132" s="18" t="str">
        <f>IFERROR(VLOOKUP(C132,[3]Sheet2!$C$1:$F$1223,4,0),"")</f>
        <v/>
      </c>
      <c r="F132" s="2"/>
      <c r="G132" s="3"/>
      <c r="H132" s="4"/>
      <c r="I132" s="4"/>
      <c r="J132" s="23"/>
      <c r="K132" s="27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34"/>
    </row>
    <row r="133" spans="2:22">
      <c r="B133" s="17" t="str">
        <f>IFERROR(VLOOKUP(C133,[3]Sheet2!$C$3:$F$1223,2,0),"")</f>
        <v/>
      </c>
      <c r="C133" s="3"/>
      <c r="D133" s="18" t="str">
        <f>IFERROR(VLOOKUP(C133,[3]Sheet2!$C$1:$F$1223,3,0),"")</f>
        <v/>
      </c>
      <c r="E133" s="18" t="str">
        <f>IFERROR(VLOOKUP(C133,[3]Sheet2!$C$1:$F$1223,4,0),"")</f>
        <v/>
      </c>
      <c r="F133" s="2"/>
      <c r="G133" s="3"/>
      <c r="H133" s="4"/>
      <c r="I133" s="4"/>
      <c r="J133" s="23"/>
      <c r="K133" s="27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34"/>
    </row>
    <row r="134" spans="2:22">
      <c r="B134" s="17" t="str">
        <f>IFERROR(VLOOKUP(C134,[3]Sheet2!$C$3:$F$1223,2,0),"")</f>
        <v/>
      </c>
      <c r="C134" s="3"/>
      <c r="D134" s="18" t="str">
        <f>IFERROR(VLOOKUP(C134,[3]Sheet2!$C$1:$F$1223,3,0),"")</f>
        <v/>
      </c>
      <c r="E134" s="18" t="str">
        <f>IFERROR(VLOOKUP(C134,[3]Sheet2!$C$1:$F$1223,4,0),"")</f>
        <v/>
      </c>
      <c r="F134" s="2"/>
      <c r="G134" s="3"/>
      <c r="H134" s="4"/>
      <c r="I134" s="4"/>
      <c r="J134" s="23"/>
      <c r="K134" s="27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34"/>
    </row>
    <row r="135" spans="2:22">
      <c r="B135" s="17" t="str">
        <f>IFERROR(VLOOKUP(C135,[3]Sheet2!$C$3:$F$1223,2,0),"")</f>
        <v/>
      </c>
      <c r="C135" s="3"/>
      <c r="D135" s="18" t="str">
        <f>IFERROR(VLOOKUP(C135,[3]Sheet2!$C$1:$F$1223,3,0),"")</f>
        <v/>
      </c>
      <c r="E135" s="18" t="str">
        <f>IFERROR(VLOOKUP(C135,[3]Sheet2!$C$1:$F$1223,4,0),"")</f>
        <v/>
      </c>
      <c r="F135" s="2"/>
      <c r="G135" s="3"/>
      <c r="H135" s="4"/>
      <c r="I135" s="4"/>
      <c r="J135" s="23"/>
      <c r="K135" s="27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34"/>
    </row>
    <row r="136" spans="2:22">
      <c r="B136" s="17" t="str">
        <f>IFERROR(VLOOKUP(C136,[3]Sheet2!$C$3:$F$1223,2,0),"")</f>
        <v/>
      </c>
      <c r="C136" s="3"/>
      <c r="D136" s="18" t="str">
        <f>IFERROR(VLOOKUP(C136,[3]Sheet2!$C$1:$F$1223,3,0),"")</f>
        <v/>
      </c>
      <c r="E136" s="18" t="str">
        <f>IFERROR(VLOOKUP(C136,[3]Sheet2!$C$1:$F$1223,4,0),"")</f>
        <v/>
      </c>
      <c r="F136" s="2"/>
      <c r="G136" s="3"/>
      <c r="H136" s="4"/>
      <c r="I136" s="4"/>
      <c r="J136" s="23"/>
      <c r="K136" s="27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34"/>
    </row>
    <row r="137" spans="2:22">
      <c r="B137" s="17" t="str">
        <f>IFERROR(VLOOKUP(C137,[3]Sheet2!$C$3:$F$1223,2,0),"")</f>
        <v/>
      </c>
      <c r="C137" s="3"/>
      <c r="D137" s="18" t="str">
        <f>IFERROR(VLOOKUP(C137,[3]Sheet2!$C$1:$F$1223,3,0),"")</f>
        <v/>
      </c>
      <c r="E137" s="18" t="str">
        <f>IFERROR(VLOOKUP(C137,[3]Sheet2!$C$1:$F$1223,4,0),"")</f>
        <v/>
      </c>
      <c r="F137" s="2"/>
      <c r="G137" s="3"/>
      <c r="H137" s="4"/>
      <c r="I137" s="4"/>
      <c r="J137" s="23"/>
      <c r="K137" s="27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34"/>
    </row>
    <row r="138" spans="2:22">
      <c r="B138" s="17" t="str">
        <f>IFERROR(VLOOKUP(C138,[3]Sheet2!$C$3:$F$1223,2,0),"")</f>
        <v/>
      </c>
      <c r="C138" s="3"/>
      <c r="D138" s="18" t="str">
        <f>IFERROR(VLOOKUP(C138,[3]Sheet2!$C$1:$F$1223,3,0),"")</f>
        <v/>
      </c>
      <c r="E138" s="18" t="str">
        <f>IFERROR(VLOOKUP(C138,[3]Sheet2!$C$1:$F$1223,4,0),"")</f>
        <v/>
      </c>
      <c r="F138" s="2"/>
      <c r="G138" s="3"/>
      <c r="H138" s="4"/>
      <c r="I138" s="4"/>
      <c r="J138" s="23"/>
      <c r="K138" s="27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34"/>
    </row>
    <row r="139" spans="2:22">
      <c r="B139" s="17" t="str">
        <f>IFERROR(VLOOKUP(C139,[3]Sheet2!$C$3:$F$1223,2,0),"")</f>
        <v/>
      </c>
      <c r="C139" s="3"/>
      <c r="D139" s="18" t="str">
        <f>IFERROR(VLOOKUP(C139,[3]Sheet2!$C$1:$F$1223,3,0),"")</f>
        <v/>
      </c>
      <c r="E139" s="18" t="str">
        <f>IFERROR(VLOOKUP(C139,[3]Sheet2!$C$1:$F$1223,4,0),"")</f>
        <v/>
      </c>
      <c r="F139" s="2"/>
      <c r="G139" s="3"/>
      <c r="H139" s="4"/>
      <c r="I139" s="4"/>
      <c r="J139" s="23"/>
      <c r="K139" s="27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34"/>
    </row>
    <row r="140" spans="2:22">
      <c r="B140" s="17" t="str">
        <f>IFERROR(VLOOKUP(C140,[3]Sheet2!$C$3:$F$1223,2,0),"")</f>
        <v/>
      </c>
      <c r="C140" s="3"/>
      <c r="D140" s="18" t="str">
        <f>IFERROR(VLOOKUP(C140,[3]Sheet2!$C$1:$F$1223,3,0),"")</f>
        <v/>
      </c>
      <c r="E140" s="18" t="str">
        <f>IFERROR(VLOOKUP(C140,[3]Sheet2!$C$1:$F$1223,4,0),"")</f>
        <v/>
      </c>
      <c r="F140" s="2"/>
      <c r="G140" s="3"/>
      <c r="H140" s="4"/>
      <c r="I140" s="4"/>
      <c r="J140" s="23"/>
      <c r="K140" s="27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34"/>
    </row>
    <row r="141" spans="2:22">
      <c r="B141" s="17" t="str">
        <f>IFERROR(VLOOKUP(C141,[3]Sheet2!$C$3:$F$1223,2,0),"")</f>
        <v/>
      </c>
      <c r="C141" s="3"/>
      <c r="D141" s="18" t="str">
        <f>IFERROR(VLOOKUP(C141,[3]Sheet2!$C$1:$F$1223,3,0),"")</f>
        <v/>
      </c>
      <c r="E141" s="18" t="str">
        <f>IFERROR(VLOOKUP(C141,[3]Sheet2!$C$1:$F$1223,4,0),"")</f>
        <v/>
      </c>
      <c r="F141" s="2"/>
      <c r="G141" s="3"/>
      <c r="H141" s="4"/>
      <c r="I141" s="4"/>
      <c r="J141" s="23"/>
      <c r="K141" s="27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34"/>
    </row>
    <row r="142" spans="2:22">
      <c r="B142" s="17" t="str">
        <f>IFERROR(VLOOKUP(C142,[3]Sheet2!$C$3:$F$1223,2,0),"")</f>
        <v/>
      </c>
      <c r="C142" s="3"/>
      <c r="D142" s="18" t="str">
        <f>IFERROR(VLOOKUP(C142,[3]Sheet2!$C$1:$F$1223,3,0),"")</f>
        <v/>
      </c>
      <c r="E142" s="18" t="str">
        <f>IFERROR(VLOOKUP(C142,[3]Sheet2!$C$1:$F$1223,4,0),"")</f>
        <v/>
      </c>
      <c r="F142" s="2"/>
      <c r="G142" s="3"/>
      <c r="H142" s="4"/>
      <c r="I142" s="4"/>
      <c r="J142" s="23"/>
      <c r="K142" s="27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34"/>
    </row>
    <row r="143" spans="2:22">
      <c r="B143" s="17" t="str">
        <f>IFERROR(VLOOKUP(C143,[3]Sheet2!$C$3:$F$1223,2,0),"")</f>
        <v/>
      </c>
      <c r="C143" s="3"/>
      <c r="D143" s="18" t="str">
        <f>IFERROR(VLOOKUP(C143,[3]Sheet2!$C$1:$F$1223,3,0),"")</f>
        <v/>
      </c>
      <c r="E143" s="18" t="str">
        <f>IFERROR(VLOOKUP(C143,[3]Sheet2!$C$1:$F$1223,4,0),"")</f>
        <v/>
      </c>
      <c r="F143" s="2"/>
      <c r="G143" s="3"/>
      <c r="H143" s="4"/>
      <c r="I143" s="4"/>
      <c r="J143" s="23"/>
      <c r="K143" s="27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34"/>
    </row>
    <row r="144" spans="2:22">
      <c r="B144" s="17" t="str">
        <f>IFERROR(VLOOKUP(C144,[3]Sheet2!$C$3:$F$1223,2,0),"")</f>
        <v/>
      </c>
      <c r="C144" s="3"/>
      <c r="D144" s="18" t="str">
        <f>IFERROR(VLOOKUP(C144,[3]Sheet2!$C$1:$F$1223,3,0),"")</f>
        <v/>
      </c>
      <c r="E144" s="18" t="str">
        <f>IFERROR(VLOOKUP(C144,[3]Sheet2!$C$1:$F$1223,4,0),"")</f>
        <v/>
      </c>
      <c r="F144" s="2"/>
      <c r="G144" s="3"/>
      <c r="H144" s="4"/>
      <c r="I144" s="4"/>
      <c r="J144" s="23"/>
      <c r="K144" s="27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34"/>
    </row>
    <row r="145" spans="2:22">
      <c r="B145" s="17" t="str">
        <f>IFERROR(VLOOKUP(C145,[3]Sheet2!$C$3:$F$1223,2,0),"")</f>
        <v/>
      </c>
      <c r="C145" s="3"/>
      <c r="D145" s="18" t="str">
        <f>IFERROR(VLOOKUP(C145,[3]Sheet2!$C$1:$F$1223,3,0),"")</f>
        <v/>
      </c>
      <c r="E145" s="18" t="str">
        <f>IFERROR(VLOOKUP(C145,[3]Sheet2!$C$1:$F$1223,4,0),"")</f>
        <v/>
      </c>
      <c r="F145" s="2"/>
      <c r="G145" s="3"/>
      <c r="H145" s="4"/>
      <c r="I145" s="4"/>
      <c r="J145" s="23"/>
      <c r="K145" s="27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34"/>
    </row>
    <row r="146" spans="2:22">
      <c r="B146" s="17" t="str">
        <f>IFERROR(VLOOKUP(C146,[3]Sheet2!$C$3:$F$1223,2,0),"")</f>
        <v/>
      </c>
      <c r="C146" s="3"/>
      <c r="D146" s="18" t="str">
        <f>IFERROR(VLOOKUP(C146,[3]Sheet2!$C$1:$F$1223,3,0),"")</f>
        <v/>
      </c>
      <c r="E146" s="18" t="str">
        <f>IFERROR(VLOOKUP(C146,[3]Sheet2!$C$1:$F$1223,4,0),"")</f>
        <v/>
      </c>
      <c r="F146" s="2"/>
      <c r="G146" s="3"/>
      <c r="H146" s="4"/>
      <c r="I146" s="4"/>
      <c r="J146" s="23"/>
      <c r="K146" s="27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34"/>
    </row>
    <row r="147" spans="2:22">
      <c r="B147" s="17" t="str">
        <f>IFERROR(VLOOKUP(C147,[3]Sheet2!$C$3:$F$1223,2,0),"")</f>
        <v/>
      </c>
      <c r="C147" s="3"/>
      <c r="D147" s="18" t="str">
        <f>IFERROR(VLOOKUP(C147,[3]Sheet2!$C$1:$F$1223,3,0),"")</f>
        <v/>
      </c>
      <c r="E147" s="18" t="str">
        <f>IFERROR(VLOOKUP(C147,[3]Sheet2!$C$1:$F$1223,4,0),"")</f>
        <v/>
      </c>
      <c r="F147" s="2"/>
      <c r="G147" s="3"/>
      <c r="H147" s="4"/>
      <c r="I147" s="4"/>
      <c r="J147" s="23"/>
      <c r="K147" s="27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34"/>
    </row>
    <row r="148" spans="2:22">
      <c r="B148" s="17" t="str">
        <f>IFERROR(VLOOKUP(C148,[3]Sheet2!$C$3:$F$1223,2,0),"")</f>
        <v/>
      </c>
      <c r="C148" s="3"/>
      <c r="D148" s="18" t="str">
        <f>IFERROR(VLOOKUP(C148,[3]Sheet2!$C$1:$F$1223,3,0),"")</f>
        <v/>
      </c>
      <c r="E148" s="18" t="str">
        <f>IFERROR(VLOOKUP(C148,[3]Sheet2!$C$1:$F$1223,4,0),"")</f>
        <v/>
      </c>
      <c r="F148" s="2"/>
      <c r="G148" s="3"/>
      <c r="H148" s="4"/>
      <c r="I148" s="4"/>
      <c r="J148" s="23"/>
      <c r="K148" s="27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34"/>
    </row>
    <row r="149" spans="2:22">
      <c r="B149" s="17" t="str">
        <f>IFERROR(VLOOKUP(C149,[3]Sheet2!$C$3:$F$1223,2,0),"")</f>
        <v/>
      </c>
      <c r="C149" s="3"/>
      <c r="D149" s="18" t="str">
        <f>IFERROR(VLOOKUP(C149,[3]Sheet2!$C$1:$F$1223,3,0),"")</f>
        <v/>
      </c>
      <c r="E149" s="18" t="str">
        <f>IFERROR(VLOOKUP(C149,[3]Sheet2!$C$1:$F$1223,4,0),"")</f>
        <v/>
      </c>
      <c r="F149" s="2"/>
      <c r="G149" s="3"/>
      <c r="H149" s="4"/>
      <c r="I149" s="4"/>
      <c r="J149" s="23"/>
      <c r="K149" s="27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34"/>
    </row>
    <row r="150" spans="2:22">
      <c r="B150" s="17" t="str">
        <f>IFERROR(VLOOKUP(C150,[3]Sheet2!$C$3:$F$1223,2,0),"")</f>
        <v/>
      </c>
      <c r="C150" s="3"/>
      <c r="D150" s="18" t="str">
        <f>IFERROR(VLOOKUP(C150,[3]Sheet2!$C$1:$F$1223,3,0),"")</f>
        <v/>
      </c>
      <c r="E150" s="18" t="str">
        <f>IFERROR(VLOOKUP(C150,[3]Sheet2!$C$1:$F$1223,4,0),"")</f>
        <v/>
      </c>
      <c r="F150" s="2"/>
      <c r="G150" s="3"/>
      <c r="H150" s="4"/>
      <c r="I150" s="4"/>
      <c r="J150" s="23"/>
      <c r="K150" s="27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34"/>
    </row>
    <row r="151" spans="2:22">
      <c r="B151" s="17" t="str">
        <f>IFERROR(VLOOKUP(C151,[3]Sheet2!$C$3:$F$1223,2,0),"")</f>
        <v/>
      </c>
      <c r="C151" s="3"/>
      <c r="D151" s="18" t="str">
        <f>IFERROR(VLOOKUP(C151,[3]Sheet2!$C$1:$F$1223,3,0),"")</f>
        <v/>
      </c>
      <c r="E151" s="18" t="str">
        <f>IFERROR(VLOOKUP(C151,[3]Sheet2!$C$1:$F$1223,4,0),"")</f>
        <v/>
      </c>
      <c r="F151" s="2"/>
      <c r="G151" s="3"/>
      <c r="H151" s="4"/>
      <c r="I151" s="4"/>
      <c r="J151" s="23"/>
      <c r="K151" s="27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34"/>
    </row>
    <row r="152" spans="2:22">
      <c r="B152" s="17" t="str">
        <f>IFERROR(VLOOKUP(C152,[3]Sheet2!$C$3:$F$1223,2,0),"")</f>
        <v/>
      </c>
      <c r="C152" s="3"/>
      <c r="D152" s="18" t="str">
        <f>IFERROR(VLOOKUP(C152,[3]Sheet2!$C$1:$F$1223,3,0),"")</f>
        <v/>
      </c>
      <c r="E152" s="18" t="str">
        <f>IFERROR(VLOOKUP(C152,[3]Sheet2!$C$1:$F$1223,4,0),"")</f>
        <v/>
      </c>
      <c r="F152" s="2"/>
      <c r="G152" s="3"/>
      <c r="H152" s="4"/>
      <c r="I152" s="4"/>
      <c r="J152" s="23"/>
      <c r="K152" s="27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34"/>
    </row>
    <row r="153" spans="2:22">
      <c r="B153" s="17" t="str">
        <f>IFERROR(VLOOKUP(C153,[3]Sheet2!$C$3:$F$1223,2,0),"")</f>
        <v/>
      </c>
      <c r="C153" s="3"/>
      <c r="D153" s="18" t="str">
        <f>IFERROR(VLOOKUP(C153,[3]Sheet2!$C$1:$F$1223,3,0),"")</f>
        <v/>
      </c>
      <c r="E153" s="18" t="str">
        <f>IFERROR(VLOOKUP(C153,[3]Sheet2!$C$1:$F$1223,4,0),"")</f>
        <v/>
      </c>
      <c r="F153" s="2"/>
      <c r="G153" s="3"/>
      <c r="H153" s="4"/>
      <c r="I153" s="4"/>
      <c r="J153" s="23"/>
      <c r="K153" s="27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34"/>
    </row>
    <row r="154" spans="2:22">
      <c r="B154" s="17" t="str">
        <f>IFERROR(VLOOKUP(C154,[3]Sheet2!$C$3:$F$1223,2,0),"")</f>
        <v/>
      </c>
      <c r="C154" s="3"/>
      <c r="D154" s="18" t="str">
        <f>IFERROR(VLOOKUP(C154,[3]Sheet2!$C$1:$F$1223,3,0),"")</f>
        <v/>
      </c>
      <c r="E154" s="18" t="str">
        <f>IFERROR(VLOOKUP(C154,[3]Sheet2!$C$1:$F$1223,4,0),"")</f>
        <v/>
      </c>
      <c r="F154" s="2"/>
      <c r="G154" s="3"/>
      <c r="H154" s="4"/>
      <c r="I154" s="4"/>
      <c r="J154" s="23"/>
      <c r="K154" s="27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34"/>
    </row>
    <row r="155" spans="2:22">
      <c r="B155" s="17" t="str">
        <f>IFERROR(VLOOKUP(C155,[3]Sheet2!$C$3:$F$1223,2,0),"")</f>
        <v/>
      </c>
      <c r="C155" s="3"/>
      <c r="D155" s="18" t="str">
        <f>IFERROR(VLOOKUP(C155,[3]Sheet2!$C$1:$F$1223,3,0),"")</f>
        <v/>
      </c>
      <c r="E155" s="18" t="str">
        <f>IFERROR(VLOOKUP(C155,[3]Sheet2!$C$1:$F$1223,4,0),"")</f>
        <v/>
      </c>
      <c r="F155" s="2"/>
      <c r="G155" s="3"/>
      <c r="H155" s="4"/>
      <c r="I155" s="4"/>
      <c r="J155" s="23"/>
      <c r="K155" s="27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34"/>
    </row>
    <row r="156" spans="2:22">
      <c r="B156" s="17" t="str">
        <f>IFERROR(VLOOKUP(C156,[3]Sheet2!$C$3:$F$1223,2,0),"")</f>
        <v/>
      </c>
      <c r="C156" s="3"/>
      <c r="D156" s="18" t="str">
        <f>IFERROR(VLOOKUP(C156,[3]Sheet2!$C$1:$F$1223,3,0),"")</f>
        <v/>
      </c>
      <c r="E156" s="18" t="str">
        <f>IFERROR(VLOOKUP(C156,[3]Sheet2!$C$1:$F$1223,4,0),"")</f>
        <v/>
      </c>
      <c r="F156" s="2"/>
      <c r="G156" s="3"/>
      <c r="H156" s="4"/>
      <c r="I156" s="4"/>
      <c r="J156" s="23"/>
      <c r="K156" s="27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34"/>
    </row>
    <row r="157" spans="2:22">
      <c r="B157" s="17" t="str">
        <f>IFERROR(VLOOKUP(C157,[3]Sheet2!$C$3:$F$1223,2,0),"")</f>
        <v/>
      </c>
      <c r="C157" s="3"/>
      <c r="D157" s="18" t="str">
        <f>IFERROR(VLOOKUP(C157,[3]Sheet2!$C$1:$F$1223,3,0),"")</f>
        <v/>
      </c>
      <c r="E157" s="18" t="str">
        <f>IFERROR(VLOOKUP(C157,[3]Sheet2!$C$1:$F$1223,4,0),"")</f>
        <v/>
      </c>
      <c r="F157" s="2"/>
      <c r="G157" s="3"/>
      <c r="H157" s="4"/>
      <c r="I157" s="4"/>
      <c r="J157" s="23"/>
      <c r="K157" s="27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34"/>
    </row>
    <row r="158" spans="2:22">
      <c r="B158" s="17" t="str">
        <f>IFERROR(VLOOKUP(C158,[3]Sheet2!$C$3:$F$1223,2,0),"")</f>
        <v/>
      </c>
      <c r="C158" s="3"/>
      <c r="D158" s="18" t="str">
        <f>IFERROR(VLOOKUP(C158,[3]Sheet2!$C$1:$F$1223,3,0),"")</f>
        <v/>
      </c>
      <c r="E158" s="18" t="str">
        <f>IFERROR(VLOOKUP(C158,[3]Sheet2!$C$1:$F$1223,4,0),"")</f>
        <v/>
      </c>
      <c r="F158" s="2"/>
      <c r="G158" s="3"/>
      <c r="H158" s="4"/>
      <c r="I158" s="4"/>
      <c r="J158" s="23"/>
      <c r="K158" s="27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34"/>
    </row>
    <row r="159" spans="2:22">
      <c r="B159" s="17" t="str">
        <f>IFERROR(VLOOKUP(C159,[3]Sheet2!$C$3:$F$1223,2,0),"")</f>
        <v/>
      </c>
      <c r="C159" s="3"/>
      <c r="D159" s="18" t="str">
        <f>IFERROR(VLOOKUP(C159,[3]Sheet2!$C$1:$F$1223,3,0),"")</f>
        <v/>
      </c>
      <c r="E159" s="18" t="str">
        <f>IFERROR(VLOOKUP(C159,[3]Sheet2!$C$1:$F$1223,4,0),"")</f>
        <v/>
      </c>
      <c r="F159" s="2"/>
      <c r="G159" s="3"/>
      <c r="H159" s="4"/>
      <c r="I159" s="4"/>
      <c r="J159" s="23"/>
      <c r="K159" s="27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34"/>
    </row>
    <row r="160" spans="2:22">
      <c r="B160" s="17" t="str">
        <f>IFERROR(VLOOKUP(C160,[3]Sheet2!$C$3:$F$1223,2,0),"")</f>
        <v/>
      </c>
      <c r="C160" s="3"/>
      <c r="D160" s="18" t="str">
        <f>IFERROR(VLOOKUP(C160,[3]Sheet2!$C$1:$F$1223,3,0),"")</f>
        <v/>
      </c>
      <c r="E160" s="18" t="str">
        <f>IFERROR(VLOOKUP(C160,[3]Sheet2!$C$1:$F$1223,4,0),"")</f>
        <v/>
      </c>
      <c r="F160" s="2"/>
      <c r="G160" s="3"/>
      <c r="H160" s="4"/>
      <c r="I160" s="4"/>
      <c r="J160" s="23"/>
      <c r="K160" s="27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34"/>
    </row>
    <row r="161" spans="2:22">
      <c r="B161" s="17" t="str">
        <f>IFERROR(VLOOKUP(C161,[3]Sheet2!$C$3:$F$1223,2,0),"")</f>
        <v/>
      </c>
      <c r="C161" s="3"/>
      <c r="D161" s="18" t="str">
        <f>IFERROR(VLOOKUP(C161,[3]Sheet2!$C$1:$F$1223,3,0),"")</f>
        <v/>
      </c>
      <c r="E161" s="18" t="str">
        <f>IFERROR(VLOOKUP(C161,[3]Sheet2!$C$1:$F$1223,4,0),"")</f>
        <v/>
      </c>
      <c r="F161" s="2"/>
      <c r="G161" s="3"/>
      <c r="H161" s="4"/>
      <c r="I161" s="4"/>
      <c r="J161" s="23"/>
      <c r="K161" s="27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34"/>
    </row>
    <row r="162" spans="2:22">
      <c r="B162" s="17" t="str">
        <f>IFERROR(VLOOKUP(C162,[3]Sheet2!$C$3:$F$1223,2,0),"")</f>
        <v/>
      </c>
      <c r="C162" s="3"/>
      <c r="D162" s="18" t="str">
        <f>IFERROR(VLOOKUP(C162,[3]Sheet2!$C$1:$F$1223,3,0),"")</f>
        <v/>
      </c>
      <c r="E162" s="18" t="str">
        <f>IFERROR(VLOOKUP(C162,[3]Sheet2!$C$1:$F$1223,4,0),"")</f>
        <v/>
      </c>
      <c r="F162" s="2"/>
      <c r="G162" s="3"/>
      <c r="H162" s="4"/>
      <c r="I162" s="4"/>
      <c r="J162" s="23"/>
      <c r="K162" s="27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34"/>
    </row>
    <row r="163" spans="2:22">
      <c r="B163" s="17" t="str">
        <f>IFERROR(VLOOKUP(C163,[3]Sheet2!$C$3:$F$1223,2,0),"")</f>
        <v/>
      </c>
      <c r="C163" s="3"/>
      <c r="D163" s="18" t="str">
        <f>IFERROR(VLOOKUP(C163,[3]Sheet2!$C$1:$F$1223,3,0),"")</f>
        <v/>
      </c>
      <c r="E163" s="18" t="str">
        <f>IFERROR(VLOOKUP(C163,[3]Sheet2!$C$1:$F$1223,4,0),"")</f>
        <v/>
      </c>
      <c r="F163" s="2"/>
      <c r="G163" s="3"/>
      <c r="H163" s="4"/>
      <c r="I163" s="4"/>
      <c r="J163" s="23"/>
      <c r="K163" s="27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34"/>
    </row>
    <row r="164" spans="2:22">
      <c r="B164" s="17" t="str">
        <f>IFERROR(VLOOKUP(C164,[3]Sheet2!$C$3:$F$1223,2,0),"")</f>
        <v/>
      </c>
      <c r="C164" s="3"/>
      <c r="D164" s="18" t="str">
        <f>IFERROR(VLOOKUP(C164,[3]Sheet2!$C$1:$F$1223,3,0),"")</f>
        <v/>
      </c>
      <c r="E164" s="18" t="str">
        <f>IFERROR(VLOOKUP(C164,[3]Sheet2!$C$1:$F$1223,4,0),"")</f>
        <v/>
      </c>
      <c r="F164" s="2"/>
      <c r="G164" s="3"/>
      <c r="H164" s="4"/>
      <c r="I164" s="4"/>
      <c r="J164" s="23"/>
      <c r="K164" s="27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34"/>
    </row>
    <row r="165" spans="2:22">
      <c r="B165" s="17" t="str">
        <f>IFERROR(VLOOKUP(C165,[3]Sheet2!$C$3:$F$1223,2,0),"")</f>
        <v/>
      </c>
      <c r="C165" s="3"/>
      <c r="D165" s="18" t="str">
        <f>IFERROR(VLOOKUP(C165,[3]Sheet2!$C$1:$F$1223,3,0),"")</f>
        <v/>
      </c>
      <c r="E165" s="18" t="str">
        <f>IFERROR(VLOOKUP(C165,[3]Sheet2!$C$1:$F$1223,4,0),"")</f>
        <v/>
      </c>
      <c r="F165" s="3"/>
      <c r="G165" s="3"/>
      <c r="H165" s="4"/>
      <c r="I165" s="4"/>
      <c r="J165" s="23"/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29"/>
    </row>
    <row r="166" spans="2:22">
      <c r="B166" s="17" t="str">
        <f>IFERROR(VLOOKUP(C166,[3]Sheet2!$C$3:$F$1223,2,0),"")</f>
        <v/>
      </c>
      <c r="D166" s="18" t="str">
        <f>IFERROR(VLOOKUP(C166,[3]Sheet2!$C$1:$F$1223,3,0),"")</f>
        <v/>
      </c>
      <c r="E166" s="18" t="str">
        <f>IFERROR(VLOOKUP(C166,[3]Sheet2!$C$1:$F$1223,4,0),"")</f>
        <v/>
      </c>
    </row>
    <row r="167" spans="2:22">
      <c r="B167" s="17" t="str">
        <f>IFERROR(VLOOKUP(C167,[3]Sheet2!$C$3:$F$1223,2,0),"")</f>
        <v/>
      </c>
      <c r="D167" s="18" t="str">
        <f>IFERROR(VLOOKUP(C167,[3]Sheet2!$C$1:$F$1223,3,0),"")</f>
        <v/>
      </c>
      <c r="E167" s="18" t="str">
        <f>IFERROR(VLOOKUP(C167,[3]Sheet2!$C$1:$F$1223,4,0),"")</f>
        <v/>
      </c>
    </row>
    <row r="168" spans="2:22">
      <c r="B168" s="17" t="str">
        <f>IFERROR(VLOOKUP(C168,[3]Sheet2!$C$3:$F$1223,2,0),"")</f>
        <v/>
      </c>
      <c r="D168" s="18" t="str">
        <f>IFERROR(VLOOKUP(C168,[3]Sheet2!$C$1:$F$1223,3,0),"")</f>
        <v/>
      </c>
      <c r="E168" s="18" t="str">
        <f>IFERROR(VLOOKUP(C168,[3]Sheet2!$C$1:$F$1223,4,0),"")</f>
        <v/>
      </c>
    </row>
    <row r="169" spans="2:22">
      <c r="B169" s="17" t="str">
        <f>IFERROR(VLOOKUP(C169,[3]Sheet2!$C$3:$F$1223,2,0),"")</f>
        <v/>
      </c>
      <c r="D169" s="18" t="str">
        <f>IFERROR(VLOOKUP(C169,[3]Sheet2!$C$1:$F$1223,3,0),"")</f>
        <v/>
      </c>
      <c r="E169" s="18" t="str">
        <f>IFERROR(VLOOKUP(C169,[3]Sheet2!$C$1:$F$1223,4,0),"")</f>
        <v/>
      </c>
    </row>
    <row r="170" spans="2:22">
      <c r="B170" s="17" t="str">
        <f>IFERROR(VLOOKUP(C170,[3]Sheet2!$C$3:$F$1223,2,0),"")</f>
        <v/>
      </c>
      <c r="D170" s="18" t="str">
        <f>IFERROR(VLOOKUP(C170,[3]Sheet2!$C$1:$F$1223,3,0),"")</f>
        <v/>
      </c>
      <c r="E170" s="18" t="str">
        <f>IFERROR(VLOOKUP(C170,[3]Sheet2!$C$1:$F$1223,4,0),"")</f>
        <v/>
      </c>
    </row>
    <row r="171" spans="2:22">
      <c r="B171" s="17" t="str">
        <f>IFERROR(VLOOKUP(C171,[3]Sheet2!$C$3:$F$1223,2,0),"")</f>
        <v/>
      </c>
      <c r="D171" s="18" t="str">
        <f>IFERROR(VLOOKUP(C171,[3]Sheet2!$C$1:$F$1223,3,0),"")</f>
        <v/>
      </c>
      <c r="E171" s="18" t="str">
        <f>IFERROR(VLOOKUP(C171,[3]Sheet2!$C$1:$F$1223,4,0),"")</f>
        <v/>
      </c>
    </row>
    <row r="172" spans="2:22">
      <c r="B172" s="17" t="str">
        <f>IFERROR(VLOOKUP(C172,[3]Sheet2!$C$3:$F$1223,2,0),"")</f>
        <v/>
      </c>
      <c r="D172" s="18" t="str">
        <f>IFERROR(VLOOKUP(C172,[3]Sheet2!$C$1:$F$1223,3,0),"")</f>
        <v/>
      </c>
      <c r="E172" s="18" t="str">
        <f>IFERROR(VLOOKUP(C172,[3]Sheet2!$C$1:$F$1223,4,0),"")</f>
        <v/>
      </c>
    </row>
    <row r="173" spans="2:22">
      <c r="B173" s="17" t="str">
        <f>IFERROR(VLOOKUP(C173,[3]Sheet2!$C$3:$F$1223,2,0),"")</f>
        <v/>
      </c>
      <c r="D173" s="18" t="str">
        <f>IFERROR(VLOOKUP(C173,[3]Sheet2!$C$1:$F$1223,3,0),"")</f>
        <v/>
      </c>
      <c r="E173" s="18" t="str">
        <f>IFERROR(VLOOKUP(C173,[3]Sheet2!$C$1:$F$1223,4,0),"")</f>
        <v/>
      </c>
    </row>
    <row r="174" spans="2:22">
      <c r="B174" s="17" t="str">
        <f>IFERROR(VLOOKUP(C174,[3]Sheet2!$C$3:$F$1223,2,0),"")</f>
        <v/>
      </c>
      <c r="D174" s="18" t="str">
        <f>IFERROR(VLOOKUP(C174,[3]Sheet2!$C$1:$F$1223,3,0),"")</f>
        <v/>
      </c>
      <c r="E174" s="18" t="str">
        <f>IFERROR(VLOOKUP(C174,[3]Sheet2!$C$1:$F$1223,4,0),"")</f>
        <v/>
      </c>
    </row>
    <row r="175" spans="2:22">
      <c r="B175" s="17" t="str">
        <f>IFERROR(VLOOKUP(C175,[3]Sheet2!$C$3:$F$1223,2,0),"")</f>
        <v/>
      </c>
      <c r="D175" s="18" t="str">
        <f>IFERROR(VLOOKUP(C175,[3]Sheet2!$C$1:$F$1223,3,0),"")</f>
        <v/>
      </c>
      <c r="E175" s="18" t="str">
        <f>IFERROR(VLOOKUP(C175,[3]Sheet2!$C$1:$F$1223,4,0),"")</f>
        <v/>
      </c>
    </row>
    <row r="176" spans="2:22">
      <c r="B176" s="17" t="str">
        <f>IFERROR(VLOOKUP(C176,[3]Sheet2!$C$3:$F$1223,2,0),"")</f>
        <v/>
      </c>
      <c r="D176" s="18" t="str">
        <f>IFERROR(VLOOKUP(C176,[3]Sheet2!$C$1:$F$1223,3,0),"")</f>
        <v/>
      </c>
      <c r="E176" s="18" t="str">
        <f>IFERROR(VLOOKUP(C176,[3]Sheet2!$C$1:$F$1223,4,0),"")</f>
        <v/>
      </c>
    </row>
    <row r="177" spans="2:5">
      <c r="B177" s="17" t="str">
        <f>IFERROR(VLOOKUP(C177,[3]Sheet2!$C$3:$F$1223,2,0),"")</f>
        <v/>
      </c>
      <c r="D177" s="18" t="str">
        <f>IFERROR(VLOOKUP(C177,[3]Sheet2!$C$1:$F$1223,3,0),"")</f>
        <v/>
      </c>
      <c r="E177" s="18" t="str">
        <f>IFERROR(VLOOKUP(C177,[3]Sheet2!$C$1:$F$1223,4,0),"")</f>
        <v/>
      </c>
    </row>
    <row r="178" spans="2:5">
      <c r="B178" s="17" t="str">
        <f>IFERROR(VLOOKUP(C178,[3]Sheet2!$C$3:$F$1223,2,0),"")</f>
        <v/>
      </c>
      <c r="D178" s="18" t="str">
        <f>IFERROR(VLOOKUP(C178,[3]Sheet2!$C$1:$F$1223,3,0),"")</f>
        <v/>
      </c>
      <c r="E178" s="18" t="str">
        <f>IFERROR(VLOOKUP(C178,[3]Sheet2!$C$1:$F$1223,4,0),"")</f>
        <v/>
      </c>
    </row>
    <row r="179" spans="2:5">
      <c r="B179" s="17" t="str">
        <f>IFERROR(VLOOKUP(C179,[3]Sheet2!$C$3:$F$1223,2,0),"")</f>
        <v/>
      </c>
      <c r="D179" s="18" t="str">
        <f>IFERROR(VLOOKUP(C179,[3]Sheet2!$C$1:$F$1223,3,0),"")</f>
        <v/>
      </c>
      <c r="E179" s="18" t="str">
        <f>IFERROR(VLOOKUP(C179,[3]Sheet2!$C$1:$F$1223,4,0),"")</f>
        <v/>
      </c>
    </row>
    <row r="180" spans="2:5">
      <c r="B180" s="17" t="str">
        <f>IFERROR(VLOOKUP(C180,[3]Sheet2!$C$3:$F$1223,2,0),"")</f>
        <v/>
      </c>
      <c r="D180" s="18" t="str">
        <f>IFERROR(VLOOKUP(C180,[3]Sheet2!$C$1:$F$1223,3,0),"")</f>
        <v/>
      </c>
      <c r="E180" s="18" t="str">
        <f>IFERROR(VLOOKUP(C180,[3]Sheet2!$C$1:$F$1223,4,0),"")</f>
        <v/>
      </c>
    </row>
    <row r="181" spans="2:5">
      <c r="B181" s="17" t="str">
        <f>IFERROR(VLOOKUP(C181,[3]Sheet2!$C$3:$F$1223,2,0),"")</f>
        <v/>
      </c>
      <c r="D181" s="18" t="str">
        <f>IFERROR(VLOOKUP(C181,[3]Sheet2!$C$1:$F$1223,3,0),"")</f>
        <v/>
      </c>
      <c r="E181" s="18" t="str">
        <f>IFERROR(VLOOKUP(C181,[3]Sheet2!$C$1:$F$1223,4,0),"")</f>
        <v/>
      </c>
    </row>
    <row r="182" spans="2:5">
      <c r="B182" s="17" t="str">
        <f>IFERROR(VLOOKUP(C182,[3]Sheet2!$C$3:$F$1223,2,0),"")</f>
        <v/>
      </c>
      <c r="D182" s="18" t="str">
        <f>IFERROR(VLOOKUP(C182,[3]Sheet2!$C$1:$F$1223,3,0),"")</f>
        <v/>
      </c>
      <c r="E182" s="18" t="str">
        <f>IFERROR(VLOOKUP(C182,[3]Sheet2!$C$1:$F$1223,4,0),"")</f>
        <v/>
      </c>
    </row>
    <row r="183" spans="2:5">
      <c r="B183" s="17" t="str">
        <f>IFERROR(VLOOKUP(C183,[3]Sheet2!$C$3:$F$1223,2,0),"")</f>
        <v/>
      </c>
      <c r="D183" s="18" t="str">
        <f>IFERROR(VLOOKUP(C183,[3]Sheet2!$C$1:$F$1223,3,0),"")</f>
        <v/>
      </c>
      <c r="E183" s="18" t="str">
        <f>IFERROR(VLOOKUP(C183,[3]Sheet2!$C$1:$F$1223,4,0),"")</f>
        <v/>
      </c>
    </row>
    <row r="184" spans="2:5">
      <c r="B184" s="17" t="str">
        <f>IFERROR(VLOOKUP(C184,[3]Sheet2!$C$3:$F$1223,2,0),"")</f>
        <v/>
      </c>
      <c r="D184" s="18" t="str">
        <f>IFERROR(VLOOKUP(C184,[3]Sheet2!$C$1:$F$1223,3,0),"")</f>
        <v/>
      </c>
      <c r="E184" s="18" t="str">
        <f>IFERROR(VLOOKUP(C184,[3]Sheet2!$C$1:$F$1223,4,0),"")</f>
        <v/>
      </c>
    </row>
    <row r="185" spans="2:5">
      <c r="B185" s="17" t="str">
        <f>IFERROR(VLOOKUP(C185,[3]Sheet2!$C$3:$F$1223,2,0),"")</f>
        <v/>
      </c>
      <c r="D185" s="18" t="str">
        <f>IFERROR(VLOOKUP(C185,[3]Sheet2!$C$1:$F$1223,3,0),"")</f>
        <v/>
      </c>
      <c r="E185" s="18" t="str">
        <f>IFERROR(VLOOKUP(C185,[3]Sheet2!$C$1:$F$1223,4,0),"")</f>
        <v/>
      </c>
    </row>
    <row r="186" spans="2:5">
      <c r="B186" s="17" t="str">
        <f>IFERROR(VLOOKUP(C186,[3]Sheet2!$C$3:$F$1223,2,0),"")</f>
        <v/>
      </c>
      <c r="D186" s="18" t="str">
        <f>IFERROR(VLOOKUP(C186,[3]Sheet2!$C$1:$F$1223,3,0),"")</f>
        <v/>
      </c>
      <c r="E186" s="18" t="str">
        <f>IFERROR(VLOOKUP(C186,[3]Sheet2!$C$1:$F$1223,4,0),"")</f>
        <v/>
      </c>
    </row>
    <row r="187" spans="2:5">
      <c r="B187" s="17" t="str">
        <f>IFERROR(VLOOKUP(C187,[3]Sheet2!$C$3:$F$1223,2,0),"")</f>
        <v/>
      </c>
      <c r="D187" s="18" t="str">
        <f>IFERROR(VLOOKUP(C187,[3]Sheet2!$C$1:$F$1223,3,0),"")</f>
        <v/>
      </c>
      <c r="E187" s="18" t="str">
        <f>IFERROR(VLOOKUP(C187,[3]Sheet2!$C$1:$F$1223,4,0),"")</f>
        <v/>
      </c>
    </row>
    <row r="188" spans="2:5">
      <c r="B188" s="17" t="str">
        <f>IFERROR(VLOOKUP(C188,[3]Sheet2!$C$3:$F$1223,2,0),"")</f>
        <v/>
      </c>
      <c r="D188" s="18" t="str">
        <f>IFERROR(VLOOKUP(C188,[3]Sheet2!$C$1:$F$1223,3,0),"")</f>
        <v/>
      </c>
      <c r="E188" s="18" t="str">
        <f>IFERROR(VLOOKUP(C188,[3]Sheet2!$C$1:$F$1223,4,0),"")</f>
        <v/>
      </c>
    </row>
    <row r="189" spans="2:5">
      <c r="B189" s="17" t="str">
        <f>IFERROR(VLOOKUP(C189,[3]Sheet2!$C$3:$F$1223,2,0),"")</f>
        <v/>
      </c>
      <c r="D189" s="18" t="str">
        <f>IFERROR(VLOOKUP(C189,[3]Sheet2!$C$1:$F$1223,3,0),"")</f>
        <v/>
      </c>
      <c r="E189" s="18" t="str">
        <f>IFERROR(VLOOKUP(C189,[3]Sheet2!$C$1:$F$1223,4,0),"")</f>
        <v/>
      </c>
    </row>
    <row r="190" spans="2:5">
      <c r="B190" s="17" t="str">
        <f>IFERROR(VLOOKUP(C190,[3]Sheet2!$C$3:$F$1223,2,0),"")</f>
        <v/>
      </c>
      <c r="D190" s="18" t="str">
        <f>IFERROR(VLOOKUP(C190,[3]Sheet2!$C$1:$F$1223,3,0),"")</f>
        <v/>
      </c>
      <c r="E190" s="18" t="str">
        <f>IFERROR(VLOOKUP(C190,[3]Sheet2!$C$1:$F$1223,4,0),"")</f>
        <v/>
      </c>
    </row>
    <row r="191" spans="2:5">
      <c r="B191" s="17" t="str">
        <f>IFERROR(VLOOKUP(C191,[3]Sheet2!$C$3:$F$1223,2,0),"")</f>
        <v/>
      </c>
      <c r="D191" s="18" t="str">
        <f>IFERROR(VLOOKUP(C191,[3]Sheet2!$C$1:$F$1223,3,0),"")</f>
        <v/>
      </c>
      <c r="E191" s="18" t="str">
        <f>IFERROR(VLOOKUP(C191,[3]Sheet2!$C$1:$F$1223,4,0),"")</f>
        <v/>
      </c>
    </row>
    <row r="192" spans="2:5">
      <c r="B192" s="17" t="str">
        <f>IFERROR(VLOOKUP(C192,[3]Sheet2!$C$3:$F$1223,2,0),"")</f>
        <v/>
      </c>
      <c r="D192" s="18" t="str">
        <f>IFERROR(VLOOKUP(C192,[3]Sheet2!$C$1:$F$1223,3,0),"")</f>
        <v/>
      </c>
      <c r="E192" s="18" t="str">
        <f>IFERROR(VLOOKUP(C192,[3]Sheet2!$C$1:$F$1223,4,0),"")</f>
        <v/>
      </c>
    </row>
    <row r="193" spans="2:5">
      <c r="B193" s="17" t="str">
        <f>IFERROR(VLOOKUP(C193,[3]Sheet2!$C$3:$F$1223,2,0),"")</f>
        <v/>
      </c>
      <c r="D193" s="18" t="str">
        <f>IFERROR(VLOOKUP(C193,[3]Sheet2!$C$1:$F$1223,3,0),"")</f>
        <v/>
      </c>
      <c r="E193" s="18" t="str">
        <f>IFERROR(VLOOKUP(C193,[3]Sheet2!$C$1:$F$1223,4,0),"")</f>
        <v/>
      </c>
    </row>
    <row r="194" spans="2:5">
      <c r="B194" s="17" t="str">
        <f>IFERROR(VLOOKUP(C194,[3]Sheet2!$C$3:$F$1223,2,0),"")</f>
        <v/>
      </c>
      <c r="D194" s="18" t="str">
        <f>IFERROR(VLOOKUP(C194,[3]Sheet2!$C$1:$F$1223,3,0),"")</f>
        <v/>
      </c>
      <c r="E194" s="18" t="str">
        <f>IFERROR(VLOOKUP(C194,[3]Sheet2!$C$1:$F$1223,4,0),"")</f>
        <v/>
      </c>
    </row>
    <row r="195" spans="2:5">
      <c r="B195" s="17" t="str">
        <f>IFERROR(VLOOKUP(C195,[3]Sheet2!$C$3:$F$1223,2,0),"")</f>
        <v/>
      </c>
      <c r="D195" s="18" t="str">
        <f>IFERROR(VLOOKUP(C195,[3]Sheet2!$C$1:$F$1223,3,0),"")</f>
        <v/>
      </c>
      <c r="E195" s="18" t="str">
        <f>IFERROR(VLOOKUP(C195,[3]Sheet2!$C$1:$F$1223,4,0),"")</f>
        <v/>
      </c>
    </row>
    <row r="196" spans="2:5">
      <c r="B196" s="17" t="str">
        <f>IFERROR(VLOOKUP(C196,[3]Sheet2!$C$3:$F$1223,2,0),"")</f>
        <v/>
      </c>
      <c r="D196" s="18" t="str">
        <f>IFERROR(VLOOKUP(C196,[3]Sheet2!$C$1:$F$1223,3,0),"")</f>
        <v/>
      </c>
      <c r="E196" s="18" t="str">
        <f>IFERROR(VLOOKUP(C196,[3]Sheet2!$C$1:$F$1223,4,0),"")</f>
        <v/>
      </c>
    </row>
    <row r="197" spans="2:5">
      <c r="B197" s="17" t="str">
        <f>IFERROR(VLOOKUP(C197,[3]Sheet2!$C$3:$F$1223,2,0),"")</f>
        <v/>
      </c>
      <c r="D197" s="18" t="str">
        <f>IFERROR(VLOOKUP(C197,[3]Sheet2!$C$1:$F$1223,3,0),"")</f>
        <v/>
      </c>
      <c r="E197" s="18" t="str">
        <f>IFERROR(VLOOKUP(C197,[3]Sheet2!$C$1:$F$1223,4,0),"")</f>
        <v/>
      </c>
    </row>
    <row r="198" spans="2:5">
      <c r="B198" s="17" t="str">
        <f>IFERROR(VLOOKUP(C198,[3]Sheet2!$C$3:$F$1223,2,0),"")</f>
        <v/>
      </c>
      <c r="D198" s="18" t="str">
        <f>IFERROR(VLOOKUP(C198,[3]Sheet2!$C$1:$F$1223,3,0),"")</f>
        <v/>
      </c>
      <c r="E198" s="18" t="str">
        <f>IFERROR(VLOOKUP(C198,[3]Sheet2!$C$1:$F$1223,4,0),"")</f>
        <v/>
      </c>
    </row>
    <row r="199" spans="2:5">
      <c r="B199" s="17" t="str">
        <f>IFERROR(VLOOKUP(C199,[3]Sheet2!$C$3:$F$1223,2,0),"")</f>
        <v/>
      </c>
      <c r="D199" s="18" t="str">
        <f>IFERROR(VLOOKUP(C199,[3]Sheet2!$C$1:$F$1223,3,0),"")</f>
        <v/>
      </c>
      <c r="E199" s="18" t="str">
        <f>IFERROR(VLOOKUP(C199,[3]Sheet2!$C$1:$F$1223,4,0),"")</f>
        <v/>
      </c>
    </row>
    <row r="200" spans="2:5">
      <c r="B200" s="17" t="str">
        <f>IFERROR(VLOOKUP(C200,[3]Sheet2!$C$3:$F$1223,2,0),"")</f>
        <v/>
      </c>
      <c r="D200" s="18" t="str">
        <f>IFERROR(VLOOKUP(C200,[3]Sheet2!$C$1:$F$1223,3,0),"")</f>
        <v/>
      </c>
      <c r="E200" s="18" t="str">
        <f>IFERROR(VLOOKUP(C200,[3]Sheet2!$C$1:$F$1223,4,0),"")</f>
        <v/>
      </c>
    </row>
    <row r="201" spans="2:5">
      <c r="B201" s="17" t="str">
        <f>IFERROR(VLOOKUP(C201,[3]Sheet2!$C$3:$F$1223,2,0),"")</f>
        <v/>
      </c>
      <c r="D201" s="18" t="str">
        <f>IFERROR(VLOOKUP(C201,[3]Sheet2!$C$1:$F$1223,3,0),"")</f>
        <v/>
      </c>
      <c r="E201" s="18" t="str">
        <f>IFERROR(VLOOKUP(C201,[3]Sheet2!$C$1:$F$1223,4,0),"")</f>
        <v/>
      </c>
    </row>
    <row r="202" spans="2:5">
      <c r="B202" s="17" t="str">
        <f>IFERROR(VLOOKUP(C202,[3]Sheet2!$C$3:$F$1223,2,0),"")</f>
        <v/>
      </c>
      <c r="D202" s="18" t="str">
        <f>IFERROR(VLOOKUP(C202,[3]Sheet2!$C$1:$F$1223,3,0),"")</f>
        <v/>
      </c>
      <c r="E202" s="18" t="str">
        <f>IFERROR(VLOOKUP(C202,[3]Sheet2!$C$1:$F$1223,4,0),"")</f>
        <v/>
      </c>
    </row>
    <row r="203" spans="2:5">
      <c r="B203" s="17" t="str">
        <f>IFERROR(VLOOKUP(C203,[3]Sheet2!$C$3:$F$1223,2,0),"")</f>
        <v/>
      </c>
      <c r="D203" s="18" t="str">
        <f>IFERROR(VLOOKUP(C203,[3]Sheet2!$C$1:$F$1223,3,0),"")</f>
        <v/>
      </c>
      <c r="E203" s="18" t="str">
        <f>IFERROR(VLOOKUP(C203,[3]Sheet2!$C$1:$F$1223,4,0),"")</f>
        <v/>
      </c>
    </row>
    <row r="204" spans="2:5">
      <c r="B204" s="17" t="str">
        <f>IFERROR(VLOOKUP(C204,[3]Sheet2!$C$3:$F$1223,2,0),"")</f>
        <v/>
      </c>
      <c r="D204" s="18" t="str">
        <f>IFERROR(VLOOKUP(C204,[3]Sheet2!$C$1:$F$1223,3,0),"")</f>
        <v/>
      </c>
      <c r="E204" s="18" t="str">
        <f>IFERROR(VLOOKUP(C204,[3]Sheet2!$C$1:$F$1223,4,0),"")</f>
        <v/>
      </c>
    </row>
    <row r="205" spans="2:5">
      <c r="B205" s="17" t="str">
        <f>IFERROR(VLOOKUP(C205,[3]Sheet2!$C$3:$F$1223,2,0),"")</f>
        <v/>
      </c>
      <c r="D205" s="18" t="str">
        <f>IFERROR(VLOOKUP(C205,[3]Sheet2!$C$1:$F$1223,3,0),"")</f>
        <v/>
      </c>
      <c r="E205" s="18" t="str">
        <f>IFERROR(VLOOKUP(C205,[3]Sheet2!$C$1:$F$1223,4,0),"")</f>
        <v/>
      </c>
    </row>
    <row r="206" spans="2:5">
      <c r="B206" s="17" t="str">
        <f>IFERROR(VLOOKUP(C206,[3]Sheet2!$C$3:$F$1223,2,0),"")</f>
        <v/>
      </c>
      <c r="D206" s="18" t="str">
        <f>IFERROR(VLOOKUP(C206,[3]Sheet2!$C$1:$F$1223,3,0),"")</f>
        <v/>
      </c>
      <c r="E206" s="18" t="str">
        <f>IFERROR(VLOOKUP(C206,[3]Sheet2!$C$1:$F$1223,4,0),"")</f>
        <v/>
      </c>
    </row>
    <row r="207" spans="2:5">
      <c r="B207" s="17" t="str">
        <f>IFERROR(VLOOKUP(C207,[3]Sheet2!$C$3:$F$1223,2,0),"")</f>
        <v/>
      </c>
      <c r="D207" s="18" t="str">
        <f>IFERROR(VLOOKUP(C207,[3]Sheet2!$C$1:$F$1223,3,0),"")</f>
        <v/>
      </c>
      <c r="E207" s="18" t="str">
        <f>IFERROR(VLOOKUP(C207,[3]Sheet2!$C$1:$F$1223,4,0),"")</f>
        <v/>
      </c>
    </row>
    <row r="208" spans="2:5">
      <c r="B208" s="17" t="str">
        <f>IFERROR(VLOOKUP(C208,[3]Sheet2!$C$3:$F$1223,2,0),"")</f>
        <v/>
      </c>
      <c r="D208" s="18" t="str">
        <f>IFERROR(VLOOKUP(C208,[3]Sheet2!$C$1:$F$1223,3,0),"")</f>
        <v/>
      </c>
      <c r="E208" s="18" t="str">
        <f>IFERROR(VLOOKUP(C208,[3]Sheet2!$C$1:$F$1223,4,0),"")</f>
        <v/>
      </c>
    </row>
    <row r="209" spans="2:5">
      <c r="B209" s="17" t="str">
        <f>IFERROR(VLOOKUP(C209,[3]Sheet2!$C$3:$F$1223,2,0),"")</f>
        <v/>
      </c>
      <c r="D209" s="18" t="str">
        <f>IFERROR(VLOOKUP(C209,[3]Sheet2!$C$1:$F$1223,3,0),"")</f>
        <v/>
      </c>
      <c r="E209" s="18" t="str">
        <f>IFERROR(VLOOKUP(C209,[3]Sheet2!$C$1:$F$1223,4,0),"")</f>
        <v/>
      </c>
    </row>
    <row r="210" spans="2:5">
      <c r="B210" s="17" t="str">
        <f>IFERROR(VLOOKUP(C210,[3]Sheet2!$C$3:$F$1223,2,0),"")</f>
        <v/>
      </c>
      <c r="D210" s="18" t="str">
        <f>IFERROR(VLOOKUP(C210,[3]Sheet2!$C$1:$F$1223,3,0),"")</f>
        <v/>
      </c>
      <c r="E210" s="18" t="str">
        <f>IFERROR(VLOOKUP(C210,[3]Sheet2!$C$1:$F$1223,4,0),"")</f>
        <v/>
      </c>
    </row>
    <row r="211" spans="2:5">
      <c r="B211" s="17" t="str">
        <f>IFERROR(VLOOKUP(C211,[3]Sheet2!$C$3:$F$1223,2,0),"")</f>
        <v/>
      </c>
      <c r="D211" s="18" t="str">
        <f>IFERROR(VLOOKUP(C211,[3]Sheet2!$C$1:$F$1223,3,0),"")</f>
        <v/>
      </c>
      <c r="E211" s="18" t="str">
        <f>IFERROR(VLOOKUP(C211,[3]Sheet2!$C$1:$F$1223,4,0),"")</f>
        <v/>
      </c>
    </row>
    <row r="212" spans="2:5">
      <c r="B212" s="17" t="str">
        <f>IFERROR(VLOOKUP(C212,[3]Sheet2!$C$3:$F$1223,2,0),"")</f>
        <v/>
      </c>
      <c r="D212" s="18" t="str">
        <f>IFERROR(VLOOKUP(C212,[3]Sheet2!$C$1:$F$1223,3,0),"")</f>
        <v/>
      </c>
      <c r="E212" s="18" t="str">
        <f>IFERROR(VLOOKUP(C212,[3]Sheet2!$C$1:$F$1223,4,0),"")</f>
        <v/>
      </c>
    </row>
    <row r="213" spans="2:5">
      <c r="B213" s="17" t="str">
        <f>IFERROR(VLOOKUP(C213,[3]Sheet2!$C$3:$F$1223,2,0),"")</f>
        <v/>
      </c>
      <c r="D213" s="18" t="str">
        <f>IFERROR(VLOOKUP(C213,[3]Sheet2!$C$1:$F$1223,3,0),"")</f>
        <v/>
      </c>
      <c r="E213" s="18" t="str">
        <f>IFERROR(VLOOKUP(C213,[3]Sheet2!$C$1:$F$1223,4,0),"")</f>
        <v/>
      </c>
    </row>
    <row r="214" spans="2:5">
      <c r="B214" s="17" t="str">
        <f>IFERROR(VLOOKUP(C214,[3]Sheet2!$C$3:$F$1223,2,0),"")</f>
        <v/>
      </c>
      <c r="D214" s="18" t="str">
        <f>IFERROR(VLOOKUP(C214,[3]Sheet2!$C$1:$F$1223,3,0),"")</f>
        <v/>
      </c>
      <c r="E214" s="18" t="str">
        <f>IFERROR(VLOOKUP(C214,[3]Sheet2!$C$1:$F$1223,4,0),"")</f>
        <v/>
      </c>
    </row>
    <row r="215" spans="2:5">
      <c r="B215" s="17" t="str">
        <f>IFERROR(VLOOKUP(C215,[3]Sheet2!$C$3:$F$1223,2,0),"")</f>
        <v/>
      </c>
      <c r="D215" s="18" t="str">
        <f>IFERROR(VLOOKUP(C215,[3]Sheet2!$C$1:$F$1223,3,0),"")</f>
        <v/>
      </c>
      <c r="E215" s="18" t="str">
        <f>IFERROR(VLOOKUP(C215,[3]Sheet2!$C$1:$F$1223,4,0),"")</f>
        <v/>
      </c>
    </row>
    <row r="216" spans="2:5">
      <c r="B216" s="17" t="str">
        <f>IFERROR(VLOOKUP(C216,[3]Sheet2!$C$3:$F$1223,2,0),"")</f>
        <v/>
      </c>
      <c r="D216" s="18" t="str">
        <f>IFERROR(VLOOKUP(C216,[3]Sheet2!$C$1:$F$1223,3,0),"")</f>
        <v/>
      </c>
      <c r="E216" s="18" t="str">
        <f>IFERROR(VLOOKUP(C216,[3]Sheet2!$C$1:$F$1223,4,0),"")</f>
        <v/>
      </c>
    </row>
    <row r="217" spans="2:5">
      <c r="B217" s="17" t="str">
        <f>IFERROR(VLOOKUP(C217,[3]Sheet2!$C$3:$F$1223,2,0),"")</f>
        <v/>
      </c>
      <c r="D217" s="18" t="str">
        <f>IFERROR(VLOOKUP(C217,[3]Sheet2!$C$1:$F$1223,3,0),"")</f>
        <v/>
      </c>
      <c r="E217" s="18" t="str">
        <f>IFERROR(VLOOKUP(C217,[3]Sheet2!$C$1:$F$1223,4,0),"")</f>
        <v/>
      </c>
    </row>
    <row r="218" spans="2:5">
      <c r="B218" s="17" t="str">
        <f>IFERROR(VLOOKUP(C218,[3]Sheet2!$C$3:$F$1223,2,0),"")</f>
        <v/>
      </c>
      <c r="D218" s="18" t="str">
        <f>IFERROR(VLOOKUP(C218,[3]Sheet2!$C$1:$F$1223,3,0),"")</f>
        <v/>
      </c>
      <c r="E218" s="18" t="str">
        <f>IFERROR(VLOOKUP(C218,[3]Sheet2!$C$1:$F$1223,4,0),"")</f>
        <v/>
      </c>
    </row>
    <row r="219" spans="2:5">
      <c r="B219" s="17" t="str">
        <f>IFERROR(VLOOKUP(C219,[3]Sheet2!$C$3:$F$1223,2,0),"")</f>
        <v/>
      </c>
      <c r="D219" s="18" t="str">
        <f>IFERROR(VLOOKUP(C219,[3]Sheet2!$C$1:$F$1223,3,0),"")</f>
        <v/>
      </c>
      <c r="E219" s="18" t="str">
        <f>IFERROR(VLOOKUP(C219,[3]Sheet2!$C$1:$F$1223,4,0),"")</f>
        <v/>
      </c>
    </row>
    <row r="220" spans="2:5">
      <c r="B220" s="17" t="str">
        <f>IFERROR(VLOOKUP(C220,[3]Sheet2!$C$3:$F$1223,2,0),"")</f>
        <v/>
      </c>
      <c r="D220" s="18" t="str">
        <f>IFERROR(VLOOKUP(C220,[3]Sheet2!$C$1:$F$1223,3,0),"")</f>
        <v/>
      </c>
      <c r="E220" s="18" t="str">
        <f>IFERROR(VLOOKUP(C220,[3]Sheet2!$C$1:$F$1223,4,0),"")</f>
        <v/>
      </c>
    </row>
    <row r="221" spans="2:5">
      <c r="B221" s="17" t="str">
        <f>IFERROR(VLOOKUP(C221,[3]Sheet2!$C$3:$F$1223,2,0),"")</f>
        <v/>
      </c>
      <c r="D221" s="18" t="str">
        <f>IFERROR(VLOOKUP(C221,[3]Sheet2!$C$1:$F$1223,3,0),"")</f>
        <v/>
      </c>
      <c r="E221" s="18" t="str">
        <f>IFERROR(VLOOKUP(C221,[3]Sheet2!$C$1:$F$1223,4,0),"")</f>
        <v/>
      </c>
    </row>
    <row r="222" spans="2:5">
      <c r="B222" s="17" t="str">
        <f>IFERROR(VLOOKUP(C222,[3]Sheet2!$C$3:$F$1223,2,0),"")</f>
        <v/>
      </c>
      <c r="D222" s="18" t="str">
        <f>IFERROR(VLOOKUP(C222,[3]Sheet2!$C$1:$F$1223,3,0),"")</f>
        <v/>
      </c>
      <c r="E222" s="18" t="str">
        <f>IFERROR(VLOOKUP(C222,[3]Sheet2!$C$1:$F$1223,4,0),"")</f>
        <v/>
      </c>
    </row>
    <row r="223" spans="2:5">
      <c r="B223" s="17" t="str">
        <f>IFERROR(VLOOKUP(C223,[3]Sheet2!$C$3:$F$1223,2,0),"")</f>
        <v/>
      </c>
      <c r="D223" s="18" t="str">
        <f>IFERROR(VLOOKUP(C223,[3]Sheet2!$C$1:$F$1223,3,0),"")</f>
        <v/>
      </c>
      <c r="E223" s="18" t="str">
        <f>IFERROR(VLOOKUP(C223,[3]Sheet2!$C$1:$F$1223,4,0),"")</f>
        <v/>
      </c>
    </row>
    <row r="224" spans="2:5">
      <c r="B224" s="17" t="str">
        <f>IFERROR(VLOOKUP(C224,[3]Sheet2!$C$3:$F$1223,2,0),"")</f>
        <v/>
      </c>
      <c r="D224" s="18" t="str">
        <f>IFERROR(VLOOKUP(C224,[3]Sheet2!$C$1:$F$1223,3,0),"")</f>
        <v/>
      </c>
      <c r="E224" s="18" t="str">
        <f>IFERROR(VLOOKUP(C224,[3]Sheet2!$C$1:$F$1223,4,0),"")</f>
        <v/>
      </c>
    </row>
    <row r="225" spans="2:5">
      <c r="B225" s="17" t="str">
        <f>IFERROR(VLOOKUP(C225,[3]Sheet2!$C$3:$F$1223,2,0),"")</f>
        <v/>
      </c>
      <c r="D225" s="18" t="str">
        <f>IFERROR(VLOOKUP(C225,[3]Sheet2!$C$1:$F$1223,3,0),"")</f>
        <v/>
      </c>
      <c r="E225" s="18" t="str">
        <f>IFERROR(VLOOKUP(C225,[3]Sheet2!$C$1:$F$1223,4,0),"")</f>
        <v/>
      </c>
    </row>
    <row r="226" spans="2:5">
      <c r="B226" s="17" t="str">
        <f>IFERROR(VLOOKUP(C226,[3]Sheet2!$C$3:$F$1223,2,0),"")</f>
        <v/>
      </c>
      <c r="D226" s="18" t="str">
        <f>IFERROR(VLOOKUP(C226,[3]Sheet2!$C$1:$F$1223,3,0),"")</f>
        <v/>
      </c>
      <c r="E226" s="18" t="str">
        <f>IFERROR(VLOOKUP(C226,[3]Sheet2!$C$1:$F$1223,4,0),"")</f>
        <v/>
      </c>
    </row>
    <row r="227" spans="2:5">
      <c r="B227" s="17" t="str">
        <f>IFERROR(VLOOKUP(C227,[3]Sheet2!$C$3:$F$1223,2,0),"")</f>
        <v/>
      </c>
      <c r="D227" s="18" t="str">
        <f>IFERROR(VLOOKUP(C227,[3]Sheet2!$C$1:$F$1223,3,0),"")</f>
        <v/>
      </c>
      <c r="E227" s="18" t="str">
        <f>IFERROR(VLOOKUP(C227,[3]Sheet2!$C$1:$F$1223,4,0),"")</f>
        <v/>
      </c>
    </row>
    <row r="228" spans="2:5">
      <c r="B228" s="17" t="str">
        <f>IFERROR(VLOOKUP(C228,[3]Sheet2!$C$3:$F$1223,2,0),"")</f>
        <v/>
      </c>
      <c r="D228" s="18" t="str">
        <f>IFERROR(VLOOKUP(C228,[3]Sheet2!$C$1:$F$1223,3,0),"")</f>
        <v/>
      </c>
      <c r="E228" s="18" t="str">
        <f>IFERROR(VLOOKUP(C228,[3]Sheet2!$C$1:$F$1223,4,0),"")</f>
        <v/>
      </c>
    </row>
    <row r="229" spans="2:5">
      <c r="B229" s="17" t="str">
        <f>IFERROR(VLOOKUP(C229,[3]Sheet2!$C$3:$F$1223,2,0),"")</f>
        <v/>
      </c>
      <c r="D229" s="18" t="str">
        <f>IFERROR(VLOOKUP(C229,[3]Sheet2!$C$1:$F$1223,3,0),"")</f>
        <v/>
      </c>
      <c r="E229" s="18" t="str">
        <f>IFERROR(VLOOKUP(C229,[3]Sheet2!$C$1:$F$1223,4,0),"")</f>
        <v/>
      </c>
    </row>
    <row r="230" spans="2:5">
      <c r="B230" s="17" t="str">
        <f>IFERROR(VLOOKUP(C230,[3]Sheet2!$C$3:$F$1223,2,0),"")</f>
        <v/>
      </c>
      <c r="D230" s="18" t="str">
        <f>IFERROR(VLOOKUP(C230,[3]Sheet2!$C$1:$F$1223,3,0),"")</f>
        <v/>
      </c>
      <c r="E230" s="18" t="str">
        <f>IFERROR(VLOOKUP(C230,[3]Sheet2!$C$1:$F$1223,4,0),"")</f>
        <v/>
      </c>
    </row>
    <row r="231" spans="2:5">
      <c r="B231" s="17" t="str">
        <f>IFERROR(VLOOKUP(C231,[3]Sheet2!$C$3:$F$1223,2,0),"")</f>
        <v/>
      </c>
      <c r="D231" s="18" t="str">
        <f>IFERROR(VLOOKUP(C231,[3]Sheet2!$C$1:$F$1223,3,0),"")</f>
        <v/>
      </c>
      <c r="E231" s="18" t="str">
        <f>IFERROR(VLOOKUP(C231,[3]Sheet2!$C$1:$F$1223,4,0),"")</f>
        <v/>
      </c>
    </row>
    <row r="232" spans="2:5">
      <c r="B232" s="17" t="str">
        <f>IFERROR(VLOOKUP(C232,[3]Sheet2!$C$3:$F$1223,2,0),"")</f>
        <v/>
      </c>
      <c r="D232" s="18" t="str">
        <f>IFERROR(VLOOKUP(C232,[3]Sheet2!$C$1:$F$1223,3,0),"")</f>
        <v/>
      </c>
      <c r="E232" s="18" t="str">
        <f>IFERROR(VLOOKUP(C232,[3]Sheet2!$C$1:$F$1223,4,0),"")</f>
        <v/>
      </c>
    </row>
    <row r="233" spans="2:5">
      <c r="B233" s="17" t="str">
        <f>IFERROR(VLOOKUP(C233,[3]Sheet2!$C$3:$F$1223,2,0),"")</f>
        <v/>
      </c>
      <c r="D233" s="18" t="str">
        <f>IFERROR(VLOOKUP(C233,[3]Sheet2!$C$1:$F$1223,3,0),"")</f>
        <v/>
      </c>
      <c r="E233" s="18" t="str">
        <f>IFERROR(VLOOKUP(C233,[3]Sheet2!$C$1:$F$1223,4,0),"")</f>
        <v/>
      </c>
    </row>
    <row r="234" spans="2:5">
      <c r="B234" s="17" t="str">
        <f>IFERROR(VLOOKUP(C234,[3]Sheet2!$C$3:$F$1223,2,0),"")</f>
        <v/>
      </c>
      <c r="D234" s="18" t="str">
        <f>IFERROR(VLOOKUP(C234,[3]Sheet2!$C$1:$F$1223,3,0),"")</f>
        <v/>
      </c>
      <c r="E234" s="18" t="str">
        <f>IFERROR(VLOOKUP(C234,[3]Sheet2!$C$1:$F$1223,4,0),"")</f>
        <v/>
      </c>
    </row>
    <row r="235" spans="2:5">
      <c r="B235" s="17" t="str">
        <f>IFERROR(VLOOKUP(C235,[3]Sheet2!$C$3:$F$1223,2,0),"")</f>
        <v/>
      </c>
      <c r="D235" s="18" t="str">
        <f>IFERROR(VLOOKUP(C235,[3]Sheet2!$C$1:$F$1223,3,0),"")</f>
        <v/>
      </c>
      <c r="E235" s="18" t="str">
        <f>IFERROR(VLOOKUP(C235,[3]Sheet2!$C$1:$F$1223,4,0),"")</f>
        <v/>
      </c>
    </row>
    <row r="236" spans="2:5">
      <c r="B236" s="17" t="str">
        <f>IFERROR(VLOOKUP(C236,[3]Sheet2!$C$3:$F$1223,2,0),"")</f>
        <v/>
      </c>
      <c r="D236" s="18" t="str">
        <f>IFERROR(VLOOKUP(C236,[3]Sheet2!$C$1:$F$1223,3,0),"")</f>
        <v/>
      </c>
      <c r="E236" s="18" t="str">
        <f>IFERROR(VLOOKUP(C236,[3]Sheet2!$C$1:$F$1223,4,0),"")</f>
        <v/>
      </c>
    </row>
    <row r="237" spans="2:5">
      <c r="B237" s="17" t="str">
        <f>IFERROR(VLOOKUP(C237,[3]Sheet2!$C$3:$F$1223,2,0),"")</f>
        <v/>
      </c>
      <c r="D237" s="18" t="str">
        <f>IFERROR(VLOOKUP(C237,[3]Sheet2!$C$1:$F$1223,3,0),"")</f>
        <v/>
      </c>
      <c r="E237" s="18" t="str">
        <f>IFERROR(VLOOKUP(C237,[3]Sheet2!$C$1:$F$1223,4,0),"")</f>
        <v/>
      </c>
    </row>
    <row r="238" spans="2:5">
      <c r="B238" s="17" t="str">
        <f>IFERROR(VLOOKUP(C238,[3]Sheet2!$C$3:$F$1223,2,0),"")</f>
        <v/>
      </c>
      <c r="D238" s="18" t="str">
        <f>IFERROR(VLOOKUP(C238,[3]Sheet2!$C$1:$F$1223,3,0),"")</f>
        <v/>
      </c>
      <c r="E238" s="18" t="str">
        <f>IFERROR(VLOOKUP(C238,[3]Sheet2!$C$1:$F$1223,4,0),"")</f>
        <v/>
      </c>
    </row>
    <row r="239" spans="2:5">
      <c r="B239" s="17" t="str">
        <f>IFERROR(VLOOKUP(C239,[3]Sheet2!$C$3:$F$1223,2,0),"")</f>
        <v/>
      </c>
      <c r="D239" s="18" t="str">
        <f>IFERROR(VLOOKUP(C239,[3]Sheet2!$C$1:$F$1223,3,0),"")</f>
        <v/>
      </c>
      <c r="E239" s="18" t="str">
        <f>IFERROR(VLOOKUP(C239,[3]Sheet2!$C$1:$F$1223,4,0),"")</f>
        <v/>
      </c>
    </row>
    <row r="240" spans="2:5">
      <c r="B240" s="17" t="str">
        <f>IFERROR(VLOOKUP(C240,[3]Sheet2!$C$3:$F$1223,2,0),"")</f>
        <v/>
      </c>
      <c r="D240" s="18" t="str">
        <f>IFERROR(VLOOKUP(C240,[3]Sheet2!$C$1:$F$1223,3,0),"")</f>
        <v/>
      </c>
      <c r="E240" s="18" t="str">
        <f>IFERROR(VLOOKUP(C240,[3]Sheet2!$C$1:$F$1223,4,0),"")</f>
        <v/>
      </c>
    </row>
    <row r="241" spans="2:5">
      <c r="B241" s="17" t="str">
        <f>IFERROR(VLOOKUP(C241,[3]Sheet2!$C$3:$F$1223,2,0),"")</f>
        <v/>
      </c>
      <c r="D241" s="18" t="str">
        <f>IFERROR(VLOOKUP(C241,[3]Sheet2!$C$1:$F$1223,3,0),"")</f>
        <v/>
      </c>
      <c r="E241" s="18" t="str">
        <f>IFERROR(VLOOKUP(C241,[3]Sheet2!$C$1:$F$1223,4,0),"")</f>
        <v/>
      </c>
    </row>
    <row r="242" spans="2:5">
      <c r="B242" s="17" t="str">
        <f>IFERROR(VLOOKUP(C242,[3]Sheet2!$C$3:$F$1223,2,0),"")</f>
        <v/>
      </c>
      <c r="D242" s="18" t="str">
        <f>IFERROR(VLOOKUP(C242,[3]Sheet2!$C$1:$F$1223,3,0),"")</f>
        <v/>
      </c>
      <c r="E242" s="18" t="str">
        <f>IFERROR(VLOOKUP(C242,[3]Sheet2!$C$1:$F$1223,4,0),"")</f>
        <v/>
      </c>
    </row>
    <row r="243" spans="2:5">
      <c r="B243" s="17" t="str">
        <f>IFERROR(VLOOKUP(C243,[3]Sheet2!$C$3:$F$1223,2,0),"")</f>
        <v/>
      </c>
      <c r="D243" s="18" t="str">
        <f>IFERROR(VLOOKUP(C243,[3]Sheet2!$C$1:$F$1223,3,0),"")</f>
        <v/>
      </c>
      <c r="E243" s="18" t="str">
        <f>IFERROR(VLOOKUP(C243,[3]Sheet2!$C$1:$F$1223,4,0),"")</f>
        <v/>
      </c>
    </row>
    <row r="244" spans="2:5">
      <c r="B244" s="17" t="str">
        <f>IFERROR(VLOOKUP(C244,[3]Sheet2!$C$3:$F$1223,2,0),"")</f>
        <v/>
      </c>
      <c r="D244" s="18" t="str">
        <f>IFERROR(VLOOKUP(C244,[3]Sheet2!$C$1:$F$1223,3,0),"")</f>
        <v/>
      </c>
      <c r="E244" s="18" t="str">
        <f>IFERROR(VLOOKUP(C244,[3]Sheet2!$C$1:$F$1223,4,0),"")</f>
        <v/>
      </c>
    </row>
    <row r="245" spans="2:5">
      <c r="B245" s="17" t="str">
        <f>IFERROR(VLOOKUP(C245,[3]Sheet2!$C$3:$F$1223,2,0),"")</f>
        <v/>
      </c>
      <c r="D245" s="18" t="str">
        <f>IFERROR(VLOOKUP(C245,[3]Sheet2!$C$1:$F$1223,3,0),"")</f>
        <v/>
      </c>
      <c r="E245" s="18" t="str">
        <f>IFERROR(VLOOKUP(C245,[3]Sheet2!$C$1:$F$1223,4,0),"")</f>
        <v/>
      </c>
    </row>
    <row r="246" spans="2:5">
      <c r="B246" s="17" t="str">
        <f>IFERROR(VLOOKUP(C246,[3]Sheet2!$C$3:$F$1223,2,0),"")</f>
        <v/>
      </c>
      <c r="D246" s="18" t="str">
        <f>IFERROR(VLOOKUP(C246,[3]Sheet2!$C$1:$F$1223,3,0),"")</f>
        <v/>
      </c>
      <c r="E246" s="18" t="str">
        <f>IFERROR(VLOOKUP(C246,[3]Sheet2!$C$1:$F$1223,4,0),"")</f>
        <v/>
      </c>
    </row>
    <row r="247" spans="2:5">
      <c r="B247" s="17" t="str">
        <f>IFERROR(VLOOKUP(C247,[3]Sheet2!$C$3:$F$1223,2,0),"")</f>
        <v/>
      </c>
      <c r="D247" s="18" t="str">
        <f>IFERROR(VLOOKUP(C247,[3]Sheet2!$C$1:$F$1223,3,0),"")</f>
        <v/>
      </c>
      <c r="E247" s="18" t="str">
        <f>IFERROR(VLOOKUP(C247,[3]Sheet2!$C$1:$F$1223,4,0),"")</f>
        <v/>
      </c>
    </row>
    <row r="248" spans="2:5">
      <c r="B248" s="17" t="str">
        <f>IFERROR(VLOOKUP(C248,[3]Sheet2!$C$3:$F$1223,2,0),"")</f>
        <v/>
      </c>
      <c r="D248" s="18" t="str">
        <f>IFERROR(VLOOKUP(C248,[3]Sheet2!$C$1:$F$1223,3,0),"")</f>
        <v/>
      </c>
      <c r="E248" s="18" t="str">
        <f>IFERROR(VLOOKUP(C248,[3]Sheet2!$C$1:$F$1223,4,0),"")</f>
        <v/>
      </c>
    </row>
    <row r="249" spans="2:5">
      <c r="B249" s="17" t="str">
        <f>IFERROR(VLOOKUP(C249,[3]Sheet2!$C$3:$F$1223,2,0),"")</f>
        <v/>
      </c>
      <c r="D249" s="18" t="str">
        <f>IFERROR(VLOOKUP(C249,[3]Sheet2!$C$1:$F$1223,3,0),"")</f>
        <v/>
      </c>
      <c r="E249" s="18" t="str">
        <f>IFERROR(VLOOKUP(C249,[3]Sheet2!$C$1:$F$1223,4,0),"")</f>
        <v/>
      </c>
    </row>
    <row r="250" spans="2:5">
      <c r="B250" s="17" t="str">
        <f>IFERROR(VLOOKUP(C250,[3]Sheet2!$C$3:$F$1223,2,0),"")</f>
        <v/>
      </c>
      <c r="D250" s="18" t="str">
        <f>IFERROR(VLOOKUP(C250,[3]Sheet2!$C$1:$F$1223,3,0),"")</f>
        <v/>
      </c>
      <c r="E250" s="18" t="str">
        <f>IFERROR(VLOOKUP(C250,[3]Sheet2!$C$1:$F$1223,4,0),"")</f>
        <v/>
      </c>
    </row>
    <row r="251" spans="2:5">
      <c r="B251" s="17" t="str">
        <f>IFERROR(VLOOKUP(C251,[3]Sheet2!$C$3:$F$1223,2,0),"")</f>
        <v/>
      </c>
      <c r="D251" s="18" t="str">
        <f>IFERROR(VLOOKUP(C251,[3]Sheet2!$C$1:$F$1223,3,0),"")</f>
        <v/>
      </c>
      <c r="E251" s="18" t="str">
        <f>IFERROR(VLOOKUP(C251,[3]Sheet2!$C$1:$F$1223,4,0),"")</f>
        <v/>
      </c>
    </row>
    <row r="252" spans="2:5">
      <c r="B252" s="17" t="str">
        <f>IFERROR(VLOOKUP(C252,[3]Sheet2!$C$3:$F$1223,2,0),"")</f>
        <v/>
      </c>
      <c r="D252" s="18" t="str">
        <f>IFERROR(VLOOKUP(C252,[3]Sheet2!$C$1:$F$1223,3,0),"")</f>
        <v/>
      </c>
      <c r="E252" s="18" t="str">
        <f>IFERROR(VLOOKUP(C252,[3]Sheet2!$C$1:$F$1223,4,0),"")</f>
        <v/>
      </c>
    </row>
    <row r="253" spans="2:5">
      <c r="B253" s="17" t="str">
        <f>IFERROR(VLOOKUP(C253,[3]Sheet2!$C$3:$F$1223,2,0),"")</f>
        <v/>
      </c>
      <c r="D253" s="18" t="str">
        <f>IFERROR(VLOOKUP(C253,[3]Sheet2!$C$1:$F$1223,3,0),"")</f>
        <v/>
      </c>
      <c r="E253" s="18" t="str">
        <f>IFERROR(VLOOKUP(C253,[3]Sheet2!$C$1:$F$1223,4,0),"")</f>
        <v/>
      </c>
    </row>
    <row r="254" spans="2:5">
      <c r="B254" s="17" t="str">
        <f>IFERROR(VLOOKUP(C254,[3]Sheet2!$C$3:$F$1223,2,0),"")</f>
        <v/>
      </c>
      <c r="D254" s="18" t="str">
        <f>IFERROR(VLOOKUP(C254,[3]Sheet2!$C$1:$F$1223,3,0),"")</f>
        <v/>
      </c>
      <c r="E254" s="18" t="str">
        <f>IFERROR(VLOOKUP(C254,[3]Sheet2!$C$1:$F$1223,4,0),"")</f>
        <v/>
      </c>
    </row>
    <row r="255" spans="2:5">
      <c r="B255" s="17" t="str">
        <f>IFERROR(VLOOKUP(C255,[3]Sheet2!$C$3:$F$1223,2,0),"")</f>
        <v/>
      </c>
      <c r="D255" s="18" t="str">
        <f>IFERROR(VLOOKUP(C255,[3]Sheet2!$C$1:$F$1223,3,0),"")</f>
        <v/>
      </c>
      <c r="E255" s="18" t="str">
        <f>IFERROR(VLOOKUP(C255,[3]Sheet2!$C$1:$F$1223,4,0),"")</f>
        <v/>
      </c>
    </row>
    <row r="256" spans="2:5">
      <c r="B256" s="17" t="str">
        <f>IFERROR(VLOOKUP(C256,[3]Sheet2!$C$3:$F$1223,2,0),"")</f>
        <v/>
      </c>
      <c r="D256" s="18" t="str">
        <f>IFERROR(VLOOKUP(C256,[3]Sheet2!$C$1:$F$1223,3,0),"")</f>
        <v/>
      </c>
      <c r="E256" s="18" t="str">
        <f>IFERROR(VLOOKUP(C256,[3]Sheet2!$C$1:$F$1223,4,0),"")</f>
        <v/>
      </c>
    </row>
    <row r="257" spans="2:5">
      <c r="B257" s="17" t="str">
        <f>IFERROR(VLOOKUP(C257,[3]Sheet2!$C$3:$F$1223,2,0),"")</f>
        <v/>
      </c>
      <c r="D257" s="18" t="str">
        <f>IFERROR(VLOOKUP(C257,[3]Sheet2!$C$1:$F$1223,3,0),"")</f>
        <v/>
      </c>
      <c r="E257" s="18" t="str">
        <f>IFERROR(VLOOKUP(C257,[3]Sheet2!$C$1:$F$1223,4,0),"")</f>
        <v/>
      </c>
    </row>
    <row r="258" spans="2:5">
      <c r="B258" s="17" t="str">
        <f>IFERROR(VLOOKUP(C258,[3]Sheet2!$C$3:$F$1223,2,0),"")</f>
        <v/>
      </c>
      <c r="D258" s="18" t="str">
        <f>IFERROR(VLOOKUP(C258,[3]Sheet2!$C$1:$F$1223,3,0),"")</f>
        <v/>
      </c>
      <c r="E258" s="18" t="str">
        <f>IFERROR(VLOOKUP(C258,[3]Sheet2!$C$1:$F$1223,4,0),"")</f>
        <v/>
      </c>
    </row>
    <row r="259" spans="2:5">
      <c r="B259" s="17" t="str">
        <f>IFERROR(VLOOKUP(C259,[3]Sheet2!$C$3:$F$1223,2,0),"")</f>
        <v/>
      </c>
      <c r="D259" s="18" t="str">
        <f>IFERROR(VLOOKUP(C259,[3]Sheet2!$C$1:$F$1223,3,0),"")</f>
        <v/>
      </c>
      <c r="E259" s="18" t="str">
        <f>IFERROR(VLOOKUP(C259,[3]Sheet2!$C$1:$F$1223,4,0),"")</f>
        <v/>
      </c>
    </row>
    <row r="260" spans="2:5">
      <c r="B260" s="17" t="str">
        <f>IFERROR(VLOOKUP(C260,[3]Sheet2!$C$3:$F$1223,2,0),"")</f>
        <v/>
      </c>
      <c r="D260" s="18" t="str">
        <f>IFERROR(VLOOKUP(C260,[3]Sheet2!$C$1:$F$1223,3,0),"")</f>
        <v/>
      </c>
      <c r="E260" s="18" t="str">
        <f>IFERROR(VLOOKUP(C260,[3]Sheet2!$C$1:$F$1223,4,0),"")</f>
        <v/>
      </c>
    </row>
    <row r="261" spans="2:5">
      <c r="B261" s="17" t="str">
        <f>IFERROR(VLOOKUP(C261,[3]Sheet2!$C$3:$F$1223,2,0),"")</f>
        <v/>
      </c>
      <c r="D261" s="18" t="str">
        <f>IFERROR(VLOOKUP(C261,[3]Sheet2!$C$1:$F$1223,3,0),"")</f>
        <v/>
      </c>
      <c r="E261" s="18" t="str">
        <f>IFERROR(VLOOKUP(C261,[3]Sheet2!$C$1:$F$1223,4,0),"")</f>
        <v/>
      </c>
    </row>
    <row r="262" spans="2:5">
      <c r="B262" s="17" t="str">
        <f>IFERROR(VLOOKUP(C262,[3]Sheet2!$C$3:$F$1223,2,0),"")</f>
        <v/>
      </c>
      <c r="D262" s="18" t="str">
        <f>IFERROR(VLOOKUP(C262,[3]Sheet2!$C$1:$F$1223,3,0),"")</f>
        <v/>
      </c>
      <c r="E262" s="18" t="str">
        <f>IFERROR(VLOOKUP(C262,[3]Sheet2!$C$1:$F$1223,4,0),"")</f>
        <v/>
      </c>
    </row>
    <row r="263" spans="2:5">
      <c r="B263" s="17" t="str">
        <f>IFERROR(VLOOKUP(C263,[3]Sheet2!$C$3:$F$1223,2,0),"")</f>
        <v/>
      </c>
      <c r="D263" s="18" t="str">
        <f>IFERROR(VLOOKUP(C263,[3]Sheet2!$C$1:$F$1223,3,0),"")</f>
        <v/>
      </c>
      <c r="E263" s="18" t="str">
        <f>IFERROR(VLOOKUP(C263,[3]Sheet2!$C$1:$F$1223,4,0),"")</f>
        <v/>
      </c>
    </row>
    <row r="264" spans="2:5">
      <c r="B264" s="17" t="str">
        <f>IFERROR(VLOOKUP(C264,[3]Sheet2!$C$3:$F$1223,2,0),"")</f>
        <v/>
      </c>
      <c r="D264" s="18" t="str">
        <f>IFERROR(VLOOKUP(C264,[3]Sheet2!$C$1:$F$1223,3,0),"")</f>
        <v/>
      </c>
      <c r="E264" s="18" t="str">
        <f>IFERROR(VLOOKUP(C264,[3]Sheet2!$C$1:$F$1223,4,0),"")</f>
        <v/>
      </c>
    </row>
    <row r="265" spans="2:5">
      <c r="B265" s="17" t="str">
        <f>IFERROR(VLOOKUP(C265,[3]Sheet2!$C$3:$F$1223,2,0),"")</f>
        <v/>
      </c>
      <c r="D265" s="18" t="str">
        <f>IFERROR(VLOOKUP(C265,[3]Sheet2!$C$1:$F$1223,3,0),"")</f>
        <v/>
      </c>
      <c r="E265" s="18" t="str">
        <f>IFERROR(VLOOKUP(C265,[3]Sheet2!$C$1:$F$1223,4,0),"")</f>
        <v/>
      </c>
    </row>
    <row r="266" spans="2:5">
      <c r="B266" s="17" t="str">
        <f>IFERROR(VLOOKUP(C266,[3]Sheet2!$C$3:$F$1223,2,0),"")</f>
        <v/>
      </c>
      <c r="D266" s="18" t="str">
        <f>IFERROR(VLOOKUP(C266,[3]Sheet2!$C$1:$F$1223,3,0),"")</f>
        <v/>
      </c>
      <c r="E266" s="18" t="str">
        <f>IFERROR(VLOOKUP(C266,[3]Sheet2!$C$1:$F$1223,4,0),"")</f>
        <v/>
      </c>
    </row>
    <row r="267" spans="2:5">
      <c r="B267" s="17" t="str">
        <f>IFERROR(VLOOKUP(C267,[3]Sheet2!$C$3:$F$1223,2,0),"")</f>
        <v/>
      </c>
      <c r="D267" s="18" t="str">
        <f>IFERROR(VLOOKUP(C267,[3]Sheet2!$C$1:$F$1223,3,0),"")</f>
        <v/>
      </c>
      <c r="E267" s="18" t="str">
        <f>IFERROR(VLOOKUP(C267,[3]Sheet2!$C$1:$F$1223,4,0),"")</f>
        <v/>
      </c>
    </row>
    <row r="268" spans="2:5">
      <c r="B268" s="17" t="str">
        <f>IFERROR(VLOOKUP(C268,[3]Sheet2!$C$3:$F$1223,2,0),"")</f>
        <v/>
      </c>
      <c r="D268" s="18" t="str">
        <f>IFERROR(VLOOKUP(C268,[3]Sheet2!$C$1:$F$1223,3,0),"")</f>
        <v/>
      </c>
      <c r="E268" s="18" t="str">
        <f>IFERROR(VLOOKUP(C268,[3]Sheet2!$C$1:$F$1223,4,0),"")</f>
        <v/>
      </c>
    </row>
    <row r="269" spans="2:5">
      <c r="B269" s="17" t="str">
        <f>IFERROR(VLOOKUP(C269,[3]Sheet2!$C$3:$F$1223,2,0),"")</f>
        <v/>
      </c>
      <c r="D269" s="18" t="str">
        <f>IFERROR(VLOOKUP(C269,[3]Sheet2!$C$1:$F$1223,3,0),"")</f>
        <v/>
      </c>
      <c r="E269" s="18" t="str">
        <f>IFERROR(VLOOKUP(C269,[3]Sheet2!$C$1:$F$1223,4,0),"")</f>
        <v/>
      </c>
    </row>
    <row r="270" spans="2:5">
      <c r="B270" s="17" t="str">
        <f>IFERROR(VLOOKUP(C270,[3]Sheet2!$C$3:$F$1223,2,0),"")</f>
        <v/>
      </c>
      <c r="D270" s="18" t="str">
        <f>IFERROR(VLOOKUP(C270,[3]Sheet2!$C$1:$F$1223,3,0),"")</f>
        <v/>
      </c>
      <c r="E270" s="18" t="str">
        <f>IFERROR(VLOOKUP(C270,[3]Sheet2!$C$1:$F$1223,4,0),"")</f>
        <v/>
      </c>
    </row>
    <row r="271" spans="2:5">
      <c r="B271" s="17" t="str">
        <f>IFERROR(VLOOKUP(C271,[3]Sheet2!$C$3:$F$1223,2,0),"")</f>
        <v/>
      </c>
      <c r="D271" s="18" t="str">
        <f>IFERROR(VLOOKUP(C271,[3]Sheet2!$C$1:$F$1223,3,0),"")</f>
        <v/>
      </c>
      <c r="E271" s="18" t="str">
        <f>IFERROR(VLOOKUP(C271,[3]Sheet2!$C$1:$F$1223,4,0),"")</f>
        <v/>
      </c>
    </row>
    <row r="272" spans="2:5">
      <c r="B272" s="17" t="str">
        <f>IFERROR(VLOOKUP(C272,[3]Sheet2!$C$3:$F$1223,2,0),"")</f>
        <v/>
      </c>
      <c r="D272" s="18" t="str">
        <f>IFERROR(VLOOKUP(C272,[3]Sheet2!$C$1:$F$1223,3,0),"")</f>
        <v/>
      </c>
      <c r="E272" s="18" t="str">
        <f>IFERROR(VLOOKUP(C272,[3]Sheet2!$C$1:$F$1223,4,0),"")</f>
        <v/>
      </c>
    </row>
    <row r="273" spans="2:5">
      <c r="B273" s="17" t="str">
        <f>IFERROR(VLOOKUP(C273,[3]Sheet2!$C$3:$F$1223,2,0),"")</f>
        <v/>
      </c>
      <c r="D273" s="18" t="str">
        <f>IFERROR(VLOOKUP(C273,[3]Sheet2!$C$1:$F$1223,3,0),"")</f>
        <v/>
      </c>
      <c r="E273" s="18" t="str">
        <f>IFERROR(VLOOKUP(C273,[3]Sheet2!$C$1:$F$1223,4,0),"")</f>
        <v/>
      </c>
    </row>
    <row r="274" spans="2:5">
      <c r="B274" s="17" t="str">
        <f>IFERROR(VLOOKUP(C274,[3]Sheet2!$C$3:$F$1223,2,0),"")</f>
        <v/>
      </c>
      <c r="D274" s="18" t="str">
        <f>IFERROR(VLOOKUP(C274,[3]Sheet2!$C$1:$F$1223,3,0),"")</f>
        <v/>
      </c>
      <c r="E274" s="18" t="str">
        <f>IFERROR(VLOOKUP(C274,[3]Sheet2!$C$1:$F$1223,4,0),"")</f>
        <v/>
      </c>
    </row>
    <row r="275" spans="2:5">
      <c r="B275" s="17" t="str">
        <f>IFERROR(VLOOKUP(C275,[3]Sheet2!$C$3:$F$1223,2,0),"")</f>
        <v/>
      </c>
      <c r="D275" s="18" t="str">
        <f>IFERROR(VLOOKUP(C275,[3]Sheet2!$C$1:$F$1223,3,0),"")</f>
        <v/>
      </c>
      <c r="E275" s="18" t="str">
        <f>IFERROR(VLOOKUP(C275,[3]Sheet2!$C$1:$F$1223,4,0),"")</f>
        <v/>
      </c>
    </row>
    <row r="276" spans="2:5">
      <c r="B276" s="17" t="str">
        <f>IFERROR(VLOOKUP(C276,[3]Sheet2!$C$3:$F$1223,2,0),"")</f>
        <v/>
      </c>
      <c r="D276" s="18" t="str">
        <f>IFERROR(VLOOKUP(C276,[3]Sheet2!$C$1:$F$1223,3,0),"")</f>
        <v/>
      </c>
      <c r="E276" s="18" t="str">
        <f>IFERROR(VLOOKUP(C276,[3]Sheet2!$C$1:$F$1223,4,0),"")</f>
        <v/>
      </c>
    </row>
    <row r="277" spans="2:5">
      <c r="B277" s="17" t="str">
        <f>IFERROR(VLOOKUP(C277,[3]Sheet2!$C$3:$F$1223,2,0),"")</f>
        <v/>
      </c>
      <c r="D277" s="18" t="str">
        <f>IFERROR(VLOOKUP(C277,[3]Sheet2!$C$1:$F$1223,3,0),"")</f>
        <v/>
      </c>
      <c r="E277" s="18" t="str">
        <f>IFERROR(VLOOKUP(C277,[3]Sheet2!$C$1:$F$1223,4,0),"")</f>
        <v/>
      </c>
    </row>
    <row r="278" spans="2:5">
      <c r="B278" s="17" t="str">
        <f>IFERROR(VLOOKUP(C278,[3]Sheet2!$C$3:$F$1223,2,0),"")</f>
        <v/>
      </c>
      <c r="D278" s="18" t="str">
        <f>IFERROR(VLOOKUP(C278,[3]Sheet2!$C$1:$F$1223,3,0),"")</f>
        <v/>
      </c>
      <c r="E278" s="18" t="str">
        <f>IFERROR(VLOOKUP(C278,[3]Sheet2!$C$1:$F$1223,4,0),"")</f>
        <v/>
      </c>
    </row>
    <row r="279" spans="2:5">
      <c r="B279" s="17" t="str">
        <f>IFERROR(VLOOKUP(C279,[3]Sheet2!$C$3:$F$1223,2,0),"")</f>
        <v/>
      </c>
      <c r="D279" s="18" t="str">
        <f>IFERROR(VLOOKUP(C279,[3]Sheet2!$C$1:$F$1223,3,0),"")</f>
        <v/>
      </c>
      <c r="E279" s="18" t="str">
        <f>IFERROR(VLOOKUP(C279,[3]Sheet2!$C$1:$F$1223,4,0),"")</f>
        <v/>
      </c>
    </row>
    <row r="280" spans="2:5">
      <c r="B280" s="17" t="str">
        <f>IFERROR(VLOOKUP(C280,[3]Sheet2!$C$3:$F$1223,2,0),"")</f>
        <v/>
      </c>
      <c r="D280" s="18" t="str">
        <f>IFERROR(VLOOKUP(C280,[3]Sheet2!$C$1:$F$1223,3,0),"")</f>
        <v/>
      </c>
      <c r="E280" s="18" t="str">
        <f>IFERROR(VLOOKUP(C280,[3]Sheet2!$C$1:$F$1223,4,0),"")</f>
        <v/>
      </c>
    </row>
    <row r="281" spans="2:5">
      <c r="B281" s="17" t="str">
        <f>IFERROR(VLOOKUP(C281,[3]Sheet2!$C$3:$F$1223,2,0),"")</f>
        <v/>
      </c>
      <c r="D281" s="18" t="str">
        <f>IFERROR(VLOOKUP(C281,[3]Sheet2!$C$1:$F$1223,3,0),"")</f>
        <v/>
      </c>
      <c r="E281" s="18" t="str">
        <f>IFERROR(VLOOKUP(C281,[3]Sheet2!$C$1:$F$1223,4,0),"")</f>
        <v/>
      </c>
    </row>
    <row r="282" spans="2:5">
      <c r="B282" s="17" t="str">
        <f>IFERROR(VLOOKUP(C282,[3]Sheet2!$C$3:$F$1223,2,0),"")</f>
        <v/>
      </c>
      <c r="D282" s="18" t="str">
        <f>IFERROR(VLOOKUP(C282,[3]Sheet2!$C$1:$F$1223,3,0),"")</f>
        <v/>
      </c>
      <c r="E282" s="18" t="str">
        <f>IFERROR(VLOOKUP(C282,[3]Sheet2!$C$1:$F$1223,4,0),"")</f>
        <v/>
      </c>
    </row>
    <row r="283" spans="2:5">
      <c r="B283" s="17" t="str">
        <f>IFERROR(VLOOKUP(C283,[3]Sheet2!$C$3:$F$1223,2,0),"")</f>
        <v/>
      </c>
      <c r="D283" s="18" t="str">
        <f>IFERROR(VLOOKUP(C283,[3]Sheet2!$C$1:$F$1223,3,0),"")</f>
        <v/>
      </c>
      <c r="E283" s="18" t="str">
        <f>IFERROR(VLOOKUP(C283,[3]Sheet2!$C$1:$F$1223,4,0),"")</f>
        <v/>
      </c>
    </row>
    <row r="284" spans="2:5">
      <c r="B284" s="17" t="str">
        <f>IFERROR(VLOOKUP(C284,[3]Sheet2!$C$3:$F$1223,2,0),"")</f>
        <v/>
      </c>
      <c r="D284" s="18" t="str">
        <f>IFERROR(VLOOKUP(C284,[3]Sheet2!$C$1:$F$1223,3,0),"")</f>
        <v/>
      </c>
      <c r="E284" s="18" t="str">
        <f>IFERROR(VLOOKUP(C284,[3]Sheet2!$C$1:$F$1223,4,0),"")</f>
        <v/>
      </c>
    </row>
    <row r="285" spans="2:5">
      <c r="B285" s="17" t="str">
        <f>IFERROR(VLOOKUP(C285,[3]Sheet2!$C$3:$F$1223,2,0),"")</f>
        <v/>
      </c>
      <c r="D285" s="18" t="str">
        <f>IFERROR(VLOOKUP(C285,[3]Sheet2!$C$1:$F$1223,3,0),"")</f>
        <v/>
      </c>
      <c r="E285" s="18" t="str">
        <f>IFERROR(VLOOKUP(C285,[3]Sheet2!$C$1:$F$1223,4,0),"")</f>
        <v/>
      </c>
    </row>
    <row r="286" spans="2:5">
      <c r="B286" s="17" t="str">
        <f>IFERROR(VLOOKUP(C286,[3]Sheet2!$C$3:$F$1223,2,0),"")</f>
        <v/>
      </c>
      <c r="D286" s="18" t="str">
        <f>IFERROR(VLOOKUP(C286,[3]Sheet2!$C$1:$F$1223,3,0),"")</f>
        <v/>
      </c>
      <c r="E286" s="18" t="str">
        <f>IFERROR(VLOOKUP(C286,[3]Sheet2!$C$1:$F$1223,4,0),"")</f>
        <v/>
      </c>
    </row>
    <row r="287" spans="2:5">
      <c r="B287" s="17" t="str">
        <f>IFERROR(VLOOKUP(C287,[3]Sheet2!$C$3:$F$1223,2,0),"")</f>
        <v/>
      </c>
      <c r="D287" s="18" t="str">
        <f>IFERROR(VLOOKUP(C287,[3]Sheet2!$C$1:$F$1223,3,0),"")</f>
        <v/>
      </c>
      <c r="E287" s="18" t="str">
        <f>IFERROR(VLOOKUP(C287,[3]Sheet2!$C$1:$F$1223,4,0),"")</f>
        <v/>
      </c>
    </row>
    <row r="288" spans="2:5">
      <c r="B288" s="17" t="str">
        <f>IFERROR(VLOOKUP(C288,[3]Sheet2!$C$3:$F$1223,2,0),"")</f>
        <v/>
      </c>
      <c r="D288" s="18" t="str">
        <f>IFERROR(VLOOKUP(C288,[3]Sheet2!$C$1:$F$1223,3,0),"")</f>
        <v/>
      </c>
      <c r="E288" s="18" t="str">
        <f>IFERROR(VLOOKUP(C288,[3]Sheet2!$C$1:$F$1223,4,0),"")</f>
        <v/>
      </c>
    </row>
    <row r="289" spans="2:5">
      <c r="B289" s="17" t="str">
        <f>IFERROR(VLOOKUP(C289,[3]Sheet2!$C$3:$F$1223,2,0),"")</f>
        <v/>
      </c>
      <c r="D289" s="18" t="str">
        <f>IFERROR(VLOOKUP(C289,[3]Sheet2!$C$1:$F$1223,3,0),"")</f>
        <v/>
      </c>
      <c r="E289" s="18" t="str">
        <f>IFERROR(VLOOKUP(C289,[3]Sheet2!$C$1:$F$1223,4,0),"")</f>
        <v/>
      </c>
    </row>
    <row r="290" spans="2:5">
      <c r="B290" s="17" t="str">
        <f>IFERROR(VLOOKUP(C290,[3]Sheet2!$C$3:$F$1223,2,0),"")</f>
        <v/>
      </c>
      <c r="D290" s="18" t="str">
        <f>IFERROR(VLOOKUP(C290,[3]Sheet2!$C$1:$F$1223,3,0),"")</f>
        <v/>
      </c>
      <c r="E290" s="18" t="str">
        <f>IFERROR(VLOOKUP(C290,[3]Sheet2!$C$1:$F$1223,4,0),"")</f>
        <v/>
      </c>
    </row>
    <row r="291" spans="2:5">
      <c r="B291" s="17" t="str">
        <f>IFERROR(VLOOKUP(C291,[3]Sheet2!$C$3:$F$1223,2,0),"")</f>
        <v/>
      </c>
      <c r="D291" s="18" t="str">
        <f>IFERROR(VLOOKUP(C291,[3]Sheet2!$C$1:$F$1223,3,0),"")</f>
        <v/>
      </c>
      <c r="E291" s="18" t="str">
        <f>IFERROR(VLOOKUP(C291,[3]Sheet2!$C$1:$F$1223,4,0),"")</f>
        <v/>
      </c>
    </row>
    <row r="292" spans="2:5">
      <c r="B292" s="17" t="str">
        <f>IFERROR(VLOOKUP(C292,[3]Sheet2!$C$3:$F$1223,2,0),"")</f>
        <v/>
      </c>
      <c r="D292" s="18" t="str">
        <f>IFERROR(VLOOKUP(C292,[3]Sheet2!$C$1:$F$1223,3,0),"")</f>
        <v/>
      </c>
      <c r="E292" s="18" t="str">
        <f>IFERROR(VLOOKUP(C292,[3]Sheet2!$C$1:$F$1223,4,0),"")</f>
        <v/>
      </c>
    </row>
    <row r="293" spans="2:5">
      <c r="B293" s="17" t="str">
        <f>IFERROR(VLOOKUP(C293,[3]Sheet2!$C$3:$F$1223,2,0),"")</f>
        <v/>
      </c>
      <c r="D293" s="18" t="str">
        <f>IFERROR(VLOOKUP(C293,[3]Sheet2!$C$1:$F$1223,3,0),"")</f>
        <v/>
      </c>
      <c r="E293" s="18" t="str">
        <f>IFERROR(VLOOKUP(C293,[3]Sheet2!$C$1:$F$1223,4,0),"")</f>
        <v/>
      </c>
    </row>
    <row r="294" spans="2:5">
      <c r="B294" s="17" t="str">
        <f>IFERROR(VLOOKUP(C294,[3]Sheet2!$C$3:$F$1223,2,0),"")</f>
        <v/>
      </c>
      <c r="D294" s="18" t="str">
        <f>IFERROR(VLOOKUP(C294,[3]Sheet2!$C$1:$F$1223,3,0),"")</f>
        <v/>
      </c>
      <c r="E294" s="18" t="str">
        <f>IFERROR(VLOOKUP(C294,[3]Sheet2!$C$1:$F$1223,4,0),"")</f>
        <v/>
      </c>
    </row>
    <row r="295" spans="2:5">
      <c r="B295" s="17" t="str">
        <f>IFERROR(VLOOKUP(C295,[3]Sheet2!$C$3:$F$1223,2,0),"")</f>
        <v/>
      </c>
      <c r="D295" s="18" t="str">
        <f>IFERROR(VLOOKUP(C295,[3]Sheet2!$C$1:$F$1223,3,0),"")</f>
        <v/>
      </c>
      <c r="E295" s="18" t="str">
        <f>IFERROR(VLOOKUP(C295,[3]Sheet2!$C$1:$F$1223,4,0),"")</f>
        <v/>
      </c>
    </row>
    <row r="296" spans="2:5">
      <c r="B296" s="17" t="str">
        <f>IFERROR(VLOOKUP(C296,[3]Sheet2!$C$3:$F$1223,2,0),"")</f>
        <v/>
      </c>
      <c r="D296" s="18" t="str">
        <f>IFERROR(VLOOKUP(C296,[3]Sheet2!$C$1:$F$1223,3,0),"")</f>
        <v/>
      </c>
      <c r="E296" s="18" t="str">
        <f>IFERROR(VLOOKUP(C296,[3]Sheet2!$C$1:$F$1223,4,0),"")</f>
        <v/>
      </c>
    </row>
    <row r="297" spans="2:5">
      <c r="B297" s="17" t="str">
        <f>IFERROR(VLOOKUP(C297,[3]Sheet2!$C$3:$F$1223,2,0),"")</f>
        <v/>
      </c>
      <c r="D297" s="18" t="str">
        <f>IFERROR(VLOOKUP(C297,[3]Sheet2!$C$1:$F$1223,3,0),"")</f>
        <v/>
      </c>
      <c r="E297" s="18" t="str">
        <f>IFERROR(VLOOKUP(C297,[3]Sheet2!$C$1:$F$1223,4,0),"")</f>
        <v/>
      </c>
    </row>
    <row r="298" spans="2:5">
      <c r="B298" s="17" t="str">
        <f>IFERROR(VLOOKUP(C298,[3]Sheet2!$C$3:$F$1223,2,0),"")</f>
        <v/>
      </c>
      <c r="D298" s="18" t="str">
        <f>IFERROR(VLOOKUP(C298,[3]Sheet2!$C$1:$F$1223,3,0),"")</f>
        <v/>
      </c>
      <c r="E298" s="18" t="str">
        <f>IFERROR(VLOOKUP(C298,[3]Sheet2!$C$1:$F$1223,4,0),"")</f>
        <v/>
      </c>
    </row>
    <row r="299" spans="2:5">
      <c r="B299" s="17" t="str">
        <f>IFERROR(VLOOKUP(C299,[3]Sheet2!$C$3:$F$1223,2,0),"")</f>
        <v/>
      </c>
      <c r="D299" s="18" t="str">
        <f>IFERROR(VLOOKUP(C299,[3]Sheet2!$C$1:$F$1223,3,0),"")</f>
        <v/>
      </c>
      <c r="E299" s="18" t="str">
        <f>IFERROR(VLOOKUP(C299,[3]Sheet2!$C$1:$F$1223,4,0),"")</f>
        <v/>
      </c>
    </row>
    <row r="300" spans="2:5">
      <c r="B300" s="17" t="str">
        <f>IFERROR(VLOOKUP(C300,[3]Sheet2!$C$3:$F$1223,2,0),"")</f>
        <v/>
      </c>
      <c r="D300" s="18" t="str">
        <f>IFERROR(VLOOKUP(C300,[3]Sheet2!$C$1:$F$1223,3,0),"")</f>
        <v/>
      </c>
      <c r="E300" s="18" t="str">
        <f>IFERROR(VLOOKUP(C300,[3]Sheet2!$C$1:$F$1223,4,0),"")</f>
        <v/>
      </c>
    </row>
    <row r="301" spans="2:5">
      <c r="B301" s="17" t="str">
        <f>IFERROR(VLOOKUP(C301,[3]Sheet2!$C$3:$F$1223,2,0),"")</f>
        <v/>
      </c>
      <c r="D301" s="18" t="str">
        <f>IFERROR(VLOOKUP(C301,[3]Sheet2!$C$1:$F$1223,3,0),"")</f>
        <v/>
      </c>
      <c r="E301" s="18" t="str">
        <f>IFERROR(VLOOKUP(C301,[3]Sheet2!$C$1:$F$1223,4,0),"")</f>
        <v/>
      </c>
    </row>
    <row r="302" spans="2:5">
      <c r="B302" s="17" t="str">
        <f>IFERROR(VLOOKUP(C302,[3]Sheet2!$C$3:$F$1223,2,0),"")</f>
        <v/>
      </c>
      <c r="D302" s="18" t="str">
        <f>IFERROR(VLOOKUP(C302,[3]Sheet2!$C$1:$F$1223,3,0),"")</f>
        <v/>
      </c>
      <c r="E302" s="18" t="str">
        <f>IFERROR(VLOOKUP(C302,[3]Sheet2!$C$1:$F$1223,4,0),"")</f>
        <v/>
      </c>
    </row>
    <row r="303" spans="2:5">
      <c r="B303" s="17" t="str">
        <f>IFERROR(VLOOKUP(C303,[3]Sheet2!$C$3:$F$1223,2,0),"")</f>
        <v/>
      </c>
      <c r="D303" s="18" t="str">
        <f>IFERROR(VLOOKUP(C303,[3]Sheet2!$C$1:$F$1223,3,0),"")</f>
        <v/>
      </c>
      <c r="E303" s="18" t="str">
        <f>IFERROR(VLOOKUP(C303,[3]Sheet2!$C$1:$F$1223,4,0),"")</f>
        <v/>
      </c>
    </row>
    <row r="304" spans="2:5">
      <c r="B304" s="17" t="str">
        <f>IFERROR(VLOOKUP(C304,[3]Sheet2!$C$3:$F$1223,2,0),"")</f>
        <v/>
      </c>
      <c r="D304" s="18" t="str">
        <f>IFERROR(VLOOKUP(C304,[3]Sheet2!$C$1:$F$1223,3,0),"")</f>
        <v/>
      </c>
      <c r="E304" s="18" t="str">
        <f>IFERROR(VLOOKUP(C304,[3]Sheet2!$C$1:$F$1223,4,0),"")</f>
        <v/>
      </c>
    </row>
    <row r="305" spans="2:5">
      <c r="B305" s="17" t="str">
        <f>IFERROR(VLOOKUP(C305,[3]Sheet2!$C$3:$F$1223,2,0),"")</f>
        <v/>
      </c>
      <c r="D305" s="18" t="str">
        <f>IFERROR(VLOOKUP(C305,[3]Sheet2!$C$1:$F$1223,3,0),"")</f>
        <v/>
      </c>
      <c r="E305" s="18" t="str">
        <f>IFERROR(VLOOKUP(C305,[3]Sheet2!$C$1:$F$1223,4,0),"")</f>
        <v/>
      </c>
    </row>
    <row r="306" spans="2:5">
      <c r="B306" s="17" t="str">
        <f>IFERROR(VLOOKUP(C306,[3]Sheet2!$C$3:$F$1223,2,0),"")</f>
        <v/>
      </c>
      <c r="D306" s="18" t="str">
        <f>IFERROR(VLOOKUP(C306,[3]Sheet2!$C$1:$F$1223,3,0),"")</f>
        <v/>
      </c>
      <c r="E306" s="18" t="str">
        <f>IFERROR(VLOOKUP(C306,[3]Sheet2!$C$1:$F$1223,4,0),"")</f>
        <v/>
      </c>
    </row>
    <row r="307" spans="2:5">
      <c r="B307" s="17" t="str">
        <f>IFERROR(VLOOKUP(C307,[3]Sheet2!$C$3:$F$1223,2,0),"")</f>
        <v/>
      </c>
      <c r="D307" s="18" t="str">
        <f>IFERROR(VLOOKUP(C307,[3]Sheet2!$C$1:$F$1223,3,0),"")</f>
        <v/>
      </c>
      <c r="E307" s="18" t="str">
        <f>IFERROR(VLOOKUP(C307,[3]Sheet2!$C$1:$F$1223,4,0),"")</f>
        <v/>
      </c>
    </row>
    <row r="308" spans="2:5">
      <c r="B308" s="17" t="str">
        <f>IFERROR(VLOOKUP(C308,[3]Sheet2!$C$3:$F$1223,2,0),"")</f>
        <v/>
      </c>
      <c r="D308" s="18" t="str">
        <f>IFERROR(VLOOKUP(C308,[3]Sheet2!$C$1:$F$1223,3,0),"")</f>
        <v/>
      </c>
      <c r="E308" s="18" t="str">
        <f>IFERROR(VLOOKUP(C308,[3]Sheet2!$C$1:$F$1223,4,0),"")</f>
        <v/>
      </c>
    </row>
    <row r="309" spans="2:5">
      <c r="B309" s="17" t="str">
        <f>IFERROR(VLOOKUP(C309,[3]Sheet2!$C$3:$F$1223,2,0),"")</f>
        <v/>
      </c>
      <c r="D309" s="18" t="str">
        <f>IFERROR(VLOOKUP(C309,[3]Sheet2!$C$1:$F$1223,3,0),"")</f>
        <v/>
      </c>
      <c r="E309" s="18" t="str">
        <f>IFERROR(VLOOKUP(C309,[3]Sheet2!$C$1:$F$1223,4,0),"")</f>
        <v/>
      </c>
    </row>
    <row r="310" spans="2:5">
      <c r="B310" s="17" t="str">
        <f>IFERROR(VLOOKUP(C310,[3]Sheet2!$C$3:$F$1223,2,0),"")</f>
        <v/>
      </c>
      <c r="D310" s="18" t="str">
        <f>IFERROR(VLOOKUP(C310,[3]Sheet2!$C$1:$F$1223,3,0),"")</f>
        <v/>
      </c>
      <c r="E310" s="18" t="str">
        <f>IFERROR(VLOOKUP(C310,[3]Sheet2!$C$1:$F$1223,4,0),"")</f>
        <v/>
      </c>
    </row>
    <row r="311" spans="2:5">
      <c r="B311" s="17" t="str">
        <f>IFERROR(VLOOKUP(C311,[3]Sheet2!$C$3:$F$1223,2,0),"")</f>
        <v/>
      </c>
      <c r="D311" s="18" t="str">
        <f>IFERROR(VLOOKUP(C311,[3]Sheet2!$C$1:$F$1223,3,0),"")</f>
        <v/>
      </c>
      <c r="E311" s="18" t="str">
        <f>IFERROR(VLOOKUP(C311,[3]Sheet2!$C$1:$F$1223,4,0),"")</f>
        <v/>
      </c>
    </row>
    <row r="312" spans="2:5">
      <c r="B312" s="17" t="str">
        <f>IFERROR(VLOOKUP(C312,[3]Sheet2!$C$3:$F$1223,2,0),"")</f>
        <v/>
      </c>
      <c r="D312" s="18" t="str">
        <f>IFERROR(VLOOKUP(C312,[3]Sheet2!$C$1:$F$1223,3,0),"")</f>
        <v/>
      </c>
      <c r="E312" s="18" t="str">
        <f>IFERROR(VLOOKUP(C312,[3]Sheet2!$C$1:$F$1223,4,0),"")</f>
        <v/>
      </c>
    </row>
    <row r="313" spans="2:5">
      <c r="B313" s="17" t="str">
        <f>IFERROR(VLOOKUP(C313,[3]Sheet2!$C$3:$F$1223,2,0),"")</f>
        <v/>
      </c>
      <c r="D313" s="18" t="str">
        <f>IFERROR(VLOOKUP(C313,[3]Sheet2!$C$1:$F$1223,3,0),"")</f>
        <v/>
      </c>
      <c r="E313" s="18" t="str">
        <f>IFERROR(VLOOKUP(C313,[3]Sheet2!$C$1:$F$1223,4,0),"")</f>
        <v/>
      </c>
    </row>
    <row r="314" spans="2:5">
      <c r="B314" s="17" t="str">
        <f>IFERROR(VLOOKUP(C314,[3]Sheet2!$C$3:$F$1223,2,0),"")</f>
        <v/>
      </c>
      <c r="D314" s="18" t="str">
        <f>IFERROR(VLOOKUP(C314,[3]Sheet2!$C$1:$F$1223,3,0),"")</f>
        <v/>
      </c>
      <c r="E314" s="18" t="str">
        <f>IFERROR(VLOOKUP(C314,[3]Sheet2!$C$1:$F$1223,4,0),"")</f>
        <v/>
      </c>
    </row>
    <row r="315" spans="2:5">
      <c r="B315" s="17" t="str">
        <f>IFERROR(VLOOKUP(C315,[3]Sheet2!$C$3:$F$1223,2,0),"")</f>
        <v/>
      </c>
      <c r="D315" s="18" t="str">
        <f>IFERROR(VLOOKUP(C315,[3]Sheet2!$C$1:$F$1223,3,0),"")</f>
        <v/>
      </c>
      <c r="E315" s="18" t="str">
        <f>IFERROR(VLOOKUP(C315,[3]Sheet2!$C$1:$F$1223,4,0),"")</f>
        <v/>
      </c>
    </row>
    <row r="316" spans="2:5">
      <c r="B316" s="17" t="str">
        <f>IFERROR(VLOOKUP(C316,[3]Sheet2!$C$3:$F$1223,2,0),"")</f>
        <v/>
      </c>
      <c r="D316" s="18" t="str">
        <f>IFERROR(VLOOKUP(C316,[3]Sheet2!$C$1:$F$1223,3,0),"")</f>
        <v/>
      </c>
      <c r="E316" s="18" t="str">
        <f>IFERROR(VLOOKUP(C316,[3]Sheet2!$C$1:$F$1223,4,0),"")</f>
        <v/>
      </c>
    </row>
    <row r="317" spans="2:5">
      <c r="B317" s="17" t="str">
        <f>IFERROR(VLOOKUP(C317,[3]Sheet2!$C$3:$F$1223,2,0),"")</f>
        <v/>
      </c>
      <c r="D317" s="18" t="str">
        <f>IFERROR(VLOOKUP(C317,[3]Sheet2!$C$1:$F$1223,3,0),"")</f>
        <v/>
      </c>
      <c r="E317" s="18" t="str">
        <f>IFERROR(VLOOKUP(C317,[3]Sheet2!$C$1:$F$1223,4,0),"")</f>
        <v/>
      </c>
    </row>
    <row r="318" spans="2:5">
      <c r="B318" s="17" t="str">
        <f>IFERROR(VLOOKUP(C318,[3]Sheet2!$C$3:$F$1223,2,0),"")</f>
        <v/>
      </c>
      <c r="D318" s="18" t="str">
        <f>IFERROR(VLOOKUP(C318,[3]Sheet2!$C$1:$F$1223,3,0),"")</f>
        <v/>
      </c>
      <c r="E318" s="18" t="str">
        <f>IFERROR(VLOOKUP(C318,[3]Sheet2!$C$1:$F$1223,4,0),"")</f>
        <v/>
      </c>
    </row>
    <row r="319" spans="2:5">
      <c r="B319" s="17" t="str">
        <f>IFERROR(VLOOKUP(C319,[3]Sheet2!$C$3:$F$1223,2,0),"")</f>
        <v/>
      </c>
      <c r="D319" s="18" t="str">
        <f>IFERROR(VLOOKUP(C319,[3]Sheet2!$C$1:$F$1223,3,0),"")</f>
        <v/>
      </c>
      <c r="E319" s="18" t="str">
        <f>IFERROR(VLOOKUP(C319,[3]Sheet2!$C$1:$F$1223,4,0),"")</f>
        <v/>
      </c>
    </row>
    <row r="320" spans="2:5">
      <c r="B320" s="17" t="str">
        <f>IFERROR(VLOOKUP(C320,[3]Sheet2!$C$3:$F$1223,2,0),"")</f>
        <v/>
      </c>
      <c r="D320" s="18" t="str">
        <f>IFERROR(VLOOKUP(C320,[3]Sheet2!$C$1:$F$1223,3,0),"")</f>
        <v/>
      </c>
      <c r="E320" s="18" t="str">
        <f>IFERROR(VLOOKUP(C320,[3]Sheet2!$C$1:$F$1223,4,0),"")</f>
        <v/>
      </c>
    </row>
    <row r="321" spans="2:5">
      <c r="B321" s="17" t="str">
        <f>IFERROR(VLOOKUP(C321,[3]Sheet2!$C$3:$F$1223,2,0),"")</f>
        <v/>
      </c>
      <c r="D321" s="18" t="str">
        <f>IFERROR(VLOOKUP(C321,[3]Sheet2!$C$1:$F$1223,3,0),"")</f>
        <v/>
      </c>
      <c r="E321" s="18" t="str">
        <f>IFERROR(VLOOKUP(C321,[3]Sheet2!$C$1:$F$1223,4,0),"")</f>
        <v/>
      </c>
    </row>
    <row r="322" spans="2:5">
      <c r="B322" s="17" t="str">
        <f>IFERROR(VLOOKUP(C322,[3]Sheet2!$C$3:$F$1223,2,0),"")</f>
        <v/>
      </c>
      <c r="D322" s="18" t="str">
        <f>IFERROR(VLOOKUP(C322,[3]Sheet2!$C$1:$F$1223,3,0),"")</f>
        <v/>
      </c>
      <c r="E322" s="18" t="str">
        <f>IFERROR(VLOOKUP(C322,[3]Sheet2!$C$1:$F$1223,4,0),"")</f>
        <v/>
      </c>
    </row>
    <row r="323" spans="2:5">
      <c r="B323" s="17" t="str">
        <f>IFERROR(VLOOKUP(C323,[3]Sheet2!$C$3:$F$1223,2,0),"")</f>
        <v/>
      </c>
      <c r="D323" s="18" t="str">
        <f>IFERROR(VLOOKUP(C323,[3]Sheet2!$C$1:$F$1223,3,0),"")</f>
        <v/>
      </c>
      <c r="E323" s="18" t="str">
        <f>IFERROR(VLOOKUP(C323,[3]Sheet2!$C$1:$F$1223,4,0),"")</f>
        <v/>
      </c>
    </row>
    <row r="324" spans="2:5">
      <c r="B324" s="17" t="str">
        <f>IFERROR(VLOOKUP(C324,[3]Sheet2!$C$3:$F$1223,2,0),"")</f>
        <v/>
      </c>
      <c r="D324" s="18" t="str">
        <f>IFERROR(VLOOKUP(C324,[3]Sheet2!$C$1:$F$1223,3,0),"")</f>
        <v/>
      </c>
      <c r="E324" s="18" t="str">
        <f>IFERROR(VLOOKUP(C324,[3]Sheet2!$C$1:$F$1223,4,0),"")</f>
        <v/>
      </c>
    </row>
    <row r="325" spans="2:5">
      <c r="B325" s="17" t="str">
        <f>IFERROR(VLOOKUP(C325,[3]Sheet2!$C$3:$F$1223,2,0),"")</f>
        <v/>
      </c>
      <c r="D325" s="18" t="str">
        <f>IFERROR(VLOOKUP(C325,[3]Sheet2!$C$1:$F$1223,3,0),"")</f>
        <v/>
      </c>
      <c r="E325" s="18" t="str">
        <f>IFERROR(VLOOKUP(C325,[3]Sheet2!$C$1:$F$1223,4,0),"")</f>
        <v/>
      </c>
    </row>
    <row r="326" spans="2:5">
      <c r="B326" s="17" t="str">
        <f>IFERROR(VLOOKUP(C326,[3]Sheet2!$C$3:$F$1223,2,0),"")</f>
        <v/>
      </c>
      <c r="D326" s="18" t="str">
        <f>IFERROR(VLOOKUP(C326,[3]Sheet2!$C$1:$F$1223,3,0),"")</f>
        <v/>
      </c>
      <c r="E326" s="18" t="str">
        <f>IFERROR(VLOOKUP(C326,[3]Sheet2!$C$1:$F$1223,4,0),"")</f>
        <v/>
      </c>
    </row>
    <row r="327" spans="2:5">
      <c r="B327" s="17" t="str">
        <f>IFERROR(VLOOKUP(C327,[3]Sheet2!$C$3:$F$1223,2,0),"")</f>
        <v/>
      </c>
      <c r="D327" s="18" t="str">
        <f>IFERROR(VLOOKUP(C327,[3]Sheet2!$C$1:$F$1223,3,0),"")</f>
        <v/>
      </c>
      <c r="E327" s="18" t="str">
        <f>IFERROR(VLOOKUP(C327,[3]Sheet2!$C$1:$F$1223,4,0),"")</f>
        <v/>
      </c>
    </row>
    <row r="328" spans="2:5">
      <c r="B328" s="17" t="str">
        <f>IFERROR(VLOOKUP(C328,[3]Sheet2!$C$3:$F$1223,2,0),"")</f>
        <v/>
      </c>
      <c r="D328" s="18" t="str">
        <f>IFERROR(VLOOKUP(C328,[3]Sheet2!$C$1:$F$1223,3,0),"")</f>
        <v/>
      </c>
      <c r="E328" s="18" t="str">
        <f>IFERROR(VLOOKUP(C328,[3]Sheet2!$C$1:$F$1223,4,0),"")</f>
        <v/>
      </c>
    </row>
    <row r="329" spans="2:5">
      <c r="B329" s="17" t="str">
        <f>IFERROR(VLOOKUP(C329,[3]Sheet2!$C$3:$F$1223,2,0),"")</f>
        <v/>
      </c>
      <c r="D329" s="18" t="str">
        <f>IFERROR(VLOOKUP(C329,[3]Sheet2!$C$1:$F$1223,3,0),"")</f>
        <v/>
      </c>
      <c r="E329" s="18" t="str">
        <f>IFERROR(VLOOKUP(C329,[3]Sheet2!$C$1:$F$1223,4,0),"")</f>
        <v/>
      </c>
    </row>
    <row r="330" spans="2:5">
      <c r="B330" s="17" t="str">
        <f>IFERROR(VLOOKUP(C330,[3]Sheet2!$C$3:$F$1223,2,0),"")</f>
        <v/>
      </c>
      <c r="D330" s="18" t="str">
        <f>IFERROR(VLOOKUP(C330,[3]Sheet2!$C$1:$F$1223,3,0),"")</f>
        <v/>
      </c>
      <c r="E330" s="18" t="str">
        <f>IFERROR(VLOOKUP(C330,[3]Sheet2!$C$1:$F$1223,4,0),"")</f>
        <v/>
      </c>
    </row>
    <row r="331" spans="2:5">
      <c r="B331" s="17" t="str">
        <f>IFERROR(VLOOKUP(C331,[3]Sheet2!$C$3:$F$1223,2,0),"")</f>
        <v/>
      </c>
      <c r="D331" s="18" t="str">
        <f>IFERROR(VLOOKUP(C331,[3]Sheet2!$C$1:$F$1223,3,0),"")</f>
        <v/>
      </c>
      <c r="E331" s="18" t="str">
        <f>IFERROR(VLOOKUP(C331,[3]Sheet2!$C$1:$F$1223,4,0),"")</f>
        <v/>
      </c>
    </row>
    <row r="332" spans="2:5">
      <c r="B332" s="17" t="str">
        <f>IFERROR(VLOOKUP(C332,[3]Sheet2!$C$3:$F$1223,2,0),"")</f>
        <v/>
      </c>
      <c r="D332" s="18" t="str">
        <f>IFERROR(VLOOKUP(C332,[3]Sheet2!$C$1:$F$1223,3,0),"")</f>
        <v/>
      </c>
      <c r="E332" s="18" t="str">
        <f>IFERROR(VLOOKUP(C332,[3]Sheet2!$C$1:$F$1223,4,0),"")</f>
        <v/>
      </c>
    </row>
    <row r="333" spans="2:5">
      <c r="B333" s="17" t="str">
        <f>IFERROR(VLOOKUP(C333,[3]Sheet2!$C$3:$F$1223,2,0),"")</f>
        <v/>
      </c>
      <c r="D333" s="18" t="str">
        <f>IFERROR(VLOOKUP(C333,[3]Sheet2!$C$1:$F$1223,3,0),"")</f>
        <v/>
      </c>
      <c r="E333" s="18" t="str">
        <f>IFERROR(VLOOKUP(C333,[3]Sheet2!$C$1:$F$1223,4,0),"")</f>
        <v/>
      </c>
    </row>
    <row r="334" spans="2:5">
      <c r="B334" s="17" t="str">
        <f>IFERROR(VLOOKUP(C334,[3]Sheet2!$C$3:$F$1223,2,0),"")</f>
        <v/>
      </c>
      <c r="D334" s="18" t="str">
        <f>IFERROR(VLOOKUP(C334,[3]Sheet2!$C$1:$F$1223,3,0),"")</f>
        <v/>
      </c>
      <c r="E334" s="18" t="str">
        <f>IFERROR(VLOOKUP(C334,[3]Sheet2!$C$1:$F$1223,4,0),"")</f>
        <v/>
      </c>
    </row>
    <row r="335" spans="2:5">
      <c r="B335" s="17" t="str">
        <f>IFERROR(VLOOKUP(C335,[3]Sheet2!$C$3:$F$1223,2,0),"")</f>
        <v/>
      </c>
      <c r="D335" s="18" t="str">
        <f>IFERROR(VLOOKUP(C335,[3]Sheet2!$C$1:$F$1223,3,0),"")</f>
        <v/>
      </c>
      <c r="E335" s="18" t="str">
        <f>IFERROR(VLOOKUP(C335,[3]Sheet2!$C$1:$F$1223,4,0),"")</f>
        <v/>
      </c>
    </row>
    <row r="336" spans="2:5">
      <c r="B336" s="17" t="str">
        <f>IFERROR(VLOOKUP(C336,[3]Sheet2!$C$3:$F$1223,2,0),"")</f>
        <v/>
      </c>
      <c r="D336" s="18" t="str">
        <f>IFERROR(VLOOKUP(C336,[3]Sheet2!$C$1:$F$1223,3,0),"")</f>
        <v/>
      </c>
      <c r="E336" s="18" t="str">
        <f>IFERROR(VLOOKUP(C336,[3]Sheet2!$C$1:$F$1223,4,0),"")</f>
        <v/>
      </c>
    </row>
    <row r="337" spans="2:5">
      <c r="B337" s="17" t="str">
        <f>IFERROR(VLOOKUP(C337,[3]Sheet2!$C$3:$F$1223,2,0),"")</f>
        <v/>
      </c>
      <c r="D337" s="18" t="str">
        <f>IFERROR(VLOOKUP(C337,[3]Sheet2!$C$1:$F$1223,3,0),"")</f>
        <v/>
      </c>
      <c r="E337" s="18" t="str">
        <f>IFERROR(VLOOKUP(C337,[3]Sheet2!$C$1:$F$1223,4,0),"")</f>
        <v/>
      </c>
    </row>
    <row r="338" spans="2:5">
      <c r="B338" s="17" t="str">
        <f>IFERROR(VLOOKUP(C338,[3]Sheet2!$C$3:$F$1223,2,0),"")</f>
        <v/>
      </c>
      <c r="D338" s="18" t="str">
        <f>IFERROR(VLOOKUP(C338,[3]Sheet2!$C$1:$F$1223,3,0),"")</f>
        <v/>
      </c>
      <c r="E338" s="18" t="str">
        <f>IFERROR(VLOOKUP(C338,[3]Sheet2!$C$1:$F$1223,4,0),"")</f>
        <v/>
      </c>
    </row>
    <row r="339" spans="2:5">
      <c r="B339" s="17" t="str">
        <f>IFERROR(VLOOKUP(C339,[3]Sheet2!$C$3:$F$1223,2,0),"")</f>
        <v/>
      </c>
      <c r="D339" s="18" t="str">
        <f>IFERROR(VLOOKUP(C339,[3]Sheet2!$C$1:$F$1223,3,0),"")</f>
        <v/>
      </c>
      <c r="E339" s="18" t="str">
        <f>IFERROR(VLOOKUP(C339,[3]Sheet2!$C$1:$F$1223,4,0),"")</f>
        <v/>
      </c>
    </row>
    <row r="340" spans="2:5">
      <c r="B340" s="17" t="str">
        <f>IFERROR(VLOOKUP(C340,[3]Sheet2!$C$3:$F$1223,2,0),"")</f>
        <v/>
      </c>
      <c r="D340" s="18" t="str">
        <f>IFERROR(VLOOKUP(C340,[3]Sheet2!$C$1:$F$1223,3,0),"")</f>
        <v/>
      </c>
      <c r="E340" s="18" t="str">
        <f>IFERROR(VLOOKUP(C340,[3]Sheet2!$C$1:$F$1223,4,0),"")</f>
        <v/>
      </c>
    </row>
    <row r="341" spans="2:5">
      <c r="B341" s="17" t="str">
        <f>IFERROR(VLOOKUP(C341,[3]Sheet2!$C$3:$F$1223,2,0),"")</f>
        <v/>
      </c>
      <c r="D341" s="18" t="str">
        <f>IFERROR(VLOOKUP(C341,[3]Sheet2!$C$1:$F$1223,3,0),"")</f>
        <v/>
      </c>
      <c r="E341" s="18" t="str">
        <f>IFERROR(VLOOKUP(C341,[3]Sheet2!$C$1:$F$1223,4,0),"")</f>
        <v/>
      </c>
    </row>
    <row r="342" spans="2:5">
      <c r="B342" s="17" t="str">
        <f>IFERROR(VLOOKUP(C342,[3]Sheet2!$C$3:$F$1223,2,0),"")</f>
        <v/>
      </c>
      <c r="D342" s="18" t="str">
        <f>IFERROR(VLOOKUP(C342,[3]Sheet2!$C$1:$F$1223,3,0),"")</f>
        <v/>
      </c>
      <c r="E342" s="18" t="str">
        <f>IFERROR(VLOOKUP(C342,[3]Sheet2!$C$1:$F$1223,4,0),"")</f>
        <v/>
      </c>
    </row>
    <row r="343" spans="2:5">
      <c r="B343" s="17" t="str">
        <f>IFERROR(VLOOKUP(C343,[3]Sheet2!$C$3:$F$1223,2,0),"")</f>
        <v/>
      </c>
      <c r="D343" s="18" t="str">
        <f>IFERROR(VLOOKUP(C343,[3]Sheet2!$C$1:$F$1223,3,0),"")</f>
        <v/>
      </c>
      <c r="E343" s="18" t="str">
        <f>IFERROR(VLOOKUP(C343,[3]Sheet2!$C$1:$F$1223,4,0),"")</f>
        <v/>
      </c>
    </row>
    <row r="344" spans="2:5">
      <c r="B344" s="17" t="str">
        <f>IFERROR(VLOOKUP(C344,[3]Sheet2!$C$3:$F$1223,2,0),"")</f>
        <v/>
      </c>
      <c r="D344" s="18" t="str">
        <f>IFERROR(VLOOKUP(C344,[3]Sheet2!$C$1:$F$1223,3,0),"")</f>
        <v/>
      </c>
      <c r="E344" s="18" t="str">
        <f>IFERROR(VLOOKUP(C344,[3]Sheet2!$C$1:$F$1223,4,0),"")</f>
        <v/>
      </c>
    </row>
    <row r="345" spans="2:5">
      <c r="B345" s="17" t="str">
        <f>IFERROR(VLOOKUP(C345,[3]Sheet2!$C$3:$F$1223,2,0),"")</f>
        <v/>
      </c>
      <c r="D345" s="18" t="str">
        <f>IFERROR(VLOOKUP(C345,[3]Sheet2!$C$1:$F$1223,3,0),"")</f>
        <v/>
      </c>
      <c r="E345" s="18" t="str">
        <f>IFERROR(VLOOKUP(C345,[3]Sheet2!$C$1:$F$1223,4,0),"")</f>
        <v/>
      </c>
    </row>
    <row r="346" spans="2:5">
      <c r="B346" s="17" t="str">
        <f>IFERROR(VLOOKUP(C346,[3]Sheet2!$C$3:$F$1223,2,0),"")</f>
        <v/>
      </c>
      <c r="D346" s="18" t="str">
        <f>IFERROR(VLOOKUP(C346,[3]Sheet2!$C$1:$F$1223,3,0),"")</f>
        <v/>
      </c>
      <c r="E346" s="18" t="str">
        <f>IFERROR(VLOOKUP(C346,[3]Sheet2!$C$1:$F$1223,4,0),"")</f>
        <v/>
      </c>
    </row>
    <row r="347" spans="2:5">
      <c r="B347" s="17" t="str">
        <f>IFERROR(VLOOKUP(C347,[3]Sheet2!$C$3:$F$1223,2,0),"")</f>
        <v/>
      </c>
      <c r="D347" s="18" t="str">
        <f>IFERROR(VLOOKUP(C347,[3]Sheet2!$C$1:$F$1223,3,0),"")</f>
        <v/>
      </c>
      <c r="E347" s="18" t="str">
        <f>IFERROR(VLOOKUP(C347,[3]Sheet2!$C$1:$F$1223,4,0),"")</f>
        <v/>
      </c>
    </row>
    <row r="348" spans="2:5">
      <c r="B348" s="17" t="str">
        <f>IFERROR(VLOOKUP(C348,[3]Sheet2!$C$3:$F$1223,2,0),"")</f>
        <v/>
      </c>
      <c r="D348" s="18" t="str">
        <f>IFERROR(VLOOKUP(C348,[3]Sheet2!$C$1:$F$1223,3,0),"")</f>
        <v/>
      </c>
      <c r="E348" s="18" t="str">
        <f>IFERROR(VLOOKUP(C348,[3]Sheet2!$C$1:$F$1223,4,0),"")</f>
        <v/>
      </c>
    </row>
    <row r="349" spans="2:5">
      <c r="B349" s="17" t="str">
        <f>IFERROR(VLOOKUP(C349,[3]Sheet2!$C$3:$F$1223,2,0),"")</f>
        <v/>
      </c>
      <c r="D349" s="18" t="str">
        <f>IFERROR(VLOOKUP(C349,[3]Sheet2!$C$1:$F$1223,3,0),"")</f>
        <v/>
      </c>
      <c r="E349" s="18" t="str">
        <f>IFERROR(VLOOKUP(C349,[3]Sheet2!$C$1:$F$1223,4,0),"")</f>
        <v/>
      </c>
    </row>
    <row r="350" spans="2:5">
      <c r="B350" s="17" t="str">
        <f>IFERROR(VLOOKUP(C350,[3]Sheet2!$C$3:$F$1223,2,0),"")</f>
        <v/>
      </c>
      <c r="D350" s="18" t="str">
        <f>IFERROR(VLOOKUP(C350,[3]Sheet2!$C$1:$F$1223,3,0),"")</f>
        <v/>
      </c>
      <c r="E350" s="18" t="str">
        <f>IFERROR(VLOOKUP(C350,[3]Sheet2!$C$1:$F$1223,4,0),"")</f>
        <v/>
      </c>
    </row>
    <row r="351" spans="2:5">
      <c r="B351" s="17" t="str">
        <f>IFERROR(VLOOKUP(C351,[3]Sheet2!$C$3:$F$1223,2,0),"")</f>
        <v/>
      </c>
      <c r="D351" s="18" t="str">
        <f>IFERROR(VLOOKUP(C351,[3]Sheet2!$C$1:$F$1223,3,0),"")</f>
        <v/>
      </c>
      <c r="E351" s="18" t="str">
        <f>IFERROR(VLOOKUP(C351,[3]Sheet2!$C$1:$F$1223,4,0),"")</f>
        <v/>
      </c>
    </row>
    <row r="352" spans="2:5">
      <c r="B352" s="17" t="str">
        <f>IFERROR(VLOOKUP(C352,[3]Sheet2!$C$3:$F$1223,2,0),"")</f>
        <v/>
      </c>
      <c r="D352" s="18" t="str">
        <f>IFERROR(VLOOKUP(C352,[3]Sheet2!$C$1:$F$1223,3,0),"")</f>
        <v/>
      </c>
      <c r="E352" s="18" t="str">
        <f>IFERROR(VLOOKUP(C352,[3]Sheet2!$C$1:$F$1223,4,0),"")</f>
        <v/>
      </c>
    </row>
    <row r="353" spans="2:5">
      <c r="B353" s="17" t="str">
        <f>IFERROR(VLOOKUP(C353,[3]Sheet2!$C$3:$F$1223,2,0),"")</f>
        <v/>
      </c>
      <c r="D353" s="18" t="str">
        <f>IFERROR(VLOOKUP(C353,[3]Sheet2!$C$1:$F$1223,3,0),"")</f>
        <v/>
      </c>
      <c r="E353" s="18" t="str">
        <f>IFERROR(VLOOKUP(C353,[3]Sheet2!$C$1:$F$1223,4,0),"")</f>
        <v/>
      </c>
    </row>
    <row r="354" spans="2:5">
      <c r="B354" s="17" t="str">
        <f>IFERROR(VLOOKUP(C354,[3]Sheet2!$C$3:$F$1223,2,0),"")</f>
        <v/>
      </c>
      <c r="D354" s="18" t="str">
        <f>IFERROR(VLOOKUP(C354,[3]Sheet2!$C$1:$F$1223,3,0),"")</f>
        <v/>
      </c>
      <c r="E354" s="18" t="str">
        <f>IFERROR(VLOOKUP(C354,[3]Sheet2!$C$1:$F$1223,4,0),"")</f>
        <v/>
      </c>
    </row>
    <row r="355" spans="2:5">
      <c r="B355" s="17" t="str">
        <f>IFERROR(VLOOKUP(C355,[3]Sheet2!$C$3:$F$1223,2,0),"")</f>
        <v/>
      </c>
      <c r="D355" s="18" t="str">
        <f>IFERROR(VLOOKUP(C355,[3]Sheet2!$C$1:$F$1223,3,0),"")</f>
        <v/>
      </c>
      <c r="E355" s="18" t="str">
        <f>IFERROR(VLOOKUP(C355,[3]Sheet2!$C$1:$F$1223,4,0),"")</f>
        <v/>
      </c>
    </row>
    <row r="356" spans="2:5">
      <c r="B356" s="17" t="str">
        <f>IFERROR(VLOOKUP(C356,[3]Sheet2!$C$3:$F$1223,2,0),"")</f>
        <v/>
      </c>
      <c r="D356" s="18" t="str">
        <f>IFERROR(VLOOKUP(C356,[3]Sheet2!$C$1:$F$1223,3,0),"")</f>
        <v/>
      </c>
      <c r="E356" s="18" t="str">
        <f>IFERROR(VLOOKUP(C356,[3]Sheet2!$C$1:$F$1223,4,0),"")</f>
        <v/>
      </c>
    </row>
    <row r="357" spans="2:5">
      <c r="B357" s="17" t="str">
        <f>IFERROR(VLOOKUP(C357,[3]Sheet2!$C$3:$F$1223,2,0),"")</f>
        <v/>
      </c>
      <c r="D357" s="18" t="str">
        <f>IFERROR(VLOOKUP(C357,[3]Sheet2!$C$1:$F$1223,3,0),"")</f>
        <v/>
      </c>
      <c r="E357" s="18" t="str">
        <f>IFERROR(VLOOKUP(C357,[3]Sheet2!$C$1:$F$1223,4,0),"")</f>
        <v/>
      </c>
    </row>
    <row r="358" spans="2:5">
      <c r="B358" s="17" t="str">
        <f>IFERROR(VLOOKUP(C358,[3]Sheet2!$C$3:$F$1223,2,0),"")</f>
        <v/>
      </c>
      <c r="D358" s="18" t="str">
        <f>IFERROR(VLOOKUP(C358,[3]Sheet2!$C$1:$F$1223,3,0),"")</f>
        <v/>
      </c>
      <c r="E358" s="18" t="str">
        <f>IFERROR(VLOOKUP(C358,[3]Sheet2!$C$1:$F$1223,4,0),"")</f>
        <v/>
      </c>
    </row>
    <row r="359" spans="2:5">
      <c r="B359" s="17" t="str">
        <f>IFERROR(VLOOKUP(C359,[3]Sheet2!$C$3:$F$1223,2,0),"")</f>
        <v/>
      </c>
      <c r="D359" s="18" t="str">
        <f>IFERROR(VLOOKUP(C359,[3]Sheet2!$C$1:$F$1223,3,0),"")</f>
        <v/>
      </c>
      <c r="E359" s="18" t="str">
        <f>IFERROR(VLOOKUP(C359,[3]Sheet2!$C$1:$F$1223,4,0),"")</f>
        <v/>
      </c>
    </row>
    <row r="360" spans="2:5">
      <c r="B360" s="17" t="str">
        <f>IFERROR(VLOOKUP(C360,[3]Sheet2!$C$3:$F$1223,2,0),"")</f>
        <v/>
      </c>
      <c r="D360" s="18" t="str">
        <f>IFERROR(VLOOKUP(C360,[3]Sheet2!$C$1:$F$1223,3,0),"")</f>
        <v/>
      </c>
      <c r="E360" s="18" t="str">
        <f>IFERROR(VLOOKUP(C360,[3]Sheet2!$C$1:$F$1223,4,0),"")</f>
        <v/>
      </c>
    </row>
    <row r="361" spans="2:5">
      <c r="B361" s="17" t="str">
        <f>IFERROR(VLOOKUP(C361,[3]Sheet2!$C$3:$F$1223,2,0),"")</f>
        <v/>
      </c>
      <c r="D361" s="18" t="str">
        <f>IFERROR(VLOOKUP(C361,[3]Sheet2!$C$1:$F$1223,3,0),"")</f>
        <v/>
      </c>
      <c r="E361" s="18" t="str">
        <f>IFERROR(VLOOKUP(C361,[3]Sheet2!$C$1:$F$1223,4,0),"")</f>
        <v/>
      </c>
    </row>
    <row r="362" spans="2:5">
      <c r="B362" s="17" t="str">
        <f>IFERROR(VLOOKUP(C362,[3]Sheet2!$C$3:$F$1223,2,0),"")</f>
        <v/>
      </c>
      <c r="D362" s="18" t="str">
        <f>IFERROR(VLOOKUP(C362,[3]Sheet2!$C$1:$F$1223,3,0),"")</f>
        <v/>
      </c>
      <c r="E362" s="18" t="str">
        <f>IFERROR(VLOOKUP(C362,[3]Sheet2!$C$1:$F$1223,4,0),"")</f>
        <v/>
      </c>
    </row>
    <row r="363" spans="2:5">
      <c r="B363" s="17" t="str">
        <f>IFERROR(VLOOKUP(C363,[3]Sheet2!$C$3:$F$1223,2,0),"")</f>
        <v/>
      </c>
      <c r="D363" s="18" t="str">
        <f>IFERROR(VLOOKUP(C363,[3]Sheet2!$C$1:$F$1223,3,0),"")</f>
        <v/>
      </c>
      <c r="E363" s="18" t="str">
        <f>IFERROR(VLOOKUP(C363,[3]Sheet2!$C$1:$F$1223,4,0),"")</f>
        <v/>
      </c>
    </row>
    <row r="364" spans="2:5">
      <c r="B364" s="17" t="str">
        <f>IFERROR(VLOOKUP(C364,[3]Sheet2!$C$3:$F$1223,2,0),"")</f>
        <v/>
      </c>
      <c r="D364" s="18" t="str">
        <f>IFERROR(VLOOKUP(C364,[3]Sheet2!$C$1:$F$1223,3,0),"")</f>
        <v/>
      </c>
      <c r="E364" s="18" t="str">
        <f>IFERROR(VLOOKUP(C364,[3]Sheet2!$C$1:$F$1223,4,0),"")</f>
        <v/>
      </c>
    </row>
    <row r="365" spans="2:5">
      <c r="B365" s="17" t="str">
        <f>IFERROR(VLOOKUP(C365,[3]Sheet2!$C$3:$F$1223,2,0),"")</f>
        <v/>
      </c>
      <c r="D365" s="18" t="str">
        <f>IFERROR(VLOOKUP(C365,[3]Sheet2!$C$1:$F$1223,3,0),"")</f>
        <v/>
      </c>
      <c r="E365" s="18" t="str">
        <f>IFERROR(VLOOKUP(C365,[3]Sheet2!$C$1:$F$1223,4,0),"")</f>
        <v/>
      </c>
    </row>
    <row r="366" spans="2:5">
      <c r="B366" s="17" t="str">
        <f>IFERROR(VLOOKUP(C366,[3]Sheet2!$C$3:$F$1223,2,0),"")</f>
        <v/>
      </c>
      <c r="D366" s="18" t="str">
        <f>IFERROR(VLOOKUP(C366,[3]Sheet2!$C$1:$F$1223,3,0),"")</f>
        <v/>
      </c>
      <c r="E366" s="18" t="str">
        <f>IFERROR(VLOOKUP(C366,[3]Sheet2!$C$1:$F$1223,4,0),"")</f>
        <v/>
      </c>
    </row>
    <row r="367" spans="2:5">
      <c r="B367" s="17" t="str">
        <f>IFERROR(VLOOKUP(C367,[3]Sheet2!$C$3:$F$1223,2,0),"")</f>
        <v/>
      </c>
      <c r="D367" s="18" t="str">
        <f>IFERROR(VLOOKUP(C367,[3]Sheet2!$C$1:$F$1223,3,0),"")</f>
        <v/>
      </c>
      <c r="E367" s="18" t="str">
        <f>IFERROR(VLOOKUP(C367,[3]Sheet2!$C$1:$F$1223,4,0),"")</f>
        <v/>
      </c>
    </row>
    <row r="368" spans="2:5">
      <c r="B368" s="17" t="str">
        <f>IFERROR(VLOOKUP(C368,[3]Sheet2!$C$3:$F$1223,2,0),"")</f>
        <v/>
      </c>
      <c r="D368" s="18" t="str">
        <f>IFERROR(VLOOKUP(C368,[3]Sheet2!$C$1:$F$1223,3,0),"")</f>
        <v/>
      </c>
      <c r="E368" s="18" t="str">
        <f>IFERROR(VLOOKUP(C368,[3]Sheet2!$C$1:$F$1223,4,0),"")</f>
        <v/>
      </c>
    </row>
    <row r="369" spans="2:5">
      <c r="B369" s="17" t="str">
        <f>IFERROR(VLOOKUP(C369,[3]Sheet2!$C$3:$F$1223,2,0),"")</f>
        <v/>
      </c>
      <c r="D369" s="18" t="str">
        <f>IFERROR(VLOOKUP(C369,[3]Sheet2!$C$1:$F$1223,3,0),"")</f>
        <v/>
      </c>
      <c r="E369" s="18" t="str">
        <f>IFERROR(VLOOKUP(C369,[3]Sheet2!$C$1:$F$1223,4,0),"")</f>
        <v/>
      </c>
    </row>
    <row r="370" spans="2:5">
      <c r="B370" s="17" t="str">
        <f>IFERROR(VLOOKUP(C370,[3]Sheet2!$C$3:$F$1223,2,0),"")</f>
        <v/>
      </c>
      <c r="D370" s="18" t="str">
        <f>IFERROR(VLOOKUP(C370,[3]Sheet2!$C$1:$F$1223,3,0),"")</f>
        <v/>
      </c>
      <c r="E370" s="18" t="str">
        <f>IFERROR(VLOOKUP(C370,[3]Sheet2!$C$1:$F$1223,4,0),"")</f>
        <v/>
      </c>
    </row>
    <row r="371" spans="2:5">
      <c r="B371" s="17" t="str">
        <f>IFERROR(VLOOKUP(C371,[3]Sheet2!$C$3:$F$1223,2,0),"")</f>
        <v/>
      </c>
      <c r="D371" s="18" t="str">
        <f>IFERROR(VLOOKUP(C371,[3]Sheet2!$C$1:$F$1223,3,0),"")</f>
        <v/>
      </c>
      <c r="E371" s="18" t="str">
        <f>IFERROR(VLOOKUP(C371,[3]Sheet2!$C$1:$F$1223,4,0),"")</f>
        <v/>
      </c>
    </row>
    <row r="372" spans="2:5">
      <c r="B372" s="17" t="str">
        <f>IFERROR(VLOOKUP(C372,[3]Sheet2!$C$3:$F$1223,2,0),"")</f>
        <v/>
      </c>
      <c r="D372" s="18" t="str">
        <f>IFERROR(VLOOKUP(C372,[3]Sheet2!$C$1:$F$1223,3,0),"")</f>
        <v/>
      </c>
      <c r="E372" s="18" t="str">
        <f>IFERROR(VLOOKUP(C372,[3]Sheet2!$C$1:$F$1223,4,0),"")</f>
        <v/>
      </c>
    </row>
    <row r="373" spans="2:5">
      <c r="B373" s="17" t="str">
        <f>IFERROR(VLOOKUP(C373,[3]Sheet2!$C$3:$F$1223,2,0),"")</f>
        <v/>
      </c>
      <c r="D373" s="18" t="str">
        <f>IFERROR(VLOOKUP(C373,[3]Sheet2!$C$1:$F$1223,3,0),"")</f>
        <v/>
      </c>
      <c r="E373" s="18" t="str">
        <f>IFERROR(VLOOKUP(C373,[3]Sheet2!$C$1:$F$1223,4,0),"")</f>
        <v/>
      </c>
    </row>
    <row r="374" spans="2:5">
      <c r="B374" s="17" t="str">
        <f>IFERROR(VLOOKUP(C374,[3]Sheet2!$C$3:$F$1223,2,0),"")</f>
        <v/>
      </c>
      <c r="D374" s="18" t="str">
        <f>IFERROR(VLOOKUP(C374,[3]Sheet2!$C$1:$F$1223,3,0),"")</f>
        <v/>
      </c>
      <c r="E374" s="18" t="str">
        <f>IFERROR(VLOOKUP(C374,[3]Sheet2!$C$1:$F$1223,4,0),"")</f>
        <v/>
      </c>
    </row>
    <row r="375" spans="2:5">
      <c r="B375" s="17" t="str">
        <f>IFERROR(VLOOKUP(C375,[3]Sheet2!$C$3:$F$1223,2,0),"")</f>
        <v/>
      </c>
      <c r="D375" s="18" t="str">
        <f>IFERROR(VLOOKUP(C375,[3]Sheet2!$C$1:$F$1223,3,0),"")</f>
        <v/>
      </c>
      <c r="E375" s="18" t="str">
        <f>IFERROR(VLOOKUP(C375,[3]Sheet2!$C$1:$F$1223,4,0),"")</f>
        <v/>
      </c>
    </row>
    <row r="376" spans="2:5">
      <c r="B376" s="17" t="str">
        <f>IFERROR(VLOOKUP(C376,[3]Sheet2!$C$3:$F$1223,2,0),"")</f>
        <v/>
      </c>
      <c r="D376" s="18" t="str">
        <f>IFERROR(VLOOKUP(C376,[3]Sheet2!$C$1:$F$1223,3,0),"")</f>
        <v/>
      </c>
      <c r="E376" s="18" t="str">
        <f>IFERROR(VLOOKUP(C376,[3]Sheet2!$C$1:$F$1223,4,0),"")</f>
        <v/>
      </c>
    </row>
    <row r="377" spans="2:5">
      <c r="B377" s="17" t="str">
        <f>IFERROR(VLOOKUP(C377,[3]Sheet2!$C$3:$F$1223,2,0),"")</f>
        <v/>
      </c>
      <c r="D377" s="18" t="str">
        <f>IFERROR(VLOOKUP(C377,[3]Sheet2!$C$1:$F$1223,3,0),"")</f>
        <v/>
      </c>
      <c r="E377" s="18" t="str">
        <f>IFERROR(VLOOKUP(C377,[3]Sheet2!$C$1:$F$1223,4,0),"")</f>
        <v/>
      </c>
    </row>
    <row r="378" spans="2:5">
      <c r="B378" s="17" t="str">
        <f>IFERROR(VLOOKUP(C378,[3]Sheet2!$C$3:$F$1223,2,0),"")</f>
        <v/>
      </c>
      <c r="D378" s="18" t="str">
        <f>IFERROR(VLOOKUP(C378,[3]Sheet2!$C$1:$F$1223,3,0),"")</f>
        <v/>
      </c>
      <c r="E378" s="18" t="str">
        <f>IFERROR(VLOOKUP(C378,[3]Sheet2!$C$1:$F$1223,4,0),"")</f>
        <v/>
      </c>
    </row>
    <row r="379" spans="2:5">
      <c r="B379" s="17" t="str">
        <f>IFERROR(VLOOKUP(C379,[3]Sheet2!$C$3:$F$1223,2,0),"")</f>
        <v/>
      </c>
      <c r="D379" s="18" t="str">
        <f>IFERROR(VLOOKUP(C379,[3]Sheet2!$C$1:$F$1223,3,0),"")</f>
        <v/>
      </c>
      <c r="E379" s="18" t="str">
        <f>IFERROR(VLOOKUP(C379,[3]Sheet2!$C$1:$F$1223,4,0),"")</f>
        <v/>
      </c>
    </row>
    <row r="380" spans="2:5">
      <c r="B380" s="17" t="str">
        <f>IFERROR(VLOOKUP(C380,[3]Sheet2!$C$3:$F$1223,2,0),"")</f>
        <v/>
      </c>
      <c r="D380" s="18" t="str">
        <f>IFERROR(VLOOKUP(C380,[3]Sheet2!$C$1:$F$1223,3,0),"")</f>
        <v/>
      </c>
      <c r="E380" s="18" t="str">
        <f>IFERROR(VLOOKUP(C380,[3]Sheet2!$C$1:$F$1223,4,0),"")</f>
        <v/>
      </c>
    </row>
    <row r="381" spans="2:5">
      <c r="B381" s="17" t="str">
        <f>IFERROR(VLOOKUP(C381,[3]Sheet2!$C$3:$F$1223,2,0),"")</f>
        <v/>
      </c>
      <c r="D381" s="18" t="str">
        <f>IFERROR(VLOOKUP(C381,[3]Sheet2!$C$1:$F$1223,3,0),"")</f>
        <v/>
      </c>
      <c r="E381" s="18" t="str">
        <f>IFERROR(VLOOKUP(C381,[3]Sheet2!$C$1:$F$1223,4,0),"")</f>
        <v/>
      </c>
    </row>
    <row r="382" spans="2:5">
      <c r="B382" s="17" t="str">
        <f>IFERROR(VLOOKUP(C382,[3]Sheet2!$C$3:$F$1223,2,0),"")</f>
        <v/>
      </c>
      <c r="D382" s="18" t="str">
        <f>IFERROR(VLOOKUP(C382,[3]Sheet2!$C$1:$F$1223,3,0),"")</f>
        <v/>
      </c>
      <c r="E382" s="18" t="str">
        <f>IFERROR(VLOOKUP(C382,[3]Sheet2!$C$1:$F$1223,4,0),"")</f>
        <v/>
      </c>
    </row>
    <row r="383" spans="2:5">
      <c r="B383" s="17" t="str">
        <f>IFERROR(VLOOKUP(C383,[3]Sheet2!$C$3:$F$1223,2,0),"")</f>
        <v/>
      </c>
      <c r="D383" s="18" t="str">
        <f>IFERROR(VLOOKUP(C383,[3]Sheet2!$C$1:$F$1223,3,0),"")</f>
        <v/>
      </c>
      <c r="E383" s="18" t="str">
        <f>IFERROR(VLOOKUP(C383,[3]Sheet2!$C$1:$F$1223,4,0),"")</f>
        <v/>
      </c>
    </row>
    <row r="384" spans="2:5">
      <c r="B384" s="17" t="str">
        <f>IFERROR(VLOOKUP(C384,[3]Sheet2!$C$3:$F$1223,2,0),"")</f>
        <v/>
      </c>
      <c r="D384" s="18" t="str">
        <f>IFERROR(VLOOKUP(C384,[3]Sheet2!$C$1:$F$1223,3,0),"")</f>
        <v/>
      </c>
      <c r="E384" s="18" t="str">
        <f>IFERROR(VLOOKUP(C384,[3]Sheet2!$C$1:$F$1223,4,0),"")</f>
        <v/>
      </c>
    </row>
    <row r="385" spans="2:5">
      <c r="B385" s="17" t="str">
        <f>IFERROR(VLOOKUP(C385,[3]Sheet2!$C$3:$F$1223,2,0),"")</f>
        <v/>
      </c>
      <c r="D385" s="18" t="str">
        <f>IFERROR(VLOOKUP(C385,[3]Sheet2!$C$1:$F$1223,3,0),"")</f>
        <v/>
      </c>
      <c r="E385" s="18" t="str">
        <f>IFERROR(VLOOKUP(C385,[3]Sheet2!$C$1:$F$1223,4,0),"")</f>
        <v/>
      </c>
    </row>
    <row r="386" spans="2:5">
      <c r="B386" s="17" t="str">
        <f>IFERROR(VLOOKUP(C386,[3]Sheet2!$C$3:$F$1223,2,0),"")</f>
        <v/>
      </c>
      <c r="D386" s="18" t="str">
        <f>IFERROR(VLOOKUP(C386,[3]Sheet2!$C$1:$F$1223,3,0),"")</f>
        <v/>
      </c>
      <c r="E386" s="18" t="str">
        <f>IFERROR(VLOOKUP(C386,[3]Sheet2!$C$1:$F$1223,4,0),"")</f>
        <v/>
      </c>
    </row>
    <row r="387" spans="2:5">
      <c r="B387" s="17" t="str">
        <f>IFERROR(VLOOKUP(C387,[3]Sheet2!$C$3:$F$1223,2,0),"")</f>
        <v/>
      </c>
      <c r="D387" s="18" t="str">
        <f>IFERROR(VLOOKUP(C387,[3]Sheet2!$C$1:$F$1223,3,0),"")</f>
        <v/>
      </c>
      <c r="E387" s="18" t="str">
        <f>IFERROR(VLOOKUP(C387,[3]Sheet2!$C$1:$F$1223,4,0),"")</f>
        <v/>
      </c>
    </row>
    <row r="388" spans="2:5">
      <c r="B388" s="17" t="str">
        <f>IFERROR(VLOOKUP(C388,[3]Sheet2!$C$3:$F$1223,2,0),"")</f>
        <v/>
      </c>
      <c r="D388" s="18" t="str">
        <f>IFERROR(VLOOKUP(C388,[3]Sheet2!$C$1:$F$1223,3,0),"")</f>
        <v/>
      </c>
      <c r="E388" s="18" t="str">
        <f>IFERROR(VLOOKUP(C388,[3]Sheet2!$C$1:$F$1223,4,0),"")</f>
        <v/>
      </c>
    </row>
    <row r="389" spans="2:5">
      <c r="B389" s="17" t="str">
        <f>IFERROR(VLOOKUP(C389,[3]Sheet2!$C$3:$F$1223,2,0),"")</f>
        <v/>
      </c>
      <c r="D389" s="18" t="str">
        <f>IFERROR(VLOOKUP(C389,[3]Sheet2!$C$1:$F$1223,3,0),"")</f>
        <v/>
      </c>
      <c r="E389" s="18" t="str">
        <f>IFERROR(VLOOKUP(C389,[3]Sheet2!$C$1:$F$1223,4,0),"")</f>
        <v/>
      </c>
    </row>
    <row r="390" spans="2:5">
      <c r="B390" s="17" t="str">
        <f>IFERROR(VLOOKUP(C390,[3]Sheet2!$C$3:$F$1223,2,0),"")</f>
        <v/>
      </c>
      <c r="D390" s="18" t="str">
        <f>IFERROR(VLOOKUP(C390,[3]Sheet2!$C$1:$F$1223,3,0),"")</f>
        <v/>
      </c>
      <c r="E390" s="18" t="str">
        <f>IFERROR(VLOOKUP(C390,[3]Sheet2!$C$1:$F$1223,4,0),"")</f>
        <v/>
      </c>
    </row>
    <row r="391" spans="2:5">
      <c r="B391" s="17" t="str">
        <f>IFERROR(VLOOKUP(C391,[3]Sheet2!$C$3:$F$1223,2,0),"")</f>
        <v/>
      </c>
      <c r="D391" s="18" t="str">
        <f>IFERROR(VLOOKUP(C391,[3]Sheet2!$C$1:$F$1223,3,0),"")</f>
        <v/>
      </c>
      <c r="E391" s="18" t="str">
        <f>IFERROR(VLOOKUP(C391,[3]Sheet2!$C$1:$F$1223,4,0),"")</f>
        <v/>
      </c>
    </row>
    <row r="392" spans="2:5">
      <c r="B392" s="17" t="str">
        <f>IFERROR(VLOOKUP(C392,[3]Sheet2!$C$3:$F$1223,2,0),"")</f>
        <v/>
      </c>
      <c r="D392" s="18" t="str">
        <f>IFERROR(VLOOKUP(C392,[3]Sheet2!$C$1:$F$1223,3,0),"")</f>
        <v/>
      </c>
      <c r="E392" s="18" t="str">
        <f>IFERROR(VLOOKUP(C392,[3]Sheet2!$C$1:$F$1223,4,0),"")</f>
        <v/>
      </c>
    </row>
    <row r="393" spans="2:5">
      <c r="B393" s="17" t="str">
        <f>IFERROR(VLOOKUP(C393,[3]Sheet2!$C$3:$F$1223,2,0),"")</f>
        <v/>
      </c>
      <c r="D393" s="18" t="str">
        <f>IFERROR(VLOOKUP(C393,[3]Sheet2!$C$1:$F$1223,3,0),"")</f>
        <v/>
      </c>
      <c r="E393" s="18" t="str">
        <f>IFERROR(VLOOKUP(C393,[3]Sheet2!$C$1:$F$1223,4,0),"")</f>
        <v/>
      </c>
    </row>
    <row r="394" spans="2:5">
      <c r="B394" s="17" t="str">
        <f>IFERROR(VLOOKUP(C394,[3]Sheet2!$C$3:$F$1223,2,0),"")</f>
        <v/>
      </c>
      <c r="D394" s="18" t="str">
        <f>IFERROR(VLOOKUP(C394,[3]Sheet2!$C$1:$F$1223,3,0),"")</f>
        <v/>
      </c>
      <c r="E394" s="18" t="str">
        <f>IFERROR(VLOOKUP(C394,[3]Sheet2!$C$1:$F$1223,4,0),"")</f>
        <v/>
      </c>
    </row>
    <row r="395" spans="2:5">
      <c r="B395" s="17" t="str">
        <f>IFERROR(VLOOKUP(C395,[3]Sheet2!$C$3:$F$1223,2,0),"")</f>
        <v/>
      </c>
      <c r="D395" s="18" t="str">
        <f>IFERROR(VLOOKUP(C395,[3]Sheet2!$C$1:$F$1223,3,0),"")</f>
        <v/>
      </c>
      <c r="E395" s="18" t="str">
        <f>IFERROR(VLOOKUP(C395,[3]Sheet2!$C$1:$F$1223,4,0),"")</f>
        <v/>
      </c>
    </row>
    <row r="396" spans="2:5">
      <c r="B396" s="17" t="str">
        <f>IFERROR(VLOOKUP(C396,[3]Sheet2!$C$3:$F$1223,2,0),"")</f>
        <v/>
      </c>
      <c r="D396" s="18" t="str">
        <f>IFERROR(VLOOKUP(C396,[3]Sheet2!$C$1:$F$1223,3,0),"")</f>
        <v/>
      </c>
      <c r="E396" s="18" t="str">
        <f>IFERROR(VLOOKUP(C396,[3]Sheet2!$C$1:$F$1223,4,0),"")</f>
        <v/>
      </c>
    </row>
    <row r="397" spans="2:5">
      <c r="B397" s="17" t="str">
        <f>IFERROR(VLOOKUP(C397,[3]Sheet2!$C$3:$F$1223,2,0),"")</f>
        <v/>
      </c>
      <c r="D397" s="18" t="str">
        <f>IFERROR(VLOOKUP(C397,[3]Sheet2!$C$1:$F$1223,3,0),"")</f>
        <v/>
      </c>
      <c r="E397" s="18" t="str">
        <f>IFERROR(VLOOKUP(C397,[3]Sheet2!$C$1:$F$1223,4,0),"")</f>
        <v/>
      </c>
    </row>
    <row r="398" spans="2:5">
      <c r="B398" s="17" t="str">
        <f>IFERROR(VLOOKUP(C398,[3]Sheet2!$C$3:$F$1223,2,0),"")</f>
        <v/>
      </c>
      <c r="D398" s="18" t="str">
        <f>IFERROR(VLOOKUP(C398,[3]Sheet2!$C$1:$F$1223,3,0),"")</f>
        <v/>
      </c>
      <c r="E398" s="18" t="str">
        <f>IFERROR(VLOOKUP(C398,[3]Sheet2!$C$1:$F$1223,4,0),"")</f>
        <v/>
      </c>
    </row>
    <row r="399" spans="2:5">
      <c r="B399" s="17" t="str">
        <f>IFERROR(VLOOKUP(C399,[3]Sheet2!$C$3:$F$1223,2,0),"")</f>
        <v/>
      </c>
      <c r="D399" s="18" t="str">
        <f>IFERROR(VLOOKUP(C399,[3]Sheet2!$C$1:$F$1223,3,0),"")</f>
        <v/>
      </c>
      <c r="E399" s="18" t="str">
        <f>IFERROR(VLOOKUP(C399,[3]Sheet2!$C$1:$F$1223,4,0),"")</f>
        <v/>
      </c>
    </row>
    <row r="400" spans="2:5">
      <c r="B400" s="17" t="str">
        <f>IFERROR(VLOOKUP(C400,[3]Sheet2!$C$3:$F$1223,2,0),"")</f>
        <v/>
      </c>
      <c r="D400" s="18" t="str">
        <f>IFERROR(VLOOKUP(C400,[3]Sheet2!$C$1:$F$1223,3,0),"")</f>
        <v/>
      </c>
      <c r="E400" s="18" t="str">
        <f>IFERROR(VLOOKUP(C400,[3]Sheet2!$C$1:$F$1223,4,0),"")</f>
        <v/>
      </c>
    </row>
    <row r="401" spans="2:5">
      <c r="B401" s="17" t="str">
        <f>IFERROR(VLOOKUP(C401,[3]Sheet2!$C$3:$F$1223,2,0),"")</f>
        <v/>
      </c>
      <c r="D401" s="18" t="str">
        <f>IFERROR(VLOOKUP(C401,[3]Sheet2!$C$1:$F$1223,3,0),"")</f>
        <v/>
      </c>
      <c r="E401" s="18" t="str">
        <f>IFERROR(VLOOKUP(C401,[3]Sheet2!$C$1:$F$1223,4,0),"")</f>
        <v/>
      </c>
    </row>
    <row r="402" spans="2:5">
      <c r="B402" s="17" t="str">
        <f>IFERROR(VLOOKUP(C402,[3]Sheet2!$C$3:$F$1223,2,0),"")</f>
        <v/>
      </c>
      <c r="D402" s="18" t="str">
        <f>IFERROR(VLOOKUP(C402,[3]Sheet2!$C$1:$F$1223,3,0),"")</f>
        <v/>
      </c>
      <c r="E402" s="18" t="str">
        <f>IFERROR(VLOOKUP(C402,[3]Sheet2!$C$1:$F$1223,4,0),"")</f>
        <v/>
      </c>
    </row>
    <row r="403" spans="2:5">
      <c r="B403" s="17" t="str">
        <f>IFERROR(VLOOKUP(C403,[3]Sheet2!$C$3:$F$1223,2,0),"")</f>
        <v/>
      </c>
      <c r="D403" s="18" t="str">
        <f>IFERROR(VLOOKUP(C403,[3]Sheet2!$C$1:$F$1223,3,0),"")</f>
        <v/>
      </c>
      <c r="E403" s="18" t="str">
        <f>IFERROR(VLOOKUP(C403,[3]Sheet2!$C$1:$F$1223,4,0),"")</f>
        <v/>
      </c>
    </row>
    <row r="404" spans="2:5">
      <c r="B404" s="17" t="str">
        <f>IFERROR(VLOOKUP(C404,[3]Sheet2!$C$3:$F$1223,2,0),"")</f>
        <v/>
      </c>
      <c r="D404" s="18" t="str">
        <f>IFERROR(VLOOKUP(C404,[3]Sheet2!$C$1:$F$1223,3,0),"")</f>
        <v/>
      </c>
      <c r="E404" s="18" t="str">
        <f>IFERROR(VLOOKUP(C404,[3]Sheet2!$C$1:$F$1223,4,0),"")</f>
        <v/>
      </c>
    </row>
    <row r="405" spans="2:5">
      <c r="B405" s="17" t="str">
        <f>IFERROR(VLOOKUP(C405,[3]Sheet2!$C$3:$F$1223,2,0),"")</f>
        <v/>
      </c>
      <c r="D405" s="18" t="str">
        <f>IFERROR(VLOOKUP(C405,[3]Sheet2!$C$1:$F$1223,3,0),"")</f>
        <v/>
      </c>
      <c r="E405" s="18" t="str">
        <f>IFERROR(VLOOKUP(C405,[3]Sheet2!$C$1:$F$1223,4,0),"")</f>
        <v/>
      </c>
    </row>
    <row r="406" spans="2:5">
      <c r="B406" s="17" t="str">
        <f>IFERROR(VLOOKUP(C406,[3]Sheet2!$C$3:$F$1223,2,0),"")</f>
        <v/>
      </c>
      <c r="D406" s="18" t="str">
        <f>IFERROR(VLOOKUP(C406,[3]Sheet2!$C$1:$F$1223,3,0),"")</f>
        <v/>
      </c>
      <c r="E406" s="18" t="str">
        <f>IFERROR(VLOOKUP(C406,[3]Sheet2!$C$1:$F$1223,4,0),"")</f>
        <v/>
      </c>
    </row>
    <row r="407" spans="2:5">
      <c r="B407" s="17" t="str">
        <f>IFERROR(VLOOKUP(C407,[3]Sheet2!$C$3:$F$1223,2,0),"")</f>
        <v/>
      </c>
      <c r="D407" s="18" t="str">
        <f>IFERROR(VLOOKUP(C407,[3]Sheet2!$C$1:$F$1223,3,0),"")</f>
        <v/>
      </c>
      <c r="E407" s="18" t="str">
        <f>IFERROR(VLOOKUP(C407,[3]Sheet2!$C$1:$F$1223,4,0),"")</f>
        <v/>
      </c>
    </row>
    <row r="408" spans="2:5">
      <c r="B408" s="17" t="str">
        <f>IFERROR(VLOOKUP(C408,[3]Sheet2!$C$3:$F$1223,2,0),"")</f>
        <v/>
      </c>
      <c r="D408" s="18" t="str">
        <f>IFERROR(VLOOKUP(C408,[3]Sheet2!$C$1:$F$1223,3,0),"")</f>
        <v/>
      </c>
      <c r="E408" s="18" t="str">
        <f>IFERROR(VLOOKUP(C408,[3]Sheet2!$C$1:$F$1223,4,0),"")</f>
        <v/>
      </c>
    </row>
    <row r="409" spans="2:5">
      <c r="B409" s="17" t="str">
        <f>IFERROR(VLOOKUP(C409,[3]Sheet2!$C$3:$F$1223,2,0),"")</f>
        <v/>
      </c>
      <c r="D409" s="18" t="str">
        <f>IFERROR(VLOOKUP(C409,[3]Sheet2!$C$1:$F$1223,3,0),"")</f>
        <v/>
      </c>
      <c r="E409" s="18" t="str">
        <f>IFERROR(VLOOKUP(C409,[3]Sheet2!$C$1:$F$1223,4,0),"")</f>
        <v/>
      </c>
    </row>
    <row r="410" spans="2:5">
      <c r="B410" s="17" t="str">
        <f>IFERROR(VLOOKUP(C410,[3]Sheet2!$C$3:$F$1223,2,0),"")</f>
        <v/>
      </c>
      <c r="D410" s="18" t="str">
        <f>IFERROR(VLOOKUP(C410,[3]Sheet2!$C$1:$F$1223,3,0),"")</f>
        <v/>
      </c>
      <c r="E410" s="18" t="str">
        <f>IFERROR(VLOOKUP(C410,[3]Sheet2!$C$1:$F$1223,4,0),"")</f>
        <v/>
      </c>
    </row>
    <row r="411" spans="2:5">
      <c r="B411" s="17" t="str">
        <f>IFERROR(VLOOKUP(C411,[3]Sheet2!$C$3:$F$1223,2,0),"")</f>
        <v/>
      </c>
      <c r="D411" s="18" t="str">
        <f>IFERROR(VLOOKUP(C411,[3]Sheet2!$C$1:$F$1223,3,0),"")</f>
        <v/>
      </c>
      <c r="E411" s="18" t="str">
        <f>IFERROR(VLOOKUP(C411,[3]Sheet2!$C$1:$F$1223,4,0),"")</f>
        <v/>
      </c>
    </row>
    <row r="412" spans="2:5">
      <c r="B412" s="17" t="str">
        <f>IFERROR(VLOOKUP(C412,[3]Sheet2!$C$3:$F$1223,2,0),"")</f>
        <v/>
      </c>
      <c r="D412" s="18" t="str">
        <f>IFERROR(VLOOKUP(C412,[3]Sheet2!$C$1:$F$1223,3,0),"")</f>
        <v/>
      </c>
      <c r="E412" s="18" t="str">
        <f>IFERROR(VLOOKUP(C412,[3]Sheet2!$C$1:$F$1223,4,0),"")</f>
        <v/>
      </c>
    </row>
    <row r="413" spans="2:5">
      <c r="B413" s="17" t="str">
        <f>IFERROR(VLOOKUP(C413,[3]Sheet2!$C$3:$F$1223,2,0),"")</f>
        <v/>
      </c>
      <c r="D413" s="18" t="str">
        <f>IFERROR(VLOOKUP(C413,[3]Sheet2!$C$1:$F$1223,3,0),"")</f>
        <v/>
      </c>
      <c r="E413" s="18" t="str">
        <f>IFERROR(VLOOKUP(C413,[3]Sheet2!$C$1:$F$1223,4,0),"")</f>
        <v/>
      </c>
    </row>
    <row r="414" spans="2:5">
      <c r="B414" s="17" t="str">
        <f>IFERROR(VLOOKUP(C414,[3]Sheet2!$C$3:$F$1223,2,0),"")</f>
        <v/>
      </c>
      <c r="D414" s="18" t="str">
        <f>IFERROR(VLOOKUP(C414,[3]Sheet2!$C$1:$F$1223,3,0),"")</f>
        <v/>
      </c>
      <c r="E414" s="18" t="str">
        <f>IFERROR(VLOOKUP(C414,[3]Sheet2!$C$1:$F$1223,4,0),"")</f>
        <v/>
      </c>
    </row>
    <row r="415" spans="2:5">
      <c r="B415" s="17" t="str">
        <f>IFERROR(VLOOKUP(C415,[3]Sheet2!$C$3:$F$1223,2,0),"")</f>
        <v/>
      </c>
      <c r="D415" s="18" t="str">
        <f>IFERROR(VLOOKUP(C415,[3]Sheet2!$C$1:$F$1223,3,0),"")</f>
        <v/>
      </c>
      <c r="E415" s="18" t="str">
        <f>IFERROR(VLOOKUP(C415,[3]Sheet2!$C$1:$F$1223,4,0),"")</f>
        <v/>
      </c>
    </row>
    <row r="416" spans="2:5">
      <c r="B416" s="17" t="str">
        <f>IFERROR(VLOOKUP(C416,[3]Sheet2!$C$3:$F$1223,2,0),"")</f>
        <v/>
      </c>
      <c r="D416" s="18" t="str">
        <f>IFERROR(VLOOKUP(C416,[3]Sheet2!$C$1:$F$1223,3,0),"")</f>
        <v/>
      </c>
      <c r="E416" s="18" t="str">
        <f>IFERROR(VLOOKUP(C416,[3]Sheet2!$C$1:$F$1223,4,0),"")</f>
        <v/>
      </c>
    </row>
    <row r="417" spans="2:5">
      <c r="B417" s="17" t="str">
        <f>IFERROR(VLOOKUP(C417,[3]Sheet2!$C$3:$F$1223,2,0),"")</f>
        <v/>
      </c>
      <c r="D417" s="18" t="str">
        <f>IFERROR(VLOOKUP(C417,[3]Sheet2!$C$1:$F$1223,3,0),"")</f>
        <v/>
      </c>
      <c r="E417" s="18" t="str">
        <f>IFERROR(VLOOKUP(C417,[3]Sheet2!$C$1:$F$1223,4,0),"")</f>
        <v/>
      </c>
    </row>
    <row r="418" spans="2:5">
      <c r="B418" s="17" t="str">
        <f>IFERROR(VLOOKUP(C418,[3]Sheet2!$C$3:$F$1223,2,0),"")</f>
        <v/>
      </c>
      <c r="D418" s="18" t="str">
        <f>IFERROR(VLOOKUP(C418,[3]Sheet2!$C$1:$F$1223,3,0),"")</f>
        <v/>
      </c>
      <c r="E418" s="18" t="str">
        <f>IFERROR(VLOOKUP(C418,[3]Sheet2!$C$1:$F$1223,4,0),"")</f>
        <v/>
      </c>
    </row>
    <row r="419" spans="2:5">
      <c r="B419" s="17" t="str">
        <f>IFERROR(VLOOKUP(C419,[3]Sheet2!$C$3:$F$1223,2,0),"")</f>
        <v/>
      </c>
      <c r="D419" s="18" t="str">
        <f>IFERROR(VLOOKUP(C419,[3]Sheet2!$C$1:$F$1223,3,0),"")</f>
        <v/>
      </c>
      <c r="E419" s="18" t="str">
        <f>IFERROR(VLOOKUP(C419,[3]Sheet2!$C$1:$F$1223,4,0),"")</f>
        <v/>
      </c>
    </row>
    <row r="420" spans="2:5">
      <c r="B420" s="17" t="str">
        <f>IFERROR(VLOOKUP(C420,[3]Sheet2!$C$3:$F$1223,2,0),"")</f>
        <v/>
      </c>
      <c r="D420" s="18" t="str">
        <f>IFERROR(VLOOKUP(C420,[3]Sheet2!$C$1:$F$1223,3,0),"")</f>
        <v/>
      </c>
      <c r="E420" s="18" t="str">
        <f>IFERROR(VLOOKUP(C420,[3]Sheet2!$C$1:$F$1223,4,0),"")</f>
        <v/>
      </c>
    </row>
    <row r="421" spans="2:5">
      <c r="B421" s="17" t="str">
        <f>IFERROR(VLOOKUP(C421,[3]Sheet2!$C$3:$F$1223,2,0),"")</f>
        <v/>
      </c>
      <c r="D421" s="18" t="str">
        <f>IFERROR(VLOOKUP(C421,[3]Sheet2!$C$1:$F$1223,3,0),"")</f>
        <v/>
      </c>
      <c r="E421" s="18" t="str">
        <f>IFERROR(VLOOKUP(C421,[3]Sheet2!$C$1:$F$1223,4,0),"")</f>
        <v/>
      </c>
    </row>
    <row r="422" spans="2:5">
      <c r="B422" s="17" t="str">
        <f>IFERROR(VLOOKUP(C422,[3]Sheet2!$C$3:$F$1223,2,0),"")</f>
        <v/>
      </c>
      <c r="D422" s="18" t="str">
        <f>IFERROR(VLOOKUP(C422,[3]Sheet2!$C$1:$F$1223,3,0),"")</f>
        <v/>
      </c>
      <c r="E422" s="18" t="str">
        <f>IFERROR(VLOOKUP(C422,[3]Sheet2!$C$1:$F$1223,4,0),"")</f>
        <v/>
      </c>
    </row>
    <row r="423" spans="2:5">
      <c r="B423" s="17" t="str">
        <f>IFERROR(VLOOKUP(C423,[3]Sheet2!$C$3:$F$1223,2,0),"")</f>
        <v/>
      </c>
      <c r="D423" s="18" t="str">
        <f>IFERROR(VLOOKUP(C423,[3]Sheet2!$C$1:$F$1223,3,0),"")</f>
        <v/>
      </c>
      <c r="E423" s="18" t="str">
        <f>IFERROR(VLOOKUP(C423,[3]Sheet2!$C$1:$F$1223,4,0),"")</f>
        <v/>
      </c>
    </row>
    <row r="424" spans="2:5">
      <c r="B424" s="17" t="str">
        <f>IFERROR(VLOOKUP(C424,[3]Sheet2!$C$3:$F$1223,2,0),"")</f>
        <v/>
      </c>
      <c r="D424" s="18" t="str">
        <f>IFERROR(VLOOKUP(C424,[3]Sheet2!$C$1:$F$1223,3,0),"")</f>
        <v/>
      </c>
      <c r="E424" s="18" t="str">
        <f>IFERROR(VLOOKUP(C424,[3]Sheet2!$C$1:$F$1223,4,0),"")</f>
        <v/>
      </c>
    </row>
    <row r="425" spans="2:5">
      <c r="B425" s="17" t="str">
        <f>IFERROR(VLOOKUP(C425,[3]Sheet2!$C$3:$F$1223,2,0),"")</f>
        <v/>
      </c>
      <c r="D425" s="18" t="str">
        <f>IFERROR(VLOOKUP(C425,[3]Sheet2!$C$1:$F$1223,3,0),"")</f>
        <v/>
      </c>
      <c r="E425" s="18" t="str">
        <f>IFERROR(VLOOKUP(C425,[3]Sheet2!$C$1:$F$1223,4,0),"")</f>
        <v/>
      </c>
    </row>
    <row r="426" spans="2:5">
      <c r="B426" s="17" t="str">
        <f>IFERROR(VLOOKUP(C426,[3]Sheet2!$C$3:$F$1223,2,0),"")</f>
        <v/>
      </c>
      <c r="D426" s="18" t="str">
        <f>IFERROR(VLOOKUP(C426,[3]Sheet2!$C$1:$F$1223,3,0),"")</f>
        <v/>
      </c>
      <c r="E426" s="18" t="str">
        <f>IFERROR(VLOOKUP(C426,[3]Sheet2!$C$1:$F$1223,4,0),"")</f>
        <v/>
      </c>
    </row>
    <row r="427" spans="2:5">
      <c r="B427" s="17" t="str">
        <f>IFERROR(VLOOKUP(C427,[3]Sheet2!$C$3:$F$1223,2,0),"")</f>
        <v/>
      </c>
      <c r="D427" s="18" t="str">
        <f>IFERROR(VLOOKUP(C427,[3]Sheet2!$C$1:$F$1223,3,0),"")</f>
        <v/>
      </c>
      <c r="E427" s="18" t="str">
        <f>IFERROR(VLOOKUP(C427,[3]Sheet2!$C$1:$F$1223,4,0),"")</f>
        <v/>
      </c>
    </row>
    <row r="428" spans="2:5">
      <c r="B428" s="17" t="str">
        <f>IFERROR(VLOOKUP(C428,[3]Sheet2!$C$3:$F$1223,2,0),"")</f>
        <v/>
      </c>
      <c r="D428" s="18" t="str">
        <f>IFERROR(VLOOKUP(C428,[3]Sheet2!$C$1:$F$1223,3,0),"")</f>
        <v/>
      </c>
      <c r="E428" s="18" t="str">
        <f>IFERROR(VLOOKUP(C428,[3]Sheet2!$C$1:$F$1223,4,0),"")</f>
        <v/>
      </c>
    </row>
    <row r="429" spans="2:5">
      <c r="B429" s="17" t="str">
        <f>IFERROR(VLOOKUP(C429,[3]Sheet2!$C$3:$F$1223,2,0),"")</f>
        <v/>
      </c>
      <c r="D429" s="18" t="str">
        <f>IFERROR(VLOOKUP(C429,[3]Sheet2!$C$1:$F$1223,3,0),"")</f>
        <v/>
      </c>
      <c r="E429" s="18" t="str">
        <f>IFERROR(VLOOKUP(C429,[3]Sheet2!$C$1:$F$1223,4,0),"")</f>
        <v/>
      </c>
    </row>
    <row r="430" spans="2:5">
      <c r="B430" s="17" t="str">
        <f>IFERROR(VLOOKUP(C430,[3]Sheet2!$C$3:$F$1223,2,0),"")</f>
        <v/>
      </c>
      <c r="D430" s="18" t="str">
        <f>IFERROR(VLOOKUP(C430,[3]Sheet2!$C$1:$F$1223,3,0),"")</f>
        <v/>
      </c>
      <c r="E430" s="18" t="str">
        <f>IFERROR(VLOOKUP(C430,[3]Sheet2!$C$1:$F$1223,4,0),"")</f>
        <v/>
      </c>
    </row>
    <row r="431" spans="2:5">
      <c r="B431" s="17" t="str">
        <f>IFERROR(VLOOKUP(C431,[3]Sheet2!$C$3:$F$1223,2,0),"")</f>
        <v/>
      </c>
      <c r="D431" s="18" t="str">
        <f>IFERROR(VLOOKUP(C431,[3]Sheet2!$C$1:$F$1223,3,0),"")</f>
        <v/>
      </c>
      <c r="E431" s="18" t="str">
        <f>IFERROR(VLOOKUP(C431,[3]Sheet2!$C$1:$F$1223,4,0),"")</f>
        <v/>
      </c>
    </row>
    <row r="432" spans="2:5">
      <c r="B432" s="17" t="str">
        <f>IFERROR(VLOOKUP(C432,[3]Sheet2!$C$3:$F$1223,2,0),"")</f>
        <v/>
      </c>
      <c r="D432" s="18" t="str">
        <f>IFERROR(VLOOKUP(C432,[3]Sheet2!$C$1:$F$1223,3,0),"")</f>
        <v/>
      </c>
      <c r="E432" s="18" t="str">
        <f>IFERROR(VLOOKUP(C432,[3]Sheet2!$C$1:$F$1223,4,0),"")</f>
        <v/>
      </c>
    </row>
    <row r="433" spans="2:5">
      <c r="B433" s="17" t="str">
        <f>IFERROR(VLOOKUP(C433,[3]Sheet2!$C$3:$F$1223,2,0),"")</f>
        <v/>
      </c>
      <c r="D433" s="18" t="str">
        <f>IFERROR(VLOOKUP(C433,[3]Sheet2!$C$1:$F$1223,3,0),"")</f>
        <v/>
      </c>
      <c r="E433" s="18" t="str">
        <f>IFERROR(VLOOKUP(C433,[3]Sheet2!$C$1:$F$1223,4,0),"")</f>
        <v/>
      </c>
    </row>
    <row r="434" spans="2:5">
      <c r="B434" s="17" t="str">
        <f>IFERROR(VLOOKUP(C434,[3]Sheet2!$C$3:$F$1223,2,0),"")</f>
        <v/>
      </c>
      <c r="D434" s="18" t="str">
        <f>IFERROR(VLOOKUP(C434,[3]Sheet2!$C$1:$F$1223,3,0),"")</f>
        <v/>
      </c>
      <c r="E434" s="18" t="str">
        <f>IFERROR(VLOOKUP(C434,[3]Sheet2!$C$1:$F$1223,4,0),"")</f>
        <v/>
      </c>
    </row>
    <row r="435" spans="2:5">
      <c r="B435" s="17" t="str">
        <f>IFERROR(VLOOKUP(C435,[3]Sheet2!$C$3:$F$1223,2,0),"")</f>
        <v/>
      </c>
      <c r="D435" s="18" t="str">
        <f>IFERROR(VLOOKUP(C435,[3]Sheet2!$C$1:$F$1223,3,0),"")</f>
        <v/>
      </c>
      <c r="E435" s="18" t="str">
        <f>IFERROR(VLOOKUP(C435,[3]Sheet2!$C$1:$F$1223,4,0),"")</f>
        <v/>
      </c>
    </row>
    <row r="436" spans="2:5">
      <c r="B436" s="17" t="str">
        <f>IFERROR(VLOOKUP(C436,[3]Sheet2!$C$3:$F$1223,2,0),"")</f>
        <v/>
      </c>
      <c r="D436" s="18" t="str">
        <f>IFERROR(VLOOKUP(C436,[3]Sheet2!$C$1:$F$1223,3,0),"")</f>
        <v/>
      </c>
      <c r="E436" s="18" t="str">
        <f>IFERROR(VLOOKUP(C436,[3]Sheet2!$C$1:$F$1223,4,0),"")</f>
        <v/>
      </c>
    </row>
    <row r="437" spans="2:5">
      <c r="B437" s="17" t="str">
        <f>IFERROR(VLOOKUP(C437,[3]Sheet2!$C$3:$F$1223,2,0),"")</f>
        <v/>
      </c>
      <c r="D437" s="18" t="str">
        <f>IFERROR(VLOOKUP(C437,[3]Sheet2!$C$1:$F$1223,3,0),"")</f>
        <v/>
      </c>
      <c r="E437" s="18" t="str">
        <f>IFERROR(VLOOKUP(C437,[3]Sheet2!$C$1:$F$1223,4,0),"")</f>
        <v/>
      </c>
    </row>
    <row r="438" spans="2:5">
      <c r="B438" s="17" t="str">
        <f>IFERROR(VLOOKUP(C438,[3]Sheet2!$C$3:$F$1223,2,0),"")</f>
        <v/>
      </c>
      <c r="D438" s="18" t="str">
        <f>IFERROR(VLOOKUP(C438,[3]Sheet2!$C$1:$F$1223,3,0),"")</f>
        <v/>
      </c>
      <c r="E438" s="18" t="str">
        <f>IFERROR(VLOOKUP(C438,[3]Sheet2!$C$1:$F$1223,4,0),"")</f>
        <v/>
      </c>
    </row>
    <row r="439" spans="2:5">
      <c r="B439" s="17" t="str">
        <f>IFERROR(VLOOKUP(C439,[3]Sheet2!$C$3:$F$1223,2,0),"")</f>
        <v/>
      </c>
      <c r="D439" s="18" t="str">
        <f>IFERROR(VLOOKUP(C439,[3]Sheet2!$C$1:$F$1223,3,0),"")</f>
        <v/>
      </c>
      <c r="E439" s="18" t="str">
        <f>IFERROR(VLOOKUP(C439,[3]Sheet2!$C$1:$F$1223,4,0),"")</f>
        <v/>
      </c>
    </row>
    <row r="440" spans="2:5">
      <c r="B440" s="17" t="str">
        <f>IFERROR(VLOOKUP(C440,[3]Sheet2!$C$3:$F$1223,2,0),"")</f>
        <v/>
      </c>
      <c r="D440" s="18" t="str">
        <f>IFERROR(VLOOKUP(C440,[3]Sheet2!$C$1:$F$1223,3,0),"")</f>
        <v/>
      </c>
      <c r="E440" s="18" t="str">
        <f>IFERROR(VLOOKUP(C440,[3]Sheet2!$C$1:$F$1223,4,0),"")</f>
        <v/>
      </c>
    </row>
    <row r="441" spans="2:5">
      <c r="B441" s="17" t="str">
        <f>IFERROR(VLOOKUP(C441,[3]Sheet2!$C$3:$F$1223,2,0),"")</f>
        <v/>
      </c>
      <c r="D441" s="18" t="str">
        <f>IFERROR(VLOOKUP(C441,[3]Sheet2!$C$1:$F$1223,3,0),"")</f>
        <v/>
      </c>
      <c r="E441" s="18" t="str">
        <f>IFERROR(VLOOKUP(C441,[3]Sheet2!$C$1:$F$1223,4,0),"")</f>
        <v/>
      </c>
    </row>
    <row r="442" spans="2:5">
      <c r="B442" s="17" t="str">
        <f>IFERROR(VLOOKUP(C442,[3]Sheet2!$C$3:$F$1223,2,0),"")</f>
        <v/>
      </c>
      <c r="D442" s="18" t="str">
        <f>IFERROR(VLOOKUP(C442,[3]Sheet2!$C$1:$F$1223,3,0),"")</f>
        <v/>
      </c>
      <c r="E442" s="18" t="str">
        <f>IFERROR(VLOOKUP(C442,[3]Sheet2!$C$1:$F$1223,4,0),"")</f>
        <v/>
      </c>
    </row>
    <row r="443" spans="2:5">
      <c r="B443" s="17" t="str">
        <f>IFERROR(VLOOKUP(C443,[3]Sheet2!$C$3:$F$1223,2,0),"")</f>
        <v/>
      </c>
      <c r="D443" s="18" t="str">
        <f>IFERROR(VLOOKUP(C443,[3]Sheet2!$C$1:$F$1223,3,0),"")</f>
        <v/>
      </c>
      <c r="E443" s="18" t="str">
        <f>IFERROR(VLOOKUP(C443,[3]Sheet2!$C$1:$F$1223,4,0),"")</f>
        <v/>
      </c>
    </row>
    <row r="444" spans="2:5">
      <c r="B444" s="17" t="str">
        <f>IFERROR(VLOOKUP(C444,[3]Sheet2!$C$3:$F$1223,2,0),"")</f>
        <v/>
      </c>
      <c r="D444" s="18" t="str">
        <f>IFERROR(VLOOKUP(C444,[3]Sheet2!$C$1:$F$1223,3,0),"")</f>
        <v/>
      </c>
      <c r="E444" s="18" t="str">
        <f>IFERROR(VLOOKUP(C444,[3]Sheet2!$C$1:$F$1223,4,0),"")</f>
        <v/>
      </c>
    </row>
    <row r="445" spans="2:5">
      <c r="B445" s="17" t="str">
        <f>IFERROR(VLOOKUP(C445,[3]Sheet2!$C$3:$F$1223,2,0),"")</f>
        <v/>
      </c>
      <c r="D445" s="18" t="str">
        <f>IFERROR(VLOOKUP(C445,[3]Sheet2!$C$1:$F$1223,3,0),"")</f>
        <v/>
      </c>
      <c r="E445" s="18" t="str">
        <f>IFERROR(VLOOKUP(C445,[3]Sheet2!$C$1:$F$1223,4,0),"")</f>
        <v/>
      </c>
    </row>
    <row r="446" spans="2:5">
      <c r="B446" s="17" t="str">
        <f>IFERROR(VLOOKUP(C446,[3]Sheet2!$C$3:$F$1223,2,0),"")</f>
        <v/>
      </c>
      <c r="D446" s="18" t="str">
        <f>IFERROR(VLOOKUP(C446,[3]Sheet2!$C$1:$F$1223,3,0),"")</f>
        <v/>
      </c>
      <c r="E446" s="18" t="str">
        <f>IFERROR(VLOOKUP(C446,[3]Sheet2!$C$1:$F$1223,4,0),"")</f>
        <v/>
      </c>
    </row>
    <row r="447" spans="2:5">
      <c r="B447" s="17" t="str">
        <f>IFERROR(VLOOKUP(C447,[3]Sheet2!$C$3:$F$1223,2,0),"")</f>
        <v/>
      </c>
      <c r="D447" s="18" t="str">
        <f>IFERROR(VLOOKUP(C447,[3]Sheet2!$C$1:$F$1223,3,0),"")</f>
        <v/>
      </c>
      <c r="E447" s="18" t="str">
        <f>IFERROR(VLOOKUP(C447,[3]Sheet2!$C$1:$F$1223,4,0),"")</f>
        <v/>
      </c>
    </row>
    <row r="448" spans="2:5">
      <c r="B448" s="17" t="str">
        <f>IFERROR(VLOOKUP(C448,[3]Sheet2!$C$3:$F$1223,2,0),"")</f>
        <v/>
      </c>
      <c r="D448" s="18" t="str">
        <f>IFERROR(VLOOKUP(C448,[3]Sheet2!$C$1:$F$1223,3,0),"")</f>
        <v/>
      </c>
      <c r="E448" s="18" t="str">
        <f>IFERROR(VLOOKUP(C448,[3]Sheet2!$C$1:$F$1223,4,0),"")</f>
        <v/>
      </c>
    </row>
    <row r="449" spans="2:5">
      <c r="B449" s="17" t="str">
        <f>IFERROR(VLOOKUP(C449,[3]Sheet2!$C$3:$F$1223,2,0),"")</f>
        <v/>
      </c>
      <c r="D449" s="18" t="str">
        <f>IFERROR(VLOOKUP(C449,[3]Sheet2!$C$1:$F$1223,3,0),"")</f>
        <v/>
      </c>
      <c r="E449" s="18" t="str">
        <f>IFERROR(VLOOKUP(C449,[3]Sheet2!$C$1:$F$1223,4,0),"")</f>
        <v/>
      </c>
    </row>
    <row r="450" spans="2:5">
      <c r="B450" s="17" t="str">
        <f>IFERROR(VLOOKUP(C450,[3]Sheet2!$C$3:$F$1223,2,0),"")</f>
        <v/>
      </c>
      <c r="D450" s="18" t="str">
        <f>IFERROR(VLOOKUP(C450,[3]Sheet2!$C$1:$F$1223,3,0),"")</f>
        <v/>
      </c>
      <c r="E450" s="18" t="str">
        <f>IFERROR(VLOOKUP(C450,[3]Sheet2!$C$1:$F$1223,4,0),"")</f>
        <v/>
      </c>
    </row>
    <row r="451" spans="2:5">
      <c r="B451" s="17" t="str">
        <f>IFERROR(VLOOKUP(C451,[3]Sheet2!$C$3:$F$1223,2,0),"")</f>
        <v/>
      </c>
      <c r="D451" s="18" t="str">
        <f>IFERROR(VLOOKUP(C451,[3]Sheet2!$C$1:$F$1223,3,0),"")</f>
        <v/>
      </c>
      <c r="E451" s="18" t="str">
        <f>IFERROR(VLOOKUP(C451,[3]Sheet2!$C$1:$F$1223,4,0),"")</f>
        <v/>
      </c>
    </row>
    <row r="452" spans="2:5">
      <c r="B452" s="17" t="str">
        <f>IFERROR(VLOOKUP(C452,[3]Sheet2!$C$3:$F$1223,2,0),"")</f>
        <v/>
      </c>
      <c r="D452" s="18" t="str">
        <f>IFERROR(VLOOKUP(C452,[3]Sheet2!$C$1:$F$1223,3,0),"")</f>
        <v/>
      </c>
      <c r="E452" s="18" t="str">
        <f>IFERROR(VLOOKUP(C452,[3]Sheet2!$C$1:$F$1223,4,0),"")</f>
        <v/>
      </c>
    </row>
    <row r="453" spans="2:5">
      <c r="B453" s="17" t="str">
        <f>IFERROR(VLOOKUP(C453,[3]Sheet2!$C$3:$F$1223,2,0),"")</f>
        <v/>
      </c>
      <c r="D453" s="18" t="str">
        <f>IFERROR(VLOOKUP(C453,[3]Sheet2!$C$1:$F$1223,3,0),"")</f>
        <v/>
      </c>
      <c r="E453" s="18" t="str">
        <f>IFERROR(VLOOKUP(C453,[3]Sheet2!$C$1:$F$1223,4,0),"")</f>
        <v/>
      </c>
    </row>
    <row r="454" spans="2:5">
      <c r="B454" s="17" t="str">
        <f>IFERROR(VLOOKUP(C454,[3]Sheet2!$C$3:$F$1223,2,0),"")</f>
        <v/>
      </c>
      <c r="D454" s="18" t="str">
        <f>IFERROR(VLOOKUP(C454,[3]Sheet2!$C$1:$F$1223,3,0),"")</f>
        <v/>
      </c>
      <c r="E454" s="18" t="str">
        <f>IFERROR(VLOOKUP(C454,[3]Sheet2!$C$1:$F$1223,4,0),"")</f>
        <v/>
      </c>
    </row>
    <row r="455" spans="2:5">
      <c r="B455" s="17" t="str">
        <f>IFERROR(VLOOKUP(C455,[3]Sheet2!$C$3:$F$1223,2,0),"")</f>
        <v/>
      </c>
      <c r="D455" s="18" t="str">
        <f>IFERROR(VLOOKUP(C455,[3]Sheet2!$C$1:$F$1223,3,0),"")</f>
        <v/>
      </c>
      <c r="E455" s="18" t="str">
        <f>IFERROR(VLOOKUP(C455,[3]Sheet2!$C$1:$F$1223,4,0),"")</f>
        <v/>
      </c>
    </row>
    <row r="456" spans="2:5">
      <c r="B456" s="17" t="str">
        <f>IFERROR(VLOOKUP(C456,[3]Sheet2!$C$3:$F$1223,2,0),"")</f>
        <v/>
      </c>
      <c r="D456" s="18" t="str">
        <f>IFERROR(VLOOKUP(C456,[3]Sheet2!$C$1:$F$1223,3,0),"")</f>
        <v/>
      </c>
      <c r="E456" s="18" t="str">
        <f>IFERROR(VLOOKUP(C456,[3]Sheet2!$C$1:$F$1223,4,0),"")</f>
        <v/>
      </c>
    </row>
    <row r="457" spans="2:5">
      <c r="B457" s="17" t="str">
        <f>IFERROR(VLOOKUP(C457,[3]Sheet2!$C$3:$F$1223,2,0),"")</f>
        <v/>
      </c>
      <c r="D457" s="18" t="str">
        <f>IFERROR(VLOOKUP(C457,[3]Sheet2!$C$1:$F$1223,3,0),"")</f>
        <v/>
      </c>
      <c r="E457" s="18" t="str">
        <f>IFERROR(VLOOKUP(C457,[3]Sheet2!$C$1:$F$1223,4,0),"")</f>
        <v/>
      </c>
    </row>
    <row r="458" spans="2:5">
      <c r="B458" s="17" t="str">
        <f>IFERROR(VLOOKUP(C458,[3]Sheet2!$C$3:$F$1223,2,0),"")</f>
        <v/>
      </c>
      <c r="D458" s="18" t="str">
        <f>IFERROR(VLOOKUP(C458,[3]Sheet2!$C$1:$F$1223,3,0),"")</f>
        <v/>
      </c>
      <c r="E458" s="18" t="str">
        <f>IFERROR(VLOOKUP(C458,[3]Sheet2!$C$1:$F$1223,4,0),"")</f>
        <v/>
      </c>
    </row>
    <row r="459" spans="2:5">
      <c r="B459" s="17" t="str">
        <f>IFERROR(VLOOKUP(C459,[3]Sheet2!$C$3:$F$1223,2,0),"")</f>
        <v/>
      </c>
      <c r="D459" s="18" t="str">
        <f>IFERROR(VLOOKUP(C459,[3]Sheet2!$C$1:$F$1223,3,0),"")</f>
        <v/>
      </c>
      <c r="E459" s="18" t="str">
        <f>IFERROR(VLOOKUP(C459,[3]Sheet2!$C$1:$F$1223,4,0),"")</f>
        <v/>
      </c>
    </row>
    <row r="460" spans="2:5">
      <c r="B460" s="17" t="str">
        <f>IFERROR(VLOOKUP(C460,[3]Sheet2!$C$3:$F$1223,2,0),"")</f>
        <v/>
      </c>
      <c r="D460" s="18" t="str">
        <f>IFERROR(VLOOKUP(C460,[3]Sheet2!$C$1:$F$1223,3,0),"")</f>
        <v/>
      </c>
      <c r="E460" s="18" t="str">
        <f>IFERROR(VLOOKUP(C460,[3]Sheet2!$C$1:$F$1223,4,0),"")</f>
        <v/>
      </c>
    </row>
    <row r="461" spans="2:5">
      <c r="B461" s="17" t="str">
        <f>IFERROR(VLOOKUP(C461,[3]Sheet2!$C$3:$F$1223,2,0),"")</f>
        <v/>
      </c>
      <c r="D461" s="18" t="str">
        <f>IFERROR(VLOOKUP(C461,[3]Sheet2!$C$1:$F$1223,3,0),"")</f>
        <v/>
      </c>
      <c r="E461" s="18" t="str">
        <f>IFERROR(VLOOKUP(C461,[3]Sheet2!$C$1:$F$1223,4,0),"")</f>
        <v/>
      </c>
    </row>
    <row r="462" spans="2:5">
      <c r="B462" s="17" t="str">
        <f>IFERROR(VLOOKUP(C462,[3]Sheet2!$C$3:$F$1223,2,0),"")</f>
        <v/>
      </c>
      <c r="D462" s="18" t="str">
        <f>IFERROR(VLOOKUP(C462,[3]Sheet2!$C$1:$F$1223,3,0),"")</f>
        <v/>
      </c>
      <c r="E462" s="18" t="str">
        <f>IFERROR(VLOOKUP(C462,[3]Sheet2!$C$1:$F$1223,4,0),"")</f>
        <v/>
      </c>
    </row>
    <row r="463" spans="2:5">
      <c r="B463" s="17" t="str">
        <f>IFERROR(VLOOKUP(C463,[3]Sheet2!$C$3:$F$1223,2,0),"")</f>
        <v/>
      </c>
      <c r="D463" s="18" t="str">
        <f>IFERROR(VLOOKUP(C463,[3]Sheet2!$C$1:$F$1223,3,0),"")</f>
        <v/>
      </c>
      <c r="E463" s="18" t="str">
        <f>IFERROR(VLOOKUP(C463,[3]Sheet2!$C$1:$F$1223,4,0),"")</f>
        <v/>
      </c>
    </row>
    <row r="464" spans="2:5">
      <c r="B464" s="17" t="str">
        <f>IFERROR(VLOOKUP(C464,[3]Sheet2!$C$3:$F$1223,2,0),"")</f>
        <v/>
      </c>
      <c r="D464" s="18" t="str">
        <f>IFERROR(VLOOKUP(C464,[3]Sheet2!$C$1:$F$1223,3,0),"")</f>
        <v/>
      </c>
      <c r="E464" s="18" t="str">
        <f>IFERROR(VLOOKUP(C464,[3]Sheet2!$C$1:$F$1223,4,0),"")</f>
        <v/>
      </c>
    </row>
    <row r="465" spans="2:5">
      <c r="B465" s="17" t="str">
        <f>IFERROR(VLOOKUP(C465,[3]Sheet2!$C$3:$F$1223,2,0),"")</f>
        <v/>
      </c>
      <c r="D465" s="18" t="str">
        <f>IFERROR(VLOOKUP(C465,[3]Sheet2!$C$1:$F$1223,3,0),"")</f>
        <v/>
      </c>
      <c r="E465" s="18" t="str">
        <f>IFERROR(VLOOKUP(C465,[3]Sheet2!$C$1:$F$1223,4,0),"")</f>
        <v/>
      </c>
    </row>
    <row r="466" spans="2:5">
      <c r="B466" s="17" t="str">
        <f>IFERROR(VLOOKUP(C466,[3]Sheet2!$C$3:$F$1223,2,0),"")</f>
        <v/>
      </c>
      <c r="D466" s="18" t="str">
        <f>IFERROR(VLOOKUP(C466,[3]Sheet2!$C$1:$F$1223,3,0),"")</f>
        <v/>
      </c>
      <c r="E466" s="18" t="str">
        <f>IFERROR(VLOOKUP(C466,[3]Sheet2!$C$1:$F$1223,4,0),"")</f>
        <v/>
      </c>
    </row>
    <row r="467" spans="2:5">
      <c r="B467" s="17" t="str">
        <f>IFERROR(VLOOKUP(C467,[3]Sheet2!$C$3:$F$1223,2,0),"")</f>
        <v/>
      </c>
      <c r="D467" s="18" t="str">
        <f>IFERROR(VLOOKUP(C467,[3]Sheet2!$C$1:$F$1223,3,0),"")</f>
        <v/>
      </c>
      <c r="E467" s="18" t="str">
        <f>IFERROR(VLOOKUP(C467,[3]Sheet2!$C$1:$F$1223,4,0),"")</f>
        <v/>
      </c>
    </row>
    <row r="468" spans="2:5">
      <c r="B468" s="17" t="str">
        <f>IFERROR(VLOOKUP(C468,[3]Sheet2!$C$3:$F$1223,2,0),"")</f>
        <v/>
      </c>
      <c r="D468" s="18" t="str">
        <f>IFERROR(VLOOKUP(C468,[3]Sheet2!$C$1:$F$1223,3,0),"")</f>
        <v/>
      </c>
      <c r="E468" s="18" t="str">
        <f>IFERROR(VLOOKUP(C468,[3]Sheet2!$C$1:$F$1223,4,0),"")</f>
        <v/>
      </c>
    </row>
    <row r="469" spans="2:5">
      <c r="B469" s="17" t="str">
        <f>IFERROR(VLOOKUP(C469,[3]Sheet2!$C$3:$F$1223,2,0),"")</f>
        <v/>
      </c>
      <c r="D469" s="18" t="str">
        <f>IFERROR(VLOOKUP(C469,[3]Sheet2!$C$1:$F$1223,3,0),"")</f>
        <v/>
      </c>
      <c r="E469" s="18" t="str">
        <f>IFERROR(VLOOKUP(C469,[3]Sheet2!$C$1:$F$1223,4,0),"")</f>
        <v/>
      </c>
    </row>
    <row r="470" spans="2:5">
      <c r="B470" s="17" t="str">
        <f>IFERROR(VLOOKUP(C470,[3]Sheet2!$C$3:$F$1223,2,0),"")</f>
        <v/>
      </c>
      <c r="D470" s="18" t="str">
        <f>IFERROR(VLOOKUP(C470,[3]Sheet2!$C$1:$F$1223,3,0),"")</f>
        <v/>
      </c>
      <c r="E470" s="18" t="str">
        <f>IFERROR(VLOOKUP(C470,[3]Sheet2!$C$1:$F$1223,4,0),"")</f>
        <v/>
      </c>
    </row>
    <row r="471" spans="2:5">
      <c r="B471" s="17" t="str">
        <f>IFERROR(VLOOKUP(C471,[3]Sheet2!$C$3:$F$1223,2,0),"")</f>
        <v/>
      </c>
      <c r="D471" s="18" t="str">
        <f>IFERROR(VLOOKUP(C471,[3]Sheet2!$C$1:$F$1223,3,0),"")</f>
        <v/>
      </c>
      <c r="E471" s="18" t="str">
        <f>IFERROR(VLOOKUP(C471,[3]Sheet2!$C$1:$F$1223,4,0),"")</f>
        <v/>
      </c>
    </row>
    <row r="472" spans="2:5">
      <c r="B472" s="17" t="str">
        <f>IFERROR(VLOOKUP(C472,[3]Sheet2!$C$3:$F$1223,2,0),"")</f>
        <v/>
      </c>
      <c r="D472" s="18" t="str">
        <f>IFERROR(VLOOKUP(C472,[3]Sheet2!$C$1:$F$1223,3,0),"")</f>
        <v/>
      </c>
      <c r="E472" s="18" t="str">
        <f>IFERROR(VLOOKUP(C472,[3]Sheet2!$C$1:$F$1223,4,0),"")</f>
        <v/>
      </c>
    </row>
    <row r="473" spans="2:5">
      <c r="B473" s="17" t="str">
        <f>IFERROR(VLOOKUP(C473,[3]Sheet2!$C$3:$F$1223,2,0),"")</f>
        <v/>
      </c>
      <c r="D473" s="18" t="str">
        <f>IFERROR(VLOOKUP(C473,[3]Sheet2!$C$1:$F$1223,3,0),"")</f>
        <v/>
      </c>
      <c r="E473" s="18" t="str">
        <f>IFERROR(VLOOKUP(C473,[3]Sheet2!$C$1:$F$1223,4,0),"")</f>
        <v/>
      </c>
    </row>
    <row r="474" spans="2:5">
      <c r="B474" s="17" t="str">
        <f>IFERROR(VLOOKUP(C474,[3]Sheet2!$C$3:$F$1223,2,0),"")</f>
        <v/>
      </c>
      <c r="D474" s="18" t="str">
        <f>IFERROR(VLOOKUP(C474,[3]Sheet2!$C$1:$F$1223,3,0),"")</f>
        <v/>
      </c>
      <c r="E474" s="18" t="str">
        <f>IFERROR(VLOOKUP(C474,[3]Sheet2!$C$1:$F$1223,4,0),"")</f>
        <v/>
      </c>
    </row>
    <row r="475" spans="2:5">
      <c r="B475" s="17" t="str">
        <f>IFERROR(VLOOKUP(C475,[3]Sheet2!$C$3:$F$1223,2,0),"")</f>
        <v/>
      </c>
      <c r="D475" s="18" t="str">
        <f>IFERROR(VLOOKUP(C475,[3]Sheet2!$C$1:$F$1223,3,0),"")</f>
        <v/>
      </c>
      <c r="E475" s="18" t="str">
        <f>IFERROR(VLOOKUP(C475,[3]Sheet2!$C$1:$F$1223,4,0),"")</f>
        <v/>
      </c>
    </row>
    <row r="476" spans="2:5">
      <c r="B476" s="17" t="str">
        <f>IFERROR(VLOOKUP(C476,[3]Sheet2!$C$3:$F$1223,2,0),"")</f>
        <v/>
      </c>
      <c r="D476" s="18" t="str">
        <f>IFERROR(VLOOKUP(C476,[3]Sheet2!$C$1:$F$1223,3,0),"")</f>
        <v/>
      </c>
      <c r="E476" s="18" t="str">
        <f>IFERROR(VLOOKUP(C476,[3]Sheet2!$C$1:$F$1223,4,0),"")</f>
        <v/>
      </c>
    </row>
    <row r="477" spans="2:5">
      <c r="B477" s="17" t="str">
        <f>IFERROR(VLOOKUP(C477,[3]Sheet2!$C$3:$F$1223,2,0),"")</f>
        <v/>
      </c>
      <c r="D477" s="18" t="str">
        <f>IFERROR(VLOOKUP(C477,[3]Sheet2!$C$1:$F$1223,3,0),"")</f>
        <v/>
      </c>
      <c r="E477" s="18" t="str">
        <f>IFERROR(VLOOKUP(C477,[3]Sheet2!$C$1:$F$1223,4,0),"")</f>
        <v/>
      </c>
    </row>
    <row r="478" spans="2:5">
      <c r="B478" s="17" t="str">
        <f>IFERROR(VLOOKUP(C478,[3]Sheet2!$C$3:$F$1223,2,0),"")</f>
        <v/>
      </c>
      <c r="D478" s="18" t="str">
        <f>IFERROR(VLOOKUP(C478,[3]Sheet2!$C$1:$F$1223,3,0),"")</f>
        <v/>
      </c>
      <c r="E478" s="18" t="str">
        <f>IFERROR(VLOOKUP(C478,[3]Sheet2!$C$1:$F$1223,4,0),"")</f>
        <v/>
      </c>
    </row>
    <row r="479" spans="2:5">
      <c r="B479" s="17" t="str">
        <f>IFERROR(VLOOKUP(C479,[3]Sheet2!$C$3:$F$1223,2,0),"")</f>
        <v/>
      </c>
      <c r="D479" s="18" t="str">
        <f>IFERROR(VLOOKUP(C479,[3]Sheet2!$C$1:$F$1223,3,0),"")</f>
        <v/>
      </c>
      <c r="E479" s="18" t="str">
        <f>IFERROR(VLOOKUP(C479,[3]Sheet2!$C$1:$F$1223,4,0),"")</f>
        <v/>
      </c>
    </row>
    <row r="480" spans="2:5">
      <c r="B480" s="17" t="str">
        <f>IFERROR(VLOOKUP(C480,[3]Sheet2!$C$3:$F$1223,2,0),"")</f>
        <v/>
      </c>
      <c r="D480" s="18" t="str">
        <f>IFERROR(VLOOKUP(C480,[3]Sheet2!$C$1:$F$1223,3,0),"")</f>
        <v/>
      </c>
      <c r="E480" s="18" t="str">
        <f>IFERROR(VLOOKUP(C480,[3]Sheet2!$C$1:$F$1223,4,0),"")</f>
        <v/>
      </c>
    </row>
    <row r="481" spans="2:5">
      <c r="B481" s="17" t="str">
        <f>IFERROR(VLOOKUP(C481,[3]Sheet2!$C$3:$F$1223,2,0),"")</f>
        <v/>
      </c>
      <c r="D481" s="18" t="str">
        <f>IFERROR(VLOOKUP(C481,[3]Sheet2!$C$1:$F$1223,3,0),"")</f>
        <v/>
      </c>
      <c r="E481" s="18" t="str">
        <f>IFERROR(VLOOKUP(C481,[3]Sheet2!$C$1:$F$1223,4,0),"")</f>
        <v/>
      </c>
    </row>
    <row r="482" spans="2:5">
      <c r="B482" s="17" t="str">
        <f>IFERROR(VLOOKUP(C482,[3]Sheet2!$C$3:$F$1223,2,0),"")</f>
        <v/>
      </c>
      <c r="D482" s="18" t="str">
        <f>IFERROR(VLOOKUP(C482,[3]Sheet2!$C$1:$F$1223,3,0),"")</f>
        <v/>
      </c>
      <c r="E482" s="18" t="str">
        <f>IFERROR(VLOOKUP(C482,[3]Sheet2!$C$1:$F$1223,4,0),"")</f>
        <v/>
      </c>
    </row>
    <row r="483" spans="2:5">
      <c r="B483" s="17" t="str">
        <f>IFERROR(VLOOKUP(C483,[3]Sheet2!$C$3:$F$1223,2,0),"")</f>
        <v/>
      </c>
      <c r="D483" s="18" t="str">
        <f>IFERROR(VLOOKUP(C483,[3]Sheet2!$C$1:$F$1223,3,0),"")</f>
        <v/>
      </c>
      <c r="E483" s="18" t="str">
        <f>IFERROR(VLOOKUP(C483,[3]Sheet2!$C$1:$F$1223,4,0),"")</f>
        <v/>
      </c>
    </row>
    <row r="484" spans="2:5">
      <c r="B484" s="17" t="str">
        <f>IFERROR(VLOOKUP(C484,[3]Sheet2!$C$3:$F$1223,2,0),"")</f>
        <v/>
      </c>
      <c r="D484" s="18" t="str">
        <f>IFERROR(VLOOKUP(C484,[3]Sheet2!$C$1:$F$1223,3,0),"")</f>
        <v/>
      </c>
      <c r="E484" s="18" t="str">
        <f>IFERROR(VLOOKUP(C484,[3]Sheet2!$C$1:$F$1223,4,0),"")</f>
        <v/>
      </c>
    </row>
    <row r="485" spans="2:5">
      <c r="B485" s="17" t="str">
        <f>IFERROR(VLOOKUP(C485,[3]Sheet2!$C$3:$F$1223,2,0),"")</f>
        <v/>
      </c>
      <c r="D485" s="18" t="str">
        <f>IFERROR(VLOOKUP(C485,[3]Sheet2!$C$1:$F$1223,3,0),"")</f>
        <v/>
      </c>
      <c r="E485" s="18" t="str">
        <f>IFERROR(VLOOKUP(C485,[3]Sheet2!$C$1:$F$1223,4,0),"")</f>
        <v/>
      </c>
    </row>
    <row r="486" spans="2:5">
      <c r="B486" s="17" t="str">
        <f>IFERROR(VLOOKUP(C486,[3]Sheet2!$C$3:$F$1223,2,0),"")</f>
        <v/>
      </c>
      <c r="D486" s="18" t="str">
        <f>IFERROR(VLOOKUP(C486,[3]Sheet2!$C$1:$F$1223,3,0),"")</f>
        <v/>
      </c>
      <c r="E486" s="18" t="str">
        <f>IFERROR(VLOOKUP(C486,[3]Sheet2!$C$1:$F$1223,4,0),"")</f>
        <v/>
      </c>
    </row>
    <row r="487" spans="2:5">
      <c r="B487" s="17" t="str">
        <f>IFERROR(VLOOKUP(C487,[3]Sheet2!$C$3:$F$1223,2,0),"")</f>
        <v/>
      </c>
      <c r="D487" s="18" t="str">
        <f>IFERROR(VLOOKUP(C487,[3]Sheet2!$C$1:$F$1223,3,0),"")</f>
        <v/>
      </c>
      <c r="E487" s="18" t="str">
        <f>IFERROR(VLOOKUP(C487,[3]Sheet2!$C$1:$F$1223,4,0),"")</f>
        <v/>
      </c>
    </row>
    <row r="488" spans="2:5">
      <c r="B488" s="17" t="str">
        <f>IFERROR(VLOOKUP(C488,[3]Sheet2!$C$3:$F$1223,2,0),"")</f>
        <v/>
      </c>
      <c r="D488" s="18" t="str">
        <f>IFERROR(VLOOKUP(C488,[3]Sheet2!$C$1:$F$1223,3,0),"")</f>
        <v/>
      </c>
      <c r="E488" s="18" t="str">
        <f>IFERROR(VLOOKUP(C488,[3]Sheet2!$C$1:$F$1223,4,0),"")</f>
        <v/>
      </c>
    </row>
    <row r="489" spans="2:5">
      <c r="B489" s="17" t="str">
        <f>IFERROR(VLOOKUP(C489,[3]Sheet2!$C$3:$F$1223,2,0),"")</f>
        <v/>
      </c>
      <c r="D489" s="18" t="str">
        <f>IFERROR(VLOOKUP(C489,[3]Sheet2!$C$1:$F$1223,3,0),"")</f>
        <v/>
      </c>
      <c r="E489" s="18" t="str">
        <f>IFERROR(VLOOKUP(C489,[3]Sheet2!$C$1:$F$1223,4,0),"")</f>
        <v/>
      </c>
    </row>
    <row r="490" spans="2:5">
      <c r="B490" s="17" t="str">
        <f>IFERROR(VLOOKUP(C490,[3]Sheet2!$C$3:$F$1223,2,0),"")</f>
        <v/>
      </c>
      <c r="D490" s="18" t="str">
        <f>IFERROR(VLOOKUP(C490,[3]Sheet2!$C$1:$F$1223,3,0),"")</f>
        <v/>
      </c>
      <c r="E490" s="18" t="str">
        <f>IFERROR(VLOOKUP(C490,[3]Sheet2!$C$1:$F$1223,4,0),"")</f>
        <v/>
      </c>
    </row>
    <row r="491" spans="2:5">
      <c r="B491" s="17" t="str">
        <f>IFERROR(VLOOKUP(C491,[3]Sheet2!$C$3:$F$1223,2,0),"")</f>
        <v/>
      </c>
      <c r="D491" s="18" t="str">
        <f>IFERROR(VLOOKUP(C491,[3]Sheet2!$C$1:$F$1223,3,0),"")</f>
        <v/>
      </c>
      <c r="E491" s="18" t="str">
        <f>IFERROR(VLOOKUP(C491,[3]Sheet2!$C$1:$F$1223,4,0),"")</f>
        <v/>
      </c>
    </row>
    <row r="492" spans="2:5">
      <c r="B492" s="17" t="str">
        <f>IFERROR(VLOOKUP(C492,[3]Sheet2!$C$3:$F$1223,2,0),"")</f>
        <v/>
      </c>
      <c r="D492" s="18" t="str">
        <f>IFERROR(VLOOKUP(C492,[3]Sheet2!$C$1:$F$1223,3,0),"")</f>
        <v/>
      </c>
      <c r="E492" s="18" t="str">
        <f>IFERROR(VLOOKUP(C492,[3]Sheet2!$C$1:$F$1223,4,0),"")</f>
        <v/>
      </c>
    </row>
    <row r="493" spans="2:5">
      <c r="B493" s="17" t="str">
        <f>IFERROR(VLOOKUP(C493,[3]Sheet2!$C$3:$F$1223,2,0),"")</f>
        <v/>
      </c>
      <c r="D493" s="18" t="str">
        <f>IFERROR(VLOOKUP(C493,[3]Sheet2!$C$1:$F$1223,3,0),"")</f>
        <v/>
      </c>
      <c r="E493" s="18" t="str">
        <f>IFERROR(VLOOKUP(C493,[3]Sheet2!$C$1:$F$1223,4,0),"")</f>
        <v/>
      </c>
    </row>
    <row r="494" spans="2:5">
      <c r="B494" s="17" t="str">
        <f>IFERROR(VLOOKUP(C494,[3]Sheet2!$C$3:$F$1223,2,0),"")</f>
        <v/>
      </c>
      <c r="D494" s="18" t="str">
        <f>IFERROR(VLOOKUP(C494,[3]Sheet2!$C$1:$F$1223,3,0),"")</f>
        <v/>
      </c>
      <c r="E494" s="18" t="str">
        <f>IFERROR(VLOOKUP(C494,[3]Sheet2!$C$1:$F$1223,4,0),"")</f>
        <v/>
      </c>
    </row>
    <row r="495" spans="2:5">
      <c r="B495" s="17" t="str">
        <f>IFERROR(VLOOKUP(C495,[3]Sheet2!$C$3:$F$1223,2,0),"")</f>
        <v/>
      </c>
      <c r="D495" s="18" t="str">
        <f>IFERROR(VLOOKUP(C495,[3]Sheet2!$C$1:$F$1223,3,0),"")</f>
        <v/>
      </c>
      <c r="E495" s="18" t="str">
        <f>IFERROR(VLOOKUP(C495,[3]Sheet2!$C$1:$F$1223,4,0),"")</f>
        <v/>
      </c>
    </row>
    <row r="496" spans="2:5">
      <c r="B496" s="17" t="str">
        <f>IFERROR(VLOOKUP(C496,[3]Sheet2!$C$3:$F$1223,2,0),"")</f>
        <v/>
      </c>
      <c r="D496" s="18" t="str">
        <f>IFERROR(VLOOKUP(C496,[3]Sheet2!$C$1:$F$1223,3,0),"")</f>
        <v/>
      </c>
      <c r="E496" s="18" t="str">
        <f>IFERROR(VLOOKUP(C496,[3]Sheet2!$C$1:$F$1223,4,0),"")</f>
        <v/>
      </c>
    </row>
    <row r="497" spans="2:5">
      <c r="B497" s="17" t="str">
        <f>IFERROR(VLOOKUP(C497,[3]Sheet2!$C$3:$F$1223,2,0),"")</f>
        <v/>
      </c>
      <c r="D497" s="18" t="str">
        <f>IFERROR(VLOOKUP(C497,[3]Sheet2!$C$1:$F$1223,3,0),"")</f>
        <v/>
      </c>
      <c r="E497" s="18" t="str">
        <f>IFERROR(VLOOKUP(C497,[3]Sheet2!$C$1:$F$1223,4,0),"")</f>
        <v/>
      </c>
    </row>
    <row r="498" spans="2:5">
      <c r="B498" s="17" t="str">
        <f>IFERROR(VLOOKUP(C498,[3]Sheet2!$C$3:$F$1223,2,0),"")</f>
        <v/>
      </c>
      <c r="D498" s="18" t="str">
        <f>IFERROR(VLOOKUP(C498,[3]Sheet2!$C$1:$F$1223,3,0),"")</f>
        <v/>
      </c>
      <c r="E498" s="18" t="str">
        <f>IFERROR(VLOOKUP(C498,[3]Sheet2!$C$1:$F$1223,4,0),"")</f>
        <v/>
      </c>
    </row>
    <row r="499" spans="2:5">
      <c r="B499" s="17" t="str">
        <f>IFERROR(VLOOKUP(C499,[3]Sheet2!$C$3:$F$1223,2,0),"")</f>
        <v/>
      </c>
      <c r="D499" s="18" t="str">
        <f>IFERROR(VLOOKUP(C499,[3]Sheet2!$C$1:$F$1223,3,0),"")</f>
        <v/>
      </c>
      <c r="E499" s="18" t="str">
        <f>IFERROR(VLOOKUP(C499,[3]Sheet2!$C$1:$F$1223,4,0),"")</f>
        <v/>
      </c>
    </row>
    <row r="500" spans="2:5">
      <c r="B500" s="17" t="str">
        <f>IFERROR(VLOOKUP(C500,[3]Sheet2!$C$3:$F$1223,2,0),"")</f>
        <v/>
      </c>
      <c r="D500" s="18" t="str">
        <f>IFERROR(VLOOKUP(C500,[3]Sheet2!$C$1:$F$1223,3,0),"")</f>
        <v/>
      </c>
      <c r="E500" s="18" t="str">
        <f>IFERROR(VLOOKUP(C500,[3]Sheet2!$C$1:$F$1223,4,0),"")</f>
        <v/>
      </c>
    </row>
    <row r="501" spans="2:5">
      <c r="B501" s="17" t="str">
        <f>IFERROR(VLOOKUP(C501,[3]Sheet2!$C$3:$F$1223,2,0),"")</f>
        <v/>
      </c>
      <c r="D501" s="18" t="str">
        <f>IFERROR(VLOOKUP(C501,[3]Sheet2!$C$1:$F$1223,3,0),"")</f>
        <v/>
      </c>
      <c r="E501" s="18" t="str">
        <f>IFERROR(VLOOKUP(C501,[3]Sheet2!$C$1:$F$1223,4,0),"")</f>
        <v/>
      </c>
    </row>
    <row r="502" spans="2:5">
      <c r="B502" s="17" t="str">
        <f>IFERROR(VLOOKUP(C502,[3]Sheet2!$C$3:$F$1223,2,0),"")</f>
        <v/>
      </c>
      <c r="D502" s="18" t="str">
        <f>IFERROR(VLOOKUP(C502,[3]Sheet2!$C$1:$F$1223,3,0),"")</f>
        <v/>
      </c>
      <c r="E502" s="18" t="str">
        <f>IFERROR(VLOOKUP(C502,[3]Sheet2!$C$1:$F$1223,4,0),"")</f>
        <v/>
      </c>
    </row>
    <row r="503" spans="2:5">
      <c r="B503" s="17" t="str">
        <f>IFERROR(VLOOKUP(C503,[3]Sheet2!$C$3:$F$1223,2,0),"")</f>
        <v/>
      </c>
      <c r="D503" s="18" t="str">
        <f>IFERROR(VLOOKUP(C503,[3]Sheet2!$C$1:$F$1223,3,0),"")</f>
        <v/>
      </c>
      <c r="E503" s="18" t="str">
        <f>IFERROR(VLOOKUP(C503,[3]Sheet2!$C$1:$F$1223,4,0),"")</f>
        <v/>
      </c>
    </row>
    <row r="504" spans="2:5">
      <c r="B504" s="17" t="str">
        <f>IFERROR(VLOOKUP(C504,[3]Sheet2!$C$3:$F$1223,2,0),"")</f>
        <v/>
      </c>
      <c r="D504" s="18" t="str">
        <f>IFERROR(VLOOKUP(C504,[3]Sheet2!$C$1:$F$1223,3,0),"")</f>
        <v/>
      </c>
      <c r="E504" s="18" t="str">
        <f>IFERROR(VLOOKUP(C504,[3]Sheet2!$C$1:$F$1223,4,0),"")</f>
        <v/>
      </c>
    </row>
    <row r="505" spans="2:5">
      <c r="B505" s="17" t="str">
        <f>IFERROR(VLOOKUP(C505,[3]Sheet2!$C$3:$F$1223,2,0),"")</f>
        <v/>
      </c>
      <c r="D505" s="18" t="str">
        <f>IFERROR(VLOOKUP(C505,[3]Sheet2!$C$1:$F$1223,3,0),"")</f>
        <v/>
      </c>
      <c r="E505" s="18" t="str">
        <f>IFERROR(VLOOKUP(C505,[3]Sheet2!$C$1:$F$1223,4,0),"")</f>
        <v/>
      </c>
    </row>
    <row r="506" spans="2:5">
      <c r="B506" s="17" t="str">
        <f>IFERROR(VLOOKUP(C506,[3]Sheet2!$C$3:$F$1223,2,0),"")</f>
        <v/>
      </c>
      <c r="D506" s="18" t="str">
        <f>IFERROR(VLOOKUP(C506,[3]Sheet2!$C$1:$F$1223,3,0),"")</f>
        <v/>
      </c>
      <c r="E506" s="18" t="str">
        <f>IFERROR(VLOOKUP(C506,[3]Sheet2!$C$1:$F$1223,4,0),"")</f>
        <v/>
      </c>
    </row>
    <row r="507" spans="2:5">
      <c r="B507" s="17" t="str">
        <f>IFERROR(VLOOKUP(C507,[3]Sheet2!$C$3:$F$1223,2,0),"")</f>
        <v/>
      </c>
      <c r="D507" s="18" t="str">
        <f>IFERROR(VLOOKUP(C507,[3]Sheet2!$C$1:$F$1223,3,0),"")</f>
        <v/>
      </c>
      <c r="E507" s="18" t="str">
        <f>IFERROR(VLOOKUP(C507,[3]Sheet2!$C$1:$F$1223,4,0),"")</f>
        <v/>
      </c>
    </row>
    <row r="508" spans="2:5">
      <c r="B508" s="17" t="str">
        <f>IFERROR(VLOOKUP(C508,[3]Sheet2!$C$3:$F$1223,2,0),"")</f>
        <v/>
      </c>
      <c r="D508" s="18" t="str">
        <f>IFERROR(VLOOKUP(C508,[3]Sheet2!$C$1:$F$1223,3,0),"")</f>
        <v/>
      </c>
      <c r="E508" s="18" t="str">
        <f>IFERROR(VLOOKUP(C508,[3]Sheet2!$C$1:$F$1223,4,0),"")</f>
        <v/>
      </c>
    </row>
    <row r="509" spans="2:5">
      <c r="B509" s="17" t="str">
        <f>IFERROR(VLOOKUP(C509,[3]Sheet2!$C$3:$F$1223,2,0),"")</f>
        <v/>
      </c>
      <c r="D509" s="18" t="str">
        <f>IFERROR(VLOOKUP(C509,[3]Sheet2!$C$1:$F$1223,3,0),"")</f>
        <v/>
      </c>
      <c r="E509" s="18" t="str">
        <f>IFERROR(VLOOKUP(C509,[3]Sheet2!$C$1:$F$1223,4,0),"")</f>
        <v/>
      </c>
    </row>
    <row r="510" spans="2:5">
      <c r="B510" s="17" t="str">
        <f>IFERROR(VLOOKUP(C510,[3]Sheet2!$C$3:$F$1223,2,0),"")</f>
        <v/>
      </c>
      <c r="D510" s="18" t="str">
        <f>IFERROR(VLOOKUP(C510,[3]Sheet2!$C$1:$F$1223,3,0),"")</f>
        <v/>
      </c>
      <c r="E510" s="18" t="str">
        <f>IFERROR(VLOOKUP(C510,[3]Sheet2!$C$1:$F$1223,4,0),"")</f>
        <v/>
      </c>
    </row>
    <row r="511" spans="2:5">
      <c r="B511" s="17" t="str">
        <f>IFERROR(VLOOKUP(C511,[3]Sheet2!$C$3:$F$1223,2,0),"")</f>
        <v/>
      </c>
      <c r="D511" s="18" t="str">
        <f>IFERROR(VLOOKUP(C511,[3]Sheet2!$C$1:$F$1223,3,0),"")</f>
        <v/>
      </c>
      <c r="E511" s="18" t="str">
        <f>IFERROR(VLOOKUP(C511,[3]Sheet2!$C$1:$F$1223,4,0),"")</f>
        <v/>
      </c>
    </row>
    <row r="512" spans="2:5">
      <c r="B512" s="17" t="str">
        <f>IFERROR(VLOOKUP(C512,[3]Sheet2!$C$3:$F$1223,2,0),"")</f>
        <v/>
      </c>
      <c r="D512" s="18" t="str">
        <f>IFERROR(VLOOKUP(C512,[3]Sheet2!$C$1:$F$1223,3,0),"")</f>
        <v/>
      </c>
      <c r="E512" s="18" t="str">
        <f>IFERROR(VLOOKUP(C512,[3]Sheet2!$C$1:$F$1223,4,0),"")</f>
        <v/>
      </c>
    </row>
    <row r="513" spans="2:5">
      <c r="B513" s="17" t="str">
        <f>IFERROR(VLOOKUP(C513,[3]Sheet2!$C$3:$F$1223,2,0),"")</f>
        <v/>
      </c>
      <c r="D513" s="18" t="str">
        <f>IFERROR(VLOOKUP(C513,[3]Sheet2!$C$1:$F$1223,3,0),"")</f>
        <v/>
      </c>
      <c r="E513" s="18" t="str">
        <f>IFERROR(VLOOKUP(C513,[3]Sheet2!$C$1:$F$1223,4,0),"")</f>
        <v/>
      </c>
    </row>
    <row r="514" spans="2:5">
      <c r="B514" s="17" t="str">
        <f>IFERROR(VLOOKUP(C514,[3]Sheet2!$C$3:$F$1223,2,0),"")</f>
        <v/>
      </c>
      <c r="D514" s="18" t="str">
        <f>IFERROR(VLOOKUP(C514,[3]Sheet2!$C$1:$F$1223,3,0),"")</f>
        <v/>
      </c>
      <c r="E514" s="18" t="str">
        <f>IFERROR(VLOOKUP(C514,[3]Sheet2!$C$1:$F$1223,4,0),"")</f>
        <v/>
      </c>
    </row>
    <row r="515" spans="2:5">
      <c r="B515" s="17" t="str">
        <f>IFERROR(VLOOKUP(C515,[3]Sheet2!$C$3:$F$1223,2,0),"")</f>
        <v/>
      </c>
      <c r="D515" s="18" t="str">
        <f>IFERROR(VLOOKUP(C515,[3]Sheet2!$C$1:$F$1223,3,0),"")</f>
        <v/>
      </c>
      <c r="E515" s="18" t="str">
        <f>IFERROR(VLOOKUP(C515,[3]Sheet2!$C$1:$F$1223,4,0),"")</f>
        <v/>
      </c>
    </row>
    <row r="516" spans="2:5">
      <c r="B516" s="17" t="str">
        <f>IFERROR(VLOOKUP(C516,[3]Sheet2!$C$3:$F$1223,2,0),"")</f>
        <v/>
      </c>
      <c r="D516" s="18" t="str">
        <f>IFERROR(VLOOKUP(C516,[3]Sheet2!$C$1:$F$1223,3,0),"")</f>
        <v/>
      </c>
      <c r="E516" s="18" t="str">
        <f>IFERROR(VLOOKUP(C516,[3]Sheet2!$C$1:$F$1223,4,0),"")</f>
        <v/>
      </c>
    </row>
    <row r="517" spans="2:5">
      <c r="B517" s="17" t="str">
        <f>IFERROR(VLOOKUP(C517,[3]Sheet2!$C$3:$F$1223,2,0),"")</f>
        <v/>
      </c>
      <c r="D517" s="18" t="str">
        <f>IFERROR(VLOOKUP(C517,[3]Sheet2!$C$1:$F$1223,3,0),"")</f>
        <v/>
      </c>
      <c r="E517" s="18" t="str">
        <f>IFERROR(VLOOKUP(C517,[3]Sheet2!$C$1:$F$1223,4,0),"")</f>
        <v/>
      </c>
    </row>
    <row r="518" spans="2:5">
      <c r="B518" s="17" t="str">
        <f>IFERROR(VLOOKUP(C518,[3]Sheet2!$C$3:$F$1223,2,0),"")</f>
        <v/>
      </c>
      <c r="D518" s="18" t="str">
        <f>IFERROR(VLOOKUP(C518,[3]Sheet2!$C$1:$F$1223,3,0),"")</f>
        <v/>
      </c>
      <c r="E518" s="18" t="str">
        <f>IFERROR(VLOOKUP(C518,[3]Sheet2!$C$1:$F$1223,4,0),"")</f>
        <v/>
      </c>
    </row>
    <row r="519" spans="2:5">
      <c r="B519" s="17" t="str">
        <f>IFERROR(VLOOKUP(C519,[3]Sheet2!$C$3:$F$1223,2,0),"")</f>
        <v/>
      </c>
      <c r="D519" s="18" t="str">
        <f>IFERROR(VLOOKUP(C519,[3]Sheet2!$C$1:$F$1223,3,0),"")</f>
        <v/>
      </c>
      <c r="E519" s="18" t="str">
        <f>IFERROR(VLOOKUP(C519,[3]Sheet2!$C$1:$F$1223,4,0),"")</f>
        <v/>
      </c>
    </row>
    <row r="520" spans="2:5">
      <c r="B520" s="17" t="str">
        <f>IFERROR(VLOOKUP(C520,[3]Sheet2!$C$3:$F$1223,2,0),"")</f>
        <v/>
      </c>
      <c r="D520" s="18" t="str">
        <f>IFERROR(VLOOKUP(C520,[3]Sheet2!$C$1:$F$1223,3,0),"")</f>
        <v/>
      </c>
      <c r="E520" s="18" t="str">
        <f>IFERROR(VLOOKUP(C520,[3]Sheet2!$C$1:$F$1223,4,0),"")</f>
        <v/>
      </c>
    </row>
    <row r="521" spans="2:5">
      <c r="B521" s="17" t="str">
        <f>IFERROR(VLOOKUP(C521,[3]Sheet2!$C$3:$F$1223,2,0),"")</f>
        <v/>
      </c>
      <c r="D521" s="18" t="str">
        <f>IFERROR(VLOOKUP(C521,[3]Sheet2!$C$1:$F$1223,3,0),"")</f>
        <v/>
      </c>
      <c r="E521" s="18" t="str">
        <f>IFERROR(VLOOKUP(C521,[3]Sheet2!$C$1:$F$1223,4,0),"")</f>
        <v/>
      </c>
    </row>
    <row r="522" spans="2:5">
      <c r="B522" s="17" t="str">
        <f>IFERROR(VLOOKUP(C522,[3]Sheet2!$C$3:$F$1223,2,0),"")</f>
        <v/>
      </c>
      <c r="D522" s="18" t="str">
        <f>IFERROR(VLOOKUP(C522,[3]Sheet2!$C$1:$F$1223,3,0),"")</f>
        <v/>
      </c>
      <c r="E522" s="18" t="str">
        <f>IFERROR(VLOOKUP(C522,[3]Sheet2!$C$1:$F$1223,4,0),"")</f>
        <v/>
      </c>
    </row>
    <row r="523" spans="2:5">
      <c r="B523" s="17" t="str">
        <f>IFERROR(VLOOKUP(C523,[3]Sheet2!$C$3:$F$1223,2,0),"")</f>
        <v/>
      </c>
      <c r="D523" s="18" t="str">
        <f>IFERROR(VLOOKUP(C523,[3]Sheet2!$C$1:$F$1223,3,0),"")</f>
        <v/>
      </c>
      <c r="E523" s="18" t="str">
        <f>IFERROR(VLOOKUP(C523,[3]Sheet2!$C$1:$F$1223,4,0),"")</f>
        <v/>
      </c>
    </row>
    <row r="524" spans="2:5">
      <c r="B524" s="17" t="str">
        <f>IFERROR(VLOOKUP(C524,[3]Sheet2!$C$3:$F$1223,2,0),"")</f>
        <v/>
      </c>
      <c r="D524" s="18" t="str">
        <f>IFERROR(VLOOKUP(C524,[3]Sheet2!$C$1:$F$1223,3,0),"")</f>
        <v/>
      </c>
      <c r="E524" s="18" t="str">
        <f>IFERROR(VLOOKUP(C524,[3]Sheet2!$C$1:$F$1223,4,0),"")</f>
        <v/>
      </c>
    </row>
    <row r="525" spans="2:5">
      <c r="B525" s="17" t="str">
        <f>IFERROR(VLOOKUP(C525,[3]Sheet2!$C$3:$F$1223,2,0),"")</f>
        <v/>
      </c>
      <c r="D525" s="18" t="str">
        <f>IFERROR(VLOOKUP(C525,[3]Sheet2!$C$1:$F$1223,3,0),"")</f>
        <v/>
      </c>
      <c r="E525" s="18" t="str">
        <f>IFERROR(VLOOKUP(C525,[3]Sheet2!$C$1:$F$1223,4,0),"")</f>
        <v/>
      </c>
    </row>
    <row r="526" spans="2:5">
      <c r="B526" s="17" t="str">
        <f>IFERROR(VLOOKUP(C526,[3]Sheet2!$C$3:$F$1223,2,0),"")</f>
        <v/>
      </c>
      <c r="D526" s="18" t="str">
        <f>IFERROR(VLOOKUP(C526,[3]Sheet2!$C$1:$F$1223,3,0),"")</f>
        <v/>
      </c>
      <c r="E526" s="18" t="str">
        <f>IFERROR(VLOOKUP(C526,[3]Sheet2!$C$1:$F$1223,4,0),"")</f>
        <v/>
      </c>
    </row>
    <row r="527" spans="2:5">
      <c r="B527" s="17" t="str">
        <f>IFERROR(VLOOKUP(C527,[3]Sheet2!$C$3:$F$1223,2,0),"")</f>
        <v/>
      </c>
      <c r="D527" s="18" t="str">
        <f>IFERROR(VLOOKUP(C527,[3]Sheet2!$C$1:$F$1223,3,0),"")</f>
        <v/>
      </c>
      <c r="E527" s="18" t="str">
        <f>IFERROR(VLOOKUP(C527,[3]Sheet2!$C$1:$F$1223,4,0),"")</f>
        <v/>
      </c>
    </row>
    <row r="528" spans="2:5">
      <c r="B528" s="17" t="str">
        <f>IFERROR(VLOOKUP(C528,[3]Sheet2!$C$3:$F$1223,2,0),"")</f>
        <v/>
      </c>
      <c r="D528" s="18" t="str">
        <f>IFERROR(VLOOKUP(C528,[3]Sheet2!$C$1:$F$1223,3,0),"")</f>
        <v/>
      </c>
      <c r="E528" s="18" t="str">
        <f>IFERROR(VLOOKUP(C528,[3]Sheet2!$C$1:$F$1223,4,0),"")</f>
        <v/>
      </c>
    </row>
    <row r="529" spans="2:5">
      <c r="B529" s="17" t="str">
        <f>IFERROR(VLOOKUP(C529,[3]Sheet2!$C$3:$F$1223,2,0),"")</f>
        <v/>
      </c>
      <c r="D529" s="18" t="str">
        <f>IFERROR(VLOOKUP(C529,[3]Sheet2!$C$1:$F$1223,3,0),"")</f>
        <v/>
      </c>
      <c r="E529" s="18" t="str">
        <f>IFERROR(VLOOKUP(C529,[3]Sheet2!$C$1:$F$1223,4,0),"")</f>
        <v/>
      </c>
    </row>
    <row r="530" spans="2:5">
      <c r="B530" s="17" t="str">
        <f>IFERROR(VLOOKUP(C530,[3]Sheet2!$C$3:$F$1223,2,0),"")</f>
        <v/>
      </c>
      <c r="D530" s="18" t="str">
        <f>IFERROR(VLOOKUP(C530,[3]Sheet2!$C$1:$F$1223,3,0),"")</f>
        <v/>
      </c>
      <c r="E530" s="18" t="str">
        <f>IFERROR(VLOOKUP(C530,[3]Sheet2!$C$1:$F$1223,4,0),"")</f>
        <v/>
      </c>
    </row>
    <row r="531" spans="2:5">
      <c r="B531" s="17" t="str">
        <f>IFERROR(VLOOKUP(C531,[3]Sheet2!$C$3:$F$1223,2,0),"")</f>
        <v/>
      </c>
      <c r="D531" s="18" t="str">
        <f>IFERROR(VLOOKUP(C531,[3]Sheet2!$C$1:$F$1223,3,0),"")</f>
        <v/>
      </c>
      <c r="E531" s="18" t="str">
        <f>IFERROR(VLOOKUP(C531,[3]Sheet2!$C$1:$F$1223,4,0),"")</f>
        <v/>
      </c>
    </row>
    <row r="532" spans="2:5">
      <c r="B532" s="17" t="str">
        <f>IFERROR(VLOOKUP(C532,[3]Sheet2!$C$3:$F$1223,2,0),"")</f>
        <v/>
      </c>
      <c r="D532" s="18" t="str">
        <f>IFERROR(VLOOKUP(C532,[3]Sheet2!$C$1:$F$1223,3,0),"")</f>
        <v/>
      </c>
      <c r="E532" s="18" t="str">
        <f>IFERROR(VLOOKUP(C532,[3]Sheet2!$C$1:$F$1223,4,0),"")</f>
        <v/>
      </c>
    </row>
    <row r="533" spans="2:5">
      <c r="B533" s="17" t="str">
        <f>IFERROR(VLOOKUP(C533,[3]Sheet2!$C$3:$F$1223,2,0),"")</f>
        <v/>
      </c>
      <c r="D533" s="18" t="str">
        <f>IFERROR(VLOOKUP(C533,[3]Sheet2!$C$1:$F$1223,3,0),"")</f>
        <v/>
      </c>
      <c r="E533" s="18" t="str">
        <f>IFERROR(VLOOKUP(C533,[3]Sheet2!$C$1:$F$1223,4,0),"")</f>
        <v/>
      </c>
    </row>
    <row r="534" spans="2:5">
      <c r="B534" s="17" t="str">
        <f>IFERROR(VLOOKUP(C534,[3]Sheet2!$C$3:$F$1223,2,0),"")</f>
        <v/>
      </c>
      <c r="D534" s="18" t="str">
        <f>IFERROR(VLOOKUP(C534,[3]Sheet2!$C$1:$F$1223,3,0),"")</f>
        <v/>
      </c>
      <c r="E534" s="18" t="str">
        <f>IFERROR(VLOOKUP(C534,[3]Sheet2!$C$1:$F$1223,4,0),"")</f>
        <v/>
      </c>
    </row>
    <row r="535" spans="2:5">
      <c r="B535" s="17" t="str">
        <f>IFERROR(VLOOKUP(C535,[3]Sheet2!$C$3:$F$1223,2,0),"")</f>
        <v/>
      </c>
      <c r="D535" s="18" t="str">
        <f>IFERROR(VLOOKUP(C535,[3]Sheet2!$C$1:$F$1223,3,0),"")</f>
        <v/>
      </c>
      <c r="E535" s="18" t="str">
        <f>IFERROR(VLOOKUP(C535,[3]Sheet2!$C$1:$F$1223,4,0),"")</f>
        <v/>
      </c>
    </row>
    <row r="536" spans="2:5">
      <c r="B536" s="17" t="str">
        <f>IFERROR(VLOOKUP(C536,[3]Sheet2!$C$3:$F$1223,2,0),"")</f>
        <v/>
      </c>
      <c r="D536" s="18" t="str">
        <f>IFERROR(VLOOKUP(C536,[3]Sheet2!$C$1:$F$1223,3,0),"")</f>
        <v/>
      </c>
      <c r="E536" s="18" t="str">
        <f>IFERROR(VLOOKUP(C536,[3]Sheet2!$C$1:$F$1223,4,0),"")</f>
        <v/>
      </c>
    </row>
    <row r="537" spans="2:5">
      <c r="B537" s="17" t="str">
        <f>IFERROR(VLOOKUP(C537,[3]Sheet2!$C$3:$F$1223,2,0),"")</f>
        <v/>
      </c>
      <c r="D537" s="18" t="str">
        <f>IFERROR(VLOOKUP(C537,[3]Sheet2!$C$1:$F$1223,3,0),"")</f>
        <v/>
      </c>
      <c r="E537" s="18" t="str">
        <f>IFERROR(VLOOKUP(C537,[3]Sheet2!$C$1:$F$1223,4,0),"")</f>
        <v/>
      </c>
    </row>
    <row r="538" spans="2:5">
      <c r="B538" s="17" t="str">
        <f>IFERROR(VLOOKUP(C538,[3]Sheet2!$C$3:$F$1223,2,0),"")</f>
        <v/>
      </c>
      <c r="D538" s="18" t="str">
        <f>IFERROR(VLOOKUP(C538,[3]Sheet2!$C$1:$F$1223,3,0),"")</f>
        <v/>
      </c>
      <c r="E538" s="18" t="str">
        <f>IFERROR(VLOOKUP(C538,[3]Sheet2!$C$1:$F$1223,4,0),"")</f>
        <v/>
      </c>
    </row>
    <row r="539" spans="2:5">
      <c r="B539" s="17" t="str">
        <f>IFERROR(VLOOKUP(C539,[3]Sheet2!$C$3:$F$1223,2,0),"")</f>
        <v/>
      </c>
      <c r="D539" s="18" t="str">
        <f>IFERROR(VLOOKUP(C539,[3]Sheet2!$C$1:$F$1223,3,0),"")</f>
        <v/>
      </c>
      <c r="E539" s="18" t="str">
        <f>IFERROR(VLOOKUP(C539,[3]Sheet2!$C$1:$F$1223,4,0),"")</f>
        <v/>
      </c>
    </row>
    <row r="540" spans="2:5">
      <c r="B540" s="17" t="str">
        <f>IFERROR(VLOOKUP(C540,[3]Sheet2!$C$3:$F$1223,2,0),"")</f>
        <v/>
      </c>
      <c r="D540" s="18" t="str">
        <f>IFERROR(VLOOKUP(C540,[3]Sheet2!$C$1:$F$1223,3,0),"")</f>
        <v/>
      </c>
      <c r="E540" s="18" t="str">
        <f>IFERROR(VLOOKUP(C540,[3]Sheet2!$C$1:$F$1223,4,0),"")</f>
        <v/>
      </c>
    </row>
    <row r="541" spans="2:5">
      <c r="B541" s="17" t="str">
        <f>IFERROR(VLOOKUP(C541,[3]Sheet2!$C$3:$F$1223,2,0),"")</f>
        <v/>
      </c>
      <c r="D541" s="18" t="str">
        <f>IFERROR(VLOOKUP(C541,[3]Sheet2!$C$1:$F$1223,3,0),"")</f>
        <v/>
      </c>
      <c r="E541" s="18" t="str">
        <f>IFERROR(VLOOKUP(C541,[3]Sheet2!$C$1:$F$1223,4,0),"")</f>
        <v/>
      </c>
    </row>
    <row r="542" spans="2:5">
      <c r="B542" s="17" t="str">
        <f>IFERROR(VLOOKUP(C542,[3]Sheet2!$C$3:$F$1223,2,0),"")</f>
        <v/>
      </c>
      <c r="D542" s="18" t="str">
        <f>IFERROR(VLOOKUP(C542,[3]Sheet2!$C$1:$F$1223,3,0),"")</f>
        <v/>
      </c>
      <c r="E542" s="18" t="str">
        <f>IFERROR(VLOOKUP(C542,[3]Sheet2!$C$1:$F$1223,4,0),"")</f>
        <v/>
      </c>
    </row>
    <row r="543" spans="2:5">
      <c r="B543" s="17" t="str">
        <f>IFERROR(VLOOKUP(C543,[3]Sheet2!$C$3:$F$1223,2,0),"")</f>
        <v/>
      </c>
      <c r="D543" s="18" t="str">
        <f>IFERROR(VLOOKUP(C543,[3]Sheet2!$C$1:$F$1223,3,0),"")</f>
        <v/>
      </c>
      <c r="E543" s="18" t="str">
        <f>IFERROR(VLOOKUP(C543,[3]Sheet2!$C$1:$F$1223,4,0),"")</f>
        <v/>
      </c>
    </row>
    <row r="544" spans="2:5">
      <c r="B544" s="17" t="str">
        <f>IFERROR(VLOOKUP(C544,[3]Sheet2!$C$3:$F$1223,2,0),"")</f>
        <v/>
      </c>
      <c r="D544" s="18" t="str">
        <f>IFERROR(VLOOKUP(C544,[3]Sheet2!$C$1:$F$1223,3,0),"")</f>
        <v/>
      </c>
      <c r="E544" s="18" t="str">
        <f>IFERROR(VLOOKUP(C544,[3]Sheet2!$C$1:$F$1223,4,0),"")</f>
        <v/>
      </c>
    </row>
    <row r="545" spans="2:5">
      <c r="B545" s="17" t="str">
        <f>IFERROR(VLOOKUP(C545,[3]Sheet2!$C$3:$F$1223,2,0),"")</f>
        <v/>
      </c>
      <c r="D545" s="18" t="str">
        <f>IFERROR(VLOOKUP(C545,[3]Sheet2!$C$1:$F$1223,3,0),"")</f>
        <v/>
      </c>
      <c r="E545" s="18" t="str">
        <f>IFERROR(VLOOKUP(C545,[3]Sheet2!$C$1:$F$1223,4,0),"")</f>
        <v/>
      </c>
    </row>
    <row r="546" spans="2:5">
      <c r="B546" s="17" t="str">
        <f>IFERROR(VLOOKUP(C546,[3]Sheet2!$C$3:$F$1223,2,0),"")</f>
        <v/>
      </c>
      <c r="D546" s="18" t="str">
        <f>IFERROR(VLOOKUP(C546,[3]Sheet2!$C$1:$F$1223,3,0),"")</f>
        <v/>
      </c>
      <c r="E546" s="18" t="str">
        <f>IFERROR(VLOOKUP(C546,[3]Sheet2!$C$1:$F$1223,4,0),"")</f>
        <v/>
      </c>
    </row>
    <row r="547" spans="2:5">
      <c r="B547" s="17" t="str">
        <f>IFERROR(VLOOKUP(C547,[3]Sheet2!$C$3:$F$1223,2,0),"")</f>
        <v/>
      </c>
      <c r="D547" s="18" t="str">
        <f>IFERROR(VLOOKUP(C547,[3]Sheet2!$C$1:$F$1223,3,0),"")</f>
        <v/>
      </c>
      <c r="E547" s="18" t="str">
        <f>IFERROR(VLOOKUP(C547,[3]Sheet2!$C$1:$F$1223,4,0),"")</f>
        <v/>
      </c>
    </row>
    <row r="548" spans="2:5">
      <c r="B548" s="17" t="str">
        <f>IFERROR(VLOOKUP(C548,[3]Sheet2!$C$3:$F$1223,2,0),"")</f>
        <v/>
      </c>
      <c r="D548" s="18" t="str">
        <f>IFERROR(VLOOKUP(C548,[3]Sheet2!$C$1:$F$1223,3,0),"")</f>
        <v/>
      </c>
      <c r="E548" s="18" t="str">
        <f>IFERROR(VLOOKUP(C548,[3]Sheet2!$C$1:$F$1223,4,0),"")</f>
        <v/>
      </c>
    </row>
    <row r="549" spans="2:5">
      <c r="B549" s="17" t="str">
        <f>IFERROR(VLOOKUP(C549,[3]Sheet2!$C$3:$F$1223,2,0),"")</f>
        <v/>
      </c>
      <c r="D549" s="18" t="str">
        <f>IFERROR(VLOOKUP(C549,[3]Sheet2!$C$1:$F$1223,3,0),"")</f>
        <v/>
      </c>
      <c r="E549" s="18" t="str">
        <f>IFERROR(VLOOKUP(C549,[3]Sheet2!$C$1:$F$1223,4,0),"")</f>
        <v/>
      </c>
    </row>
    <row r="550" spans="2:5">
      <c r="B550" s="17" t="str">
        <f>IFERROR(VLOOKUP(C550,[3]Sheet2!$C$3:$F$1223,2,0),"")</f>
        <v/>
      </c>
      <c r="D550" s="18" t="str">
        <f>IFERROR(VLOOKUP(C550,[3]Sheet2!$C$1:$F$1223,3,0),"")</f>
        <v/>
      </c>
      <c r="E550" s="18" t="str">
        <f>IFERROR(VLOOKUP(C550,[3]Sheet2!$C$1:$F$1223,4,0),"")</f>
        <v/>
      </c>
    </row>
    <row r="551" spans="2:5">
      <c r="B551" s="17" t="str">
        <f>IFERROR(VLOOKUP(C551,[3]Sheet2!$C$3:$F$1223,2,0),"")</f>
        <v/>
      </c>
      <c r="D551" s="18" t="str">
        <f>IFERROR(VLOOKUP(C551,[3]Sheet2!$C$1:$F$1223,3,0),"")</f>
        <v/>
      </c>
      <c r="E551" s="18" t="str">
        <f>IFERROR(VLOOKUP(C551,[3]Sheet2!$C$1:$F$1223,4,0),"")</f>
        <v/>
      </c>
    </row>
    <row r="552" spans="2:5">
      <c r="B552" s="17" t="str">
        <f>IFERROR(VLOOKUP(C552,[3]Sheet2!$C$3:$F$1223,2,0),"")</f>
        <v/>
      </c>
      <c r="D552" s="18" t="str">
        <f>IFERROR(VLOOKUP(C552,[3]Sheet2!$C$1:$F$1223,3,0),"")</f>
        <v/>
      </c>
      <c r="E552" s="18" t="str">
        <f>IFERROR(VLOOKUP(C552,[3]Sheet2!$C$1:$F$1223,4,0),"")</f>
        <v/>
      </c>
    </row>
    <row r="553" spans="2:5">
      <c r="B553" s="17" t="str">
        <f>IFERROR(VLOOKUP(C553,[3]Sheet2!$C$3:$F$1223,2,0),"")</f>
        <v/>
      </c>
      <c r="D553" s="18" t="str">
        <f>IFERROR(VLOOKUP(C553,[3]Sheet2!$C$1:$F$1223,3,0),"")</f>
        <v/>
      </c>
      <c r="E553" s="18" t="str">
        <f>IFERROR(VLOOKUP(C553,[3]Sheet2!$C$1:$F$1223,4,0),"")</f>
        <v/>
      </c>
    </row>
    <row r="554" spans="2:5">
      <c r="B554" s="17" t="str">
        <f>IFERROR(VLOOKUP(C554,[3]Sheet2!$C$3:$F$1223,2,0),"")</f>
        <v/>
      </c>
      <c r="D554" s="18" t="str">
        <f>IFERROR(VLOOKUP(C554,[3]Sheet2!$C$1:$F$1223,3,0),"")</f>
        <v/>
      </c>
      <c r="E554" s="18" t="str">
        <f>IFERROR(VLOOKUP(C554,[3]Sheet2!$C$1:$F$1223,4,0),"")</f>
        <v/>
      </c>
    </row>
    <row r="555" spans="2:5">
      <c r="B555" s="17" t="str">
        <f>IFERROR(VLOOKUP(C555,[3]Sheet2!$C$3:$F$1223,2,0),"")</f>
        <v/>
      </c>
      <c r="D555" s="18" t="str">
        <f>IFERROR(VLOOKUP(C555,[3]Sheet2!$C$1:$F$1223,3,0),"")</f>
        <v/>
      </c>
      <c r="E555" s="18" t="str">
        <f>IFERROR(VLOOKUP(C555,[3]Sheet2!$C$1:$F$1223,4,0),"")</f>
        <v/>
      </c>
    </row>
    <row r="556" spans="2:5">
      <c r="B556" s="17" t="str">
        <f>IFERROR(VLOOKUP(C556,[3]Sheet2!$C$3:$F$1223,2,0),"")</f>
        <v/>
      </c>
      <c r="D556" s="18" t="str">
        <f>IFERROR(VLOOKUP(C556,[3]Sheet2!$C$1:$F$1223,3,0),"")</f>
        <v/>
      </c>
      <c r="E556" s="18" t="str">
        <f>IFERROR(VLOOKUP(C556,[3]Sheet2!$C$1:$F$1223,4,0),"")</f>
        <v/>
      </c>
    </row>
    <row r="557" spans="2:5">
      <c r="B557" s="17" t="str">
        <f>IFERROR(VLOOKUP(C557,[3]Sheet2!$C$3:$F$1223,2,0),"")</f>
        <v/>
      </c>
      <c r="D557" s="18" t="str">
        <f>IFERROR(VLOOKUP(C557,[3]Sheet2!$C$1:$F$1223,3,0),"")</f>
        <v/>
      </c>
      <c r="E557" s="18" t="str">
        <f>IFERROR(VLOOKUP(C557,[3]Sheet2!$C$1:$F$1223,4,0),"")</f>
        <v/>
      </c>
    </row>
    <row r="558" spans="2:5">
      <c r="B558" s="17" t="str">
        <f>IFERROR(VLOOKUP(C558,[3]Sheet2!$C$3:$F$1223,2,0),"")</f>
        <v/>
      </c>
      <c r="D558" s="18" t="str">
        <f>IFERROR(VLOOKUP(C558,[3]Sheet2!$C$1:$F$1223,3,0),"")</f>
        <v/>
      </c>
      <c r="E558" s="18" t="str">
        <f>IFERROR(VLOOKUP(C558,[3]Sheet2!$C$1:$F$1223,4,0),"")</f>
        <v/>
      </c>
    </row>
    <row r="559" spans="2:5">
      <c r="B559" s="17" t="str">
        <f>IFERROR(VLOOKUP(C559,[3]Sheet2!$C$3:$F$1223,2,0),"")</f>
        <v/>
      </c>
      <c r="D559" s="18" t="str">
        <f>IFERROR(VLOOKUP(C559,[3]Sheet2!$C$1:$F$1223,3,0),"")</f>
        <v/>
      </c>
      <c r="E559" s="18" t="str">
        <f>IFERROR(VLOOKUP(C559,[3]Sheet2!$C$1:$F$1223,4,0),"")</f>
        <v/>
      </c>
    </row>
    <row r="560" spans="2:5">
      <c r="B560" s="17" t="str">
        <f>IFERROR(VLOOKUP(C560,[3]Sheet2!$C$3:$F$1223,2,0),"")</f>
        <v/>
      </c>
      <c r="D560" s="18" t="str">
        <f>IFERROR(VLOOKUP(C560,[3]Sheet2!$C$1:$F$1223,3,0),"")</f>
        <v/>
      </c>
      <c r="E560" s="18" t="str">
        <f>IFERROR(VLOOKUP(C560,[3]Sheet2!$C$1:$F$1223,4,0),"")</f>
        <v/>
      </c>
    </row>
    <row r="561" spans="2:5">
      <c r="B561" s="17" t="str">
        <f>IFERROR(VLOOKUP(C561,[3]Sheet2!$C$3:$F$1223,2,0),"")</f>
        <v/>
      </c>
      <c r="D561" s="18" t="str">
        <f>IFERROR(VLOOKUP(C561,[3]Sheet2!$C$1:$F$1223,3,0),"")</f>
        <v/>
      </c>
      <c r="E561" s="18" t="str">
        <f>IFERROR(VLOOKUP(C561,[3]Sheet2!$C$1:$F$1223,4,0),"")</f>
        <v/>
      </c>
    </row>
    <row r="562" spans="2:5">
      <c r="B562" s="17" t="str">
        <f>IFERROR(VLOOKUP(C562,[3]Sheet2!$C$3:$F$1223,2,0),"")</f>
        <v/>
      </c>
      <c r="D562" s="18" t="str">
        <f>IFERROR(VLOOKUP(C562,[3]Sheet2!$C$1:$F$1223,3,0),"")</f>
        <v/>
      </c>
      <c r="E562" s="18" t="str">
        <f>IFERROR(VLOOKUP(C562,[3]Sheet2!$C$1:$F$1223,4,0),"")</f>
        <v/>
      </c>
    </row>
    <row r="563" spans="2:5">
      <c r="B563" s="17" t="str">
        <f>IFERROR(VLOOKUP(C563,[3]Sheet2!$C$3:$F$1223,2,0),"")</f>
        <v/>
      </c>
      <c r="D563" s="18" t="str">
        <f>IFERROR(VLOOKUP(C563,[3]Sheet2!$C$1:$F$1223,3,0),"")</f>
        <v/>
      </c>
      <c r="E563" s="18" t="str">
        <f>IFERROR(VLOOKUP(C563,[3]Sheet2!$C$1:$F$1223,4,0),"")</f>
        <v/>
      </c>
    </row>
    <row r="564" spans="2:5">
      <c r="B564" s="17" t="str">
        <f>IFERROR(VLOOKUP(C564,[3]Sheet2!$C$3:$F$1223,2,0),"")</f>
        <v/>
      </c>
      <c r="D564" s="18" t="str">
        <f>IFERROR(VLOOKUP(C564,[3]Sheet2!$C$1:$F$1223,3,0),"")</f>
        <v/>
      </c>
      <c r="E564" s="18" t="str">
        <f>IFERROR(VLOOKUP(C564,[3]Sheet2!$C$1:$F$1223,4,0),"")</f>
        <v/>
      </c>
    </row>
    <row r="565" spans="2:5">
      <c r="B565" s="17" t="str">
        <f>IFERROR(VLOOKUP(C565,[3]Sheet2!$C$3:$F$1223,2,0),"")</f>
        <v/>
      </c>
      <c r="D565" s="18" t="str">
        <f>IFERROR(VLOOKUP(C565,[3]Sheet2!$C$1:$F$1223,3,0),"")</f>
        <v/>
      </c>
      <c r="E565" s="18" t="str">
        <f>IFERROR(VLOOKUP(C565,[3]Sheet2!$C$1:$F$1223,4,0),"")</f>
        <v/>
      </c>
    </row>
    <row r="566" spans="2:5">
      <c r="B566" s="17" t="str">
        <f>IFERROR(VLOOKUP(C566,[3]Sheet2!$C$3:$F$1223,2,0),"")</f>
        <v/>
      </c>
      <c r="D566" s="18" t="str">
        <f>IFERROR(VLOOKUP(C566,[3]Sheet2!$C$1:$F$1223,3,0),"")</f>
        <v/>
      </c>
      <c r="E566" s="18" t="str">
        <f>IFERROR(VLOOKUP(C566,[3]Sheet2!$C$1:$F$1223,4,0),"")</f>
        <v/>
      </c>
    </row>
    <row r="567" spans="2:5">
      <c r="B567" s="17" t="str">
        <f>IFERROR(VLOOKUP(C567,[3]Sheet2!$C$3:$F$1223,2,0),"")</f>
        <v/>
      </c>
      <c r="D567" s="18" t="str">
        <f>IFERROR(VLOOKUP(C567,[3]Sheet2!$C$1:$F$1223,3,0),"")</f>
        <v/>
      </c>
      <c r="E567" s="18" t="str">
        <f>IFERROR(VLOOKUP(C567,[3]Sheet2!$C$1:$F$1223,4,0),"")</f>
        <v/>
      </c>
    </row>
    <row r="568" spans="2:5">
      <c r="B568" s="17" t="str">
        <f>IFERROR(VLOOKUP(C568,[3]Sheet2!$C$3:$F$1223,2,0),"")</f>
        <v/>
      </c>
      <c r="D568" s="18" t="str">
        <f>IFERROR(VLOOKUP(C568,[3]Sheet2!$C$1:$F$1223,3,0),"")</f>
        <v/>
      </c>
      <c r="E568" s="18" t="str">
        <f>IFERROR(VLOOKUP(C568,[3]Sheet2!$C$1:$F$1223,4,0),"")</f>
        <v/>
      </c>
    </row>
    <row r="569" spans="2:5">
      <c r="B569" s="17" t="str">
        <f>IFERROR(VLOOKUP(C569,[3]Sheet2!$C$3:$F$1223,2,0),"")</f>
        <v/>
      </c>
      <c r="D569" s="18" t="str">
        <f>IFERROR(VLOOKUP(C569,[3]Sheet2!$C$1:$F$1223,3,0),"")</f>
        <v/>
      </c>
      <c r="E569" s="18" t="str">
        <f>IFERROR(VLOOKUP(C569,[3]Sheet2!$C$1:$F$1223,4,0),"")</f>
        <v/>
      </c>
    </row>
    <row r="570" spans="2:5">
      <c r="B570" s="17" t="str">
        <f>IFERROR(VLOOKUP(C570,[3]Sheet2!$C$3:$F$1223,2,0),"")</f>
        <v/>
      </c>
      <c r="D570" s="18" t="str">
        <f>IFERROR(VLOOKUP(C570,[3]Sheet2!$C$1:$F$1223,3,0),"")</f>
        <v/>
      </c>
      <c r="E570" s="18" t="str">
        <f>IFERROR(VLOOKUP(C570,[3]Sheet2!$C$1:$F$1223,4,0),"")</f>
        <v/>
      </c>
    </row>
    <row r="571" spans="2:5">
      <c r="B571" s="17" t="str">
        <f>IFERROR(VLOOKUP(C571,[3]Sheet2!$C$3:$F$1223,2,0),"")</f>
        <v/>
      </c>
      <c r="D571" s="18" t="str">
        <f>IFERROR(VLOOKUP(C571,[3]Sheet2!$C$1:$F$1223,3,0),"")</f>
        <v/>
      </c>
      <c r="E571" s="18" t="str">
        <f>IFERROR(VLOOKUP(C571,[3]Sheet2!$C$1:$F$1223,4,0),"")</f>
        <v/>
      </c>
    </row>
    <row r="572" spans="2:5">
      <c r="B572" s="17" t="str">
        <f>IFERROR(VLOOKUP(C572,[3]Sheet2!$C$3:$F$1223,2,0),"")</f>
        <v/>
      </c>
      <c r="D572" s="18" t="str">
        <f>IFERROR(VLOOKUP(C572,[3]Sheet2!$C$1:$F$1223,3,0),"")</f>
        <v/>
      </c>
      <c r="E572" s="18" t="str">
        <f>IFERROR(VLOOKUP(C572,[3]Sheet2!$C$1:$F$1223,4,0),"")</f>
        <v/>
      </c>
    </row>
    <row r="573" spans="2:5">
      <c r="B573" s="17" t="str">
        <f>IFERROR(VLOOKUP(C573,[3]Sheet2!$C$3:$F$1223,2,0),"")</f>
        <v/>
      </c>
      <c r="D573" s="18" t="str">
        <f>IFERROR(VLOOKUP(C573,[3]Sheet2!$C$1:$F$1223,3,0),"")</f>
        <v/>
      </c>
      <c r="E573" s="18" t="str">
        <f>IFERROR(VLOOKUP(C573,[3]Sheet2!$C$1:$F$1223,4,0),"")</f>
        <v/>
      </c>
    </row>
    <row r="574" spans="2:5">
      <c r="B574" s="17" t="str">
        <f>IFERROR(VLOOKUP(C574,[3]Sheet2!$C$3:$F$1223,2,0),"")</f>
        <v/>
      </c>
      <c r="D574" s="18" t="str">
        <f>IFERROR(VLOOKUP(C574,[3]Sheet2!$C$1:$F$1223,3,0),"")</f>
        <v/>
      </c>
      <c r="E574" s="18" t="str">
        <f>IFERROR(VLOOKUP(C574,[3]Sheet2!$C$1:$F$1223,4,0),"")</f>
        <v/>
      </c>
    </row>
    <row r="575" spans="2:5">
      <c r="B575" s="17" t="str">
        <f>IFERROR(VLOOKUP(C575,[3]Sheet2!$C$3:$F$1223,2,0),"")</f>
        <v/>
      </c>
      <c r="D575" s="18" t="str">
        <f>IFERROR(VLOOKUP(C575,[3]Sheet2!$C$1:$F$1223,3,0),"")</f>
        <v/>
      </c>
      <c r="E575" s="18" t="str">
        <f>IFERROR(VLOOKUP(C575,[3]Sheet2!$C$1:$F$1223,4,0),"")</f>
        <v/>
      </c>
    </row>
    <row r="576" spans="2:5">
      <c r="B576" s="17" t="str">
        <f>IFERROR(VLOOKUP(C576,[3]Sheet2!$C$3:$F$1223,2,0),"")</f>
        <v/>
      </c>
      <c r="D576" s="18" t="str">
        <f>IFERROR(VLOOKUP(C576,[3]Sheet2!$C$1:$F$1223,3,0),"")</f>
        <v/>
      </c>
      <c r="E576" s="18" t="str">
        <f>IFERROR(VLOOKUP(C576,[3]Sheet2!$C$1:$F$1223,4,0),"")</f>
        <v/>
      </c>
    </row>
    <row r="577" spans="2:5">
      <c r="B577" s="17" t="str">
        <f>IFERROR(VLOOKUP(C577,[3]Sheet2!$C$3:$F$1223,2,0),"")</f>
        <v/>
      </c>
      <c r="D577" s="18" t="str">
        <f>IFERROR(VLOOKUP(C577,[3]Sheet2!$C$1:$F$1223,3,0),"")</f>
        <v/>
      </c>
      <c r="E577" s="18" t="str">
        <f>IFERROR(VLOOKUP(C577,[3]Sheet2!$C$1:$F$1223,4,0),"")</f>
        <v/>
      </c>
    </row>
    <row r="578" spans="2:5">
      <c r="B578" s="17" t="str">
        <f>IFERROR(VLOOKUP(C578,[3]Sheet2!$C$3:$F$1223,2,0),"")</f>
        <v/>
      </c>
      <c r="D578" s="18" t="str">
        <f>IFERROR(VLOOKUP(C578,[3]Sheet2!$C$1:$F$1223,3,0),"")</f>
        <v/>
      </c>
      <c r="E578" s="18" t="str">
        <f>IFERROR(VLOOKUP(C578,[3]Sheet2!$C$1:$F$1223,4,0),"")</f>
        <v/>
      </c>
    </row>
    <row r="579" spans="2:5">
      <c r="B579" s="17" t="str">
        <f>IFERROR(VLOOKUP(C579,[3]Sheet2!$C$3:$F$1223,2,0),"")</f>
        <v/>
      </c>
      <c r="D579" s="18" t="str">
        <f>IFERROR(VLOOKUP(C579,[3]Sheet2!$C$1:$F$1223,3,0),"")</f>
        <v/>
      </c>
      <c r="E579" s="18" t="str">
        <f>IFERROR(VLOOKUP(C579,[3]Sheet2!$C$1:$F$1223,4,0),"")</f>
        <v/>
      </c>
    </row>
    <row r="580" spans="2:5">
      <c r="B580" s="17" t="str">
        <f>IFERROR(VLOOKUP(C580,[3]Sheet2!$C$3:$F$1223,2,0),"")</f>
        <v/>
      </c>
      <c r="D580" s="18" t="str">
        <f>IFERROR(VLOOKUP(C580,[3]Sheet2!$C$1:$F$1223,3,0),"")</f>
        <v/>
      </c>
      <c r="E580" s="18" t="str">
        <f>IFERROR(VLOOKUP(C580,[3]Sheet2!$C$1:$F$1223,4,0),"")</f>
        <v/>
      </c>
    </row>
    <row r="581" spans="2:5">
      <c r="B581" s="17" t="str">
        <f>IFERROR(VLOOKUP(C581,[3]Sheet2!$C$3:$F$1223,2,0),"")</f>
        <v/>
      </c>
      <c r="D581" s="18" t="str">
        <f>IFERROR(VLOOKUP(C581,[3]Sheet2!$C$1:$F$1223,3,0),"")</f>
        <v/>
      </c>
      <c r="E581" s="18" t="str">
        <f>IFERROR(VLOOKUP(C581,[3]Sheet2!$C$1:$F$1223,4,0),"")</f>
        <v/>
      </c>
    </row>
    <row r="582" spans="2:5">
      <c r="B582" s="17" t="str">
        <f>IFERROR(VLOOKUP(C582,[3]Sheet2!$C$3:$F$1223,2,0),"")</f>
        <v/>
      </c>
      <c r="D582" s="18" t="str">
        <f>IFERROR(VLOOKUP(C582,[3]Sheet2!$C$1:$F$1223,3,0),"")</f>
        <v/>
      </c>
      <c r="E582" s="18" t="str">
        <f>IFERROR(VLOOKUP(C582,[3]Sheet2!$C$1:$F$1223,4,0),"")</f>
        <v/>
      </c>
    </row>
    <row r="583" spans="2:5">
      <c r="B583" s="17" t="str">
        <f>IFERROR(VLOOKUP(C583,[3]Sheet2!$C$3:$F$1223,2,0),"")</f>
        <v/>
      </c>
      <c r="D583" s="18" t="str">
        <f>IFERROR(VLOOKUP(C583,[3]Sheet2!$C$1:$F$1223,3,0),"")</f>
        <v/>
      </c>
      <c r="E583" s="18" t="str">
        <f>IFERROR(VLOOKUP(C583,[3]Sheet2!$C$1:$F$1223,4,0),"")</f>
        <v/>
      </c>
    </row>
    <row r="584" spans="2:5">
      <c r="B584" s="17" t="str">
        <f>IFERROR(VLOOKUP(C584,[3]Sheet2!$C$3:$F$1223,2,0),"")</f>
        <v/>
      </c>
      <c r="D584" s="18" t="str">
        <f>IFERROR(VLOOKUP(C584,[3]Sheet2!$C$1:$F$1223,3,0),"")</f>
        <v/>
      </c>
      <c r="E584" s="18" t="str">
        <f>IFERROR(VLOOKUP(C584,[3]Sheet2!$C$1:$F$1223,4,0),"")</f>
        <v/>
      </c>
    </row>
    <row r="585" spans="2:5">
      <c r="B585" s="17" t="str">
        <f>IFERROR(VLOOKUP(C585,[3]Sheet2!$C$3:$F$1223,2,0),"")</f>
        <v/>
      </c>
      <c r="D585" s="18" t="str">
        <f>IFERROR(VLOOKUP(C585,[3]Sheet2!$C$1:$F$1223,3,0),"")</f>
        <v/>
      </c>
      <c r="E585" s="18" t="str">
        <f>IFERROR(VLOOKUP(C585,[3]Sheet2!$C$1:$F$1223,4,0),"")</f>
        <v/>
      </c>
    </row>
    <row r="586" spans="2:5">
      <c r="B586" s="17" t="str">
        <f>IFERROR(VLOOKUP(C586,[3]Sheet2!$C$3:$F$1223,2,0),"")</f>
        <v/>
      </c>
      <c r="D586" s="18" t="str">
        <f>IFERROR(VLOOKUP(C586,[3]Sheet2!$C$1:$F$1223,3,0),"")</f>
        <v/>
      </c>
      <c r="E586" s="18" t="str">
        <f>IFERROR(VLOOKUP(C586,[3]Sheet2!$C$1:$F$1223,4,0),"")</f>
        <v/>
      </c>
    </row>
    <row r="587" spans="2:5">
      <c r="B587" s="17" t="str">
        <f>IFERROR(VLOOKUP(C587,[3]Sheet2!$C$3:$F$1223,2,0),"")</f>
        <v/>
      </c>
      <c r="D587" s="18" t="str">
        <f>IFERROR(VLOOKUP(C587,[3]Sheet2!$C$1:$F$1223,3,0),"")</f>
        <v/>
      </c>
      <c r="E587" s="18" t="str">
        <f>IFERROR(VLOOKUP(C587,[3]Sheet2!$C$1:$F$1223,4,0),"")</f>
        <v/>
      </c>
    </row>
    <row r="588" spans="2:5">
      <c r="B588" s="17" t="str">
        <f>IFERROR(VLOOKUP(C588,[3]Sheet2!$C$3:$F$1223,2,0),"")</f>
        <v/>
      </c>
      <c r="D588" s="18" t="str">
        <f>IFERROR(VLOOKUP(C588,[3]Sheet2!$C$1:$F$1223,3,0),"")</f>
        <v/>
      </c>
      <c r="E588" s="18" t="str">
        <f>IFERROR(VLOOKUP(C588,[3]Sheet2!$C$1:$F$1223,4,0),"")</f>
        <v/>
      </c>
    </row>
    <row r="589" spans="2:5">
      <c r="B589" s="17" t="str">
        <f>IFERROR(VLOOKUP(C589,[3]Sheet2!$C$3:$F$1223,2,0),"")</f>
        <v/>
      </c>
      <c r="D589" s="18" t="str">
        <f>IFERROR(VLOOKUP(C589,[3]Sheet2!$C$1:$F$1223,3,0),"")</f>
        <v/>
      </c>
      <c r="E589" s="18" t="str">
        <f>IFERROR(VLOOKUP(C589,[3]Sheet2!$C$1:$F$1223,4,0),"")</f>
        <v/>
      </c>
    </row>
    <row r="590" spans="2:5">
      <c r="B590" s="17" t="str">
        <f>IFERROR(VLOOKUP(C590,[3]Sheet2!$C$3:$F$1223,2,0),"")</f>
        <v/>
      </c>
      <c r="D590" s="18" t="str">
        <f>IFERROR(VLOOKUP(C590,[3]Sheet2!$C$1:$F$1223,3,0),"")</f>
        <v/>
      </c>
      <c r="E590" s="18" t="str">
        <f>IFERROR(VLOOKUP(C590,[3]Sheet2!$C$1:$F$1223,4,0),"")</f>
        <v/>
      </c>
    </row>
    <row r="591" spans="2:5">
      <c r="B591" s="17" t="str">
        <f>IFERROR(VLOOKUP(C591,[3]Sheet2!$C$3:$F$1223,2,0),"")</f>
        <v/>
      </c>
      <c r="D591" s="18" t="str">
        <f>IFERROR(VLOOKUP(C591,[3]Sheet2!$C$1:$F$1223,3,0),"")</f>
        <v/>
      </c>
      <c r="E591" s="18" t="str">
        <f>IFERROR(VLOOKUP(C591,[3]Sheet2!$C$1:$F$1223,4,0),"")</f>
        <v/>
      </c>
    </row>
    <row r="592" spans="2:5">
      <c r="B592" s="17" t="str">
        <f>IFERROR(VLOOKUP(C592,[3]Sheet2!$C$3:$F$1223,2,0),"")</f>
        <v/>
      </c>
      <c r="D592" s="18" t="str">
        <f>IFERROR(VLOOKUP(C592,[3]Sheet2!$C$1:$F$1223,3,0),"")</f>
        <v/>
      </c>
      <c r="E592" s="18" t="str">
        <f>IFERROR(VLOOKUP(C592,[3]Sheet2!$C$1:$F$1223,4,0),"")</f>
        <v/>
      </c>
    </row>
    <row r="593" spans="2:5">
      <c r="B593" s="17" t="str">
        <f>IFERROR(VLOOKUP(C593,[3]Sheet2!$C$3:$F$1223,2,0),"")</f>
        <v/>
      </c>
      <c r="D593" s="18" t="str">
        <f>IFERROR(VLOOKUP(C593,[3]Sheet2!$C$1:$F$1223,3,0),"")</f>
        <v/>
      </c>
      <c r="E593" s="18" t="str">
        <f>IFERROR(VLOOKUP(C593,[3]Sheet2!$C$1:$F$1223,4,0),"")</f>
        <v/>
      </c>
    </row>
    <row r="594" spans="2:5">
      <c r="B594" s="17" t="str">
        <f>IFERROR(VLOOKUP(C594,[3]Sheet2!$C$3:$F$1223,2,0),"")</f>
        <v/>
      </c>
      <c r="D594" s="18" t="str">
        <f>IFERROR(VLOOKUP(C594,[3]Sheet2!$C$1:$F$1223,3,0),"")</f>
        <v/>
      </c>
      <c r="E594" s="18" t="str">
        <f>IFERROR(VLOOKUP(C594,[3]Sheet2!$C$1:$F$1223,4,0),"")</f>
        <v/>
      </c>
    </row>
    <row r="595" spans="2:5">
      <c r="B595" s="17" t="str">
        <f>IFERROR(VLOOKUP(C595,[3]Sheet2!$C$3:$F$1223,2,0),"")</f>
        <v/>
      </c>
      <c r="D595" s="18" t="str">
        <f>IFERROR(VLOOKUP(C595,[3]Sheet2!$C$1:$F$1223,3,0),"")</f>
        <v/>
      </c>
      <c r="E595" s="18" t="str">
        <f>IFERROR(VLOOKUP(C595,[3]Sheet2!$C$1:$F$1223,4,0),"")</f>
        <v/>
      </c>
    </row>
    <row r="596" spans="2:5">
      <c r="B596" s="17" t="str">
        <f>IFERROR(VLOOKUP(C596,[3]Sheet2!$C$3:$F$1223,2,0),"")</f>
        <v/>
      </c>
      <c r="D596" s="18" t="str">
        <f>IFERROR(VLOOKUP(C596,[3]Sheet2!$C$1:$F$1223,3,0),"")</f>
        <v/>
      </c>
      <c r="E596" s="18" t="str">
        <f>IFERROR(VLOOKUP(C596,[3]Sheet2!$C$1:$F$1223,4,0),"")</f>
        <v/>
      </c>
    </row>
    <row r="597" spans="2:5">
      <c r="B597" s="17" t="str">
        <f>IFERROR(VLOOKUP(C597,[3]Sheet2!$C$3:$F$1223,2,0),"")</f>
        <v/>
      </c>
      <c r="D597" s="18" t="str">
        <f>IFERROR(VLOOKUP(C597,[3]Sheet2!$C$1:$F$1223,3,0),"")</f>
        <v/>
      </c>
      <c r="E597" s="18" t="str">
        <f>IFERROR(VLOOKUP(C597,[3]Sheet2!$C$1:$F$1223,4,0),"")</f>
        <v/>
      </c>
    </row>
    <row r="598" spans="2:5">
      <c r="B598" s="17" t="str">
        <f>IFERROR(VLOOKUP(C598,[3]Sheet2!$C$3:$F$1223,2,0),"")</f>
        <v/>
      </c>
      <c r="D598" s="18" t="str">
        <f>IFERROR(VLOOKUP(C598,[3]Sheet2!$C$1:$F$1223,3,0),"")</f>
        <v/>
      </c>
      <c r="E598" s="18" t="str">
        <f>IFERROR(VLOOKUP(C598,[3]Sheet2!$C$1:$F$1223,4,0),"")</f>
        <v/>
      </c>
    </row>
    <row r="599" spans="2:5">
      <c r="B599" s="17" t="str">
        <f>IFERROR(VLOOKUP(C599,[3]Sheet2!$C$3:$F$1223,2,0),"")</f>
        <v/>
      </c>
      <c r="D599" s="18" t="str">
        <f>IFERROR(VLOOKUP(C599,[3]Sheet2!$C$1:$F$1223,3,0),"")</f>
        <v/>
      </c>
      <c r="E599" s="18" t="str">
        <f>IFERROR(VLOOKUP(C599,[3]Sheet2!$C$1:$F$1223,4,0),"")</f>
        <v/>
      </c>
    </row>
    <row r="600" spans="2:5">
      <c r="B600" s="17" t="str">
        <f>IFERROR(VLOOKUP(C600,[3]Sheet2!$C$3:$F$1223,2,0),"")</f>
        <v/>
      </c>
      <c r="D600" s="18" t="str">
        <f>IFERROR(VLOOKUP(C600,[3]Sheet2!$C$1:$F$1223,3,0),"")</f>
        <v/>
      </c>
      <c r="E600" s="18" t="str">
        <f>IFERROR(VLOOKUP(C600,[3]Sheet2!$C$1:$F$1223,4,0),"")</f>
        <v/>
      </c>
    </row>
    <row r="601" spans="2:5">
      <c r="B601" s="17" t="str">
        <f>IFERROR(VLOOKUP(C601,[3]Sheet2!$C$3:$F$1223,2,0),"")</f>
        <v/>
      </c>
      <c r="D601" s="18" t="str">
        <f>IFERROR(VLOOKUP(C601,[3]Sheet2!$C$1:$F$1223,3,0),"")</f>
        <v/>
      </c>
      <c r="E601" s="18" t="str">
        <f>IFERROR(VLOOKUP(C601,[3]Sheet2!$C$1:$F$1223,4,0),"")</f>
        <v/>
      </c>
    </row>
    <row r="602" spans="2:5">
      <c r="B602" s="17" t="str">
        <f>IFERROR(VLOOKUP(C602,[3]Sheet2!$C$3:$F$1223,2,0),"")</f>
        <v/>
      </c>
      <c r="D602" s="18" t="str">
        <f>IFERROR(VLOOKUP(C602,[3]Sheet2!$C$1:$F$1223,3,0),"")</f>
        <v/>
      </c>
      <c r="E602" s="18" t="str">
        <f>IFERROR(VLOOKUP(C602,[3]Sheet2!$C$1:$F$1223,4,0),"")</f>
        <v/>
      </c>
    </row>
    <row r="603" spans="2:5">
      <c r="B603" s="17" t="str">
        <f>IFERROR(VLOOKUP(C603,[3]Sheet2!$C$3:$F$1223,2,0),"")</f>
        <v/>
      </c>
      <c r="D603" s="18" t="str">
        <f>IFERROR(VLOOKUP(C603,[3]Sheet2!$C$1:$F$1223,3,0),"")</f>
        <v/>
      </c>
      <c r="E603" s="18" t="str">
        <f>IFERROR(VLOOKUP(C603,[3]Sheet2!$C$1:$F$1223,4,0),"")</f>
        <v/>
      </c>
    </row>
    <row r="604" spans="2:5">
      <c r="B604" s="17" t="str">
        <f>IFERROR(VLOOKUP(C604,[3]Sheet2!$C$3:$F$1223,2,0),"")</f>
        <v/>
      </c>
      <c r="D604" s="18" t="str">
        <f>IFERROR(VLOOKUP(C604,[3]Sheet2!$C$1:$F$1223,3,0),"")</f>
        <v/>
      </c>
      <c r="E604" s="18" t="str">
        <f>IFERROR(VLOOKUP(C604,[3]Sheet2!$C$1:$F$1223,4,0),"")</f>
        <v/>
      </c>
    </row>
    <row r="605" spans="2:5">
      <c r="B605" s="17" t="str">
        <f>IFERROR(VLOOKUP(C605,[3]Sheet2!$C$3:$F$1223,2,0),"")</f>
        <v/>
      </c>
      <c r="D605" s="18" t="str">
        <f>IFERROR(VLOOKUP(C605,[3]Sheet2!$C$1:$F$1223,3,0),"")</f>
        <v/>
      </c>
      <c r="E605" s="18" t="str">
        <f>IFERROR(VLOOKUP(C605,[3]Sheet2!$C$1:$F$1223,4,0),"")</f>
        <v/>
      </c>
    </row>
    <row r="606" spans="2:5">
      <c r="B606" s="17" t="str">
        <f>IFERROR(VLOOKUP(C606,[3]Sheet2!$C$3:$F$1223,2,0),"")</f>
        <v/>
      </c>
      <c r="D606" s="18" t="str">
        <f>IFERROR(VLOOKUP(C606,[3]Sheet2!$C$1:$F$1223,3,0),"")</f>
        <v/>
      </c>
      <c r="E606" s="18" t="str">
        <f>IFERROR(VLOOKUP(C606,[3]Sheet2!$C$1:$F$1223,4,0),"")</f>
        <v/>
      </c>
    </row>
    <row r="607" spans="2:5">
      <c r="B607" s="17" t="str">
        <f>IFERROR(VLOOKUP(C607,[3]Sheet2!$C$3:$F$1223,2,0),"")</f>
        <v/>
      </c>
      <c r="D607" s="18" t="str">
        <f>IFERROR(VLOOKUP(C607,[3]Sheet2!$C$1:$F$1223,3,0),"")</f>
        <v/>
      </c>
      <c r="E607" s="18" t="str">
        <f>IFERROR(VLOOKUP(C607,[3]Sheet2!$C$1:$F$1223,4,0),"")</f>
        <v/>
      </c>
    </row>
    <row r="608" spans="2:5">
      <c r="B608" s="17" t="str">
        <f>IFERROR(VLOOKUP(C608,[3]Sheet2!$C$3:$F$1223,2,0),"")</f>
        <v/>
      </c>
      <c r="D608" s="18" t="str">
        <f>IFERROR(VLOOKUP(C608,[3]Sheet2!$C$1:$F$1223,3,0),"")</f>
        <v/>
      </c>
      <c r="E608" s="18" t="str">
        <f>IFERROR(VLOOKUP(C608,[3]Sheet2!$C$1:$F$1223,4,0),"")</f>
        <v/>
      </c>
    </row>
    <row r="609" spans="2:5">
      <c r="B609" s="17" t="str">
        <f>IFERROR(VLOOKUP(C609,[3]Sheet2!$C$3:$F$1223,2,0),"")</f>
        <v/>
      </c>
      <c r="D609" s="18" t="str">
        <f>IFERROR(VLOOKUP(C609,[3]Sheet2!$C$1:$F$1223,3,0),"")</f>
        <v/>
      </c>
      <c r="E609" s="18" t="str">
        <f>IFERROR(VLOOKUP(C609,[3]Sheet2!$C$1:$F$1223,4,0),"")</f>
        <v/>
      </c>
    </row>
    <row r="610" spans="2:5">
      <c r="B610" s="17" t="str">
        <f>IFERROR(VLOOKUP(C610,[3]Sheet2!$C$3:$F$1223,2,0),"")</f>
        <v/>
      </c>
      <c r="D610" s="18" t="str">
        <f>IFERROR(VLOOKUP(C610,[3]Sheet2!$C$1:$F$1223,3,0),"")</f>
        <v/>
      </c>
      <c r="E610" s="18" t="str">
        <f>IFERROR(VLOOKUP(C610,[3]Sheet2!$C$1:$F$1223,4,0),"")</f>
        <v/>
      </c>
    </row>
    <row r="611" spans="2:5">
      <c r="B611" s="17" t="str">
        <f>IFERROR(VLOOKUP(C611,[3]Sheet2!$C$3:$F$1223,2,0),"")</f>
        <v/>
      </c>
      <c r="D611" s="18" t="str">
        <f>IFERROR(VLOOKUP(C611,[3]Sheet2!$C$1:$F$1223,3,0),"")</f>
        <v/>
      </c>
      <c r="E611" s="18" t="str">
        <f>IFERROR(VLOOKUP(C611,[3]Sheet2!$C$1:$F$1223,4,0),"")</f>
        <v/>
      </c>
    </row>
    <row r="612" spans="2:5">
      <c r="B612" s="17" t="str">
        <f>IFERROR(VLOOKUP(C612,[3]Sheet2!$C$3:$F$1223,2,0),"")</f>
        <v/>
      </c>
      <c r="D612" s="18" t="str">
        <f>IFERROR(VLOOKUP(C612,[3]Sheet2!$C$1:$F$1223,3,0),"")</f>
        <v/>
      </c>
      <c r="E612" s="18" t="str">
        <f>IFERROR(VLOOKUP(C612,[3]Sheet2!$C$1:$F$1223,4,0),"")</f>
        <v/>
      </c>
    </row>
    <row r="613" spans="2:5">
      <c r="B613" s="17" t="str">
        <f>IFERROR(VLOOKUP(C613,[3]Sheet2!$C$3:$F$1223,2,0),"")</f>
        <v/>
      </c>
      <c r="D613" s="18" t="str">
        <f>IFERROR(VLOOKUP(C613,[3]Sheet2!$C$1:$F$1223,3,0),"")</f>
        <v/>
      </c>
      <c r="E613" s="18" t="str">
        <f>IFERROR(VLOOKUP(C613,[3]Sheet2!$C$1:$F$1223,4,0),"")</f>
        <v/>
      </c>
    </row>
    <row r="614" spans="2:5">
      <c r="B614" s="17" t="str">
        <f>IFERROR(VLOOKUP(C614,[3]Sheet2!$C$3:$F$1223,2,0),"")</f>
        <v/>
      </c>
      <c r="D614" s="18" t="str">
        <f>IFERROR(VLOOKUP(C614,[3]Sheet2!$C$1:$F$1223,3,0),"")</f>
        <v/>
      </c>
      <c r="E614" s="18" t="str">
        <f>IFERROR(VLOOKUP(C614,[3]Sheet2!$C$1:$F$1223,4,0),"")</f>
        <v/>
      </c>
    </row>
    <row r="615" spans="2:5">
      <c r="B615" s="17" t="str">
        <f>IFERROR(VLOOKUP(C615,[3]Sheet2!$C$3:$F$1223,2,0),"")</f>
        <v/>
      </c>
      <c r="D615" s="18" t="str">
        <f>IFERROR(VLOOKUP(C615,[3]Sheet2!$C$1:$F$1223,3,0),"")</f>
        <v/>
      </c>
      <c r="E615" s="18" t="str">
        <f>IFERROR(VLOOKUP(C615,[3]Sheet2!$C$1:$F$1223,4,0),"")</f>
        <v/>
      </c>
    </row>
    <row r="616" spans="2:5">
      <c r="B616" s="17" t="str">
        <f>IFERROR(VLOOKUP(C616,[3]Sheet2!$C$3:$F$1223,2,0),"")</f>
        <v/>
      </c>
      <c r="D616" s="18" t="str">
        <f>IFERROR(VLOOKUP(C616,[3]Sheet2!$C$1:$F$1223,3,0),"")</f>
        <v/>
      </c>
      <c r="E616" s="18" t="str">
        <f>IFERROR(VLOOKUP(C616,[3]Sheet2!$C$1:$F$1223,4,0),"")</f>
        <v/>
      </c>
    </row>
    <row r="617" spans="2:5">
      <c r="B617" s="17" t="str">
        <f>IFERROR(VLOOKUP(C617,[3]Sheet2!$C$3:$F$1223,2,0),"")</f>
        <v/>
      </c>
      <c r="D617" s="18" t="str">
        <f>IFERROR(VLOOKUP(C617,[3]Sheet2!$C$1:$F$1223,3,0),"")</f>
        <v/>
      </c>
      <c r="E617" s="18" t="str">
        <f>IFERROR(VLOOKUP(C617,[3]Sheet2!$C$1:$F$1223,4,0),"")</f>
        <v/>
      </c>
    </row>
    <row r="618" spans="2:5">
      <c r="B618" s="17" t="str">
        <f>IFERROR(VLOOKUP(C618,[3]Sheet2!$C$3:$F$1223,2,0),"")</f>
        <v/>
      </c>
      <c r="D618" s="18" t="str">
        <f>IFERROR(VLOOKUP(C618,[3]Sheet2!$C$1:$F$1223,3,0),"")</f>
        <v/>
      </c>
      <c r="E618" s="18" t="str">
        <f>IFERROR(VLOOKUP(C618,[3]Sheet2!$C$1:$F$1223,4,0),"")</f>
        <v/>
      </c>
    </row>
    <row r="619" spans="2:5">
      <c r="B619" s="17" t="str">
        <f>IFERROR(VLOOKUP(C619,[3]Sheet2!$C$3:$F$1223,2,0),"")</f>
        <v/>
      </c>
      <c r="D619" s="18" t="str">
        <f>IFERROR(VLOOKUP(C619,[3]Sheet2!$C$1:$F$1223,3,0),"")</f>
        <v/>
      </c>
      <c r="E619" s="18" t="str">
        <f>IFERROR(VLOOKUP(C619,[3]Sheet2!$C$1:$F$1223,4,0),"")</f>
        <v/>
      </c>
    </row>
    <row r="620" spans="2:5">
      <c r="B620" s="17" t="str">
        <f>IFERROR(VLOOKUP(C620,[3]Sheet2!$C$3:$F$1223,2,0),"")</f>
        <v/>
      </c>
      <c r="D620" s="18" t="str">
        <f>IFERROR(VLOOKUP(C620,[3]Sheet2!$C$1:$F$1223,3,0),"")</f>
        <v/>
      </c>
      <c r="E620" s="18" t="str">
        <f>IFERROR(VLOOKUP(C620,[3]Sheet2!$C$1:$F$1223,4,0),"")</f>
        <v/>
      </c>
    </row>
    <row r="621" spans="2:5">
      <c r="B621" s="17" t="str">
        <f>IFERROR(VLOOKUP(C621,[3]Sheet2!$C$3:$F$1223,2,0),"")</f>
        <v/>
      </c>
      <c r="D621" s="18" t="str">
        <f>IFERROR(VLOOKUP(C621,[3]Sheet2!$C$1:$F$1223,3,0),"")</f>
        <v/>
      </c>
      <c r="E621" s="18" t="str">
        <f>IFERROR(VLOOKUP(C621,[3]Sheet2!$C$1:$F$1223,4,0),"")</f>
        <v/>
      </c>
    </row>
    <row r="622" spans="2:5">
      <c r="B622" s="17" t="str">
        <f>IFERROR(VLOOKUP(C622,[3]Sheet2!$C$3:$F$1223,2,0),"")</f>
        <v/>
      </c>
      <c r="D622" s="18" t="str">
        <f>IFERROR(VLOOKUP(C622,[3]Sheet2!$C$1:$F$1223,3,0),"")</f>
        <v/>
      </c>
      <c r="E622" s="18" t="str">
        <f>IFERROR(VLOOKUP(C622,[3]Sheet2!$C$1:$F$1223,4,0),"")</f>
        <v/>
      </c>
    </row>
    <row r="623" spans="2:5">
      <c r="B623" s="17" t="str">
        <f>IFERROR(VLOOKUP(C623,[3]Sheet2!$C$3:$F$1223,2,0),"")</f>
        <v/>
      </c>
      <c r="D623" s="18" t="str">
        <f>IFERROR(VLOOKUP(C623,[3]Sheet2!$C$1:$F$1223,3,0),"")</f>
        <v/>
      </c>
      <c r="E623" s="18" t="str">
        <f>IFERROR(VLOOKUP(C623,[3]Sheet2!$C$1:$F$1223,4,0),"")</f>
        <v/>
      </c>
    </row>
    <row r="624" spans="2:5">
      <c r="B624" s="17" t="str">
        <f>IFERROR(VLOOKUP(C624,[3]Sheet2!$C$3:$F$1223,2,0),"")</f>
        <v/>
      </c>
      <c r="D624" s="18" t="str">
        <f>IFERROR(VLOOKUP(C624,[3]Sheet2!$C$1:$F$1223,3,0),"")</f>
        <v/>
      </c>
      <c r="E624" s="18" t="str">
        <f>IFERROR(VLOOKUP(C624,[3]Sheet2!$C$1:$F$1223,4,0),"")</f>
        <v/>
      </c>
    </row>
    <row r="625" spans="2:5">
      <c r="B625" s="17" t="str">
        <f>IFERROR(VLOOKUP(C625,[3]Sheet2!$C$3:$F$1223,2,0),"")</f>
        <v/>
      </c>
      <c r="D625" s="18" t="str">
        <f>IFERROR(VLOOKUP(C625,[3]Sheet2!$C$1:$F$1223,3,0),"")</f>
        <v/>
      </c>
      <c r="E625" s="18" t="str">
        <f>IFERROR(VLOOKUP(C625,[3]Sheet2!$C$1:$F$1223,4,0),"")</f>
        <v/>
      </c>
    </row>
    <row r="626" spans="2:5">
      <c r="B626" s="17" t="str">
        <f>IFERROR(VLOOKUP(C626,[3]Sheet2!$C$3:$F$1223,2,0),"")</f>
        <v/>
      </c>
      <c r="D626" s="18" t="str">
        <f>IFERROR(VLOOKUP(C626,[3]Sheet2!$C$1:$F$1223,3,0),"")</f>
        <v/>
      </c>
      <c r="E626" s="18" t="str">
        <f>IFERROR(VLOOKUP(C626,[3]Sheet2!$C$1:$F$1223,4,0),"")</f>
        <v/>
      </c>
    </row>
    <row r="627" spans="2:5">
      <c r="B627" s="17" t="str">
        <f>IFERROR(VLOOKUP(C627,[3]Sheet2!$C$3:$F$1223,2,0),"")</f>
        <v/>
      </c>
      <c r="D627" s="18" t="str">
        <f>IFERROR(VLOOKUP(C627,[3]Sheet2!$C$1:$F$1223,3,0),"")</f>
        <v/>
      </c>
      <c r="E627" s="18" t="str">
        <f>IFERROR(VLOOKUP(C627,[3]Sheet2!$C$1:$F$1223,4,0),"")</f>
        <v/>
      </c>
    </row>
    <row r="628" spans="2:5">
      <c r="B628" s="17" t="str">
        <f>IFERROR(VLOOKUP(C628,[3]Sheet2!$C$3:$F$1223,2,0),"")</f>
        <v/>
      </c>
      <c r="D628" s="18" t="str">
        <f>IFERROR(VLOOKUP(C628,[3]Sheet2!$C$1:$F$1223,3,0),"")</f>
        <v/>
      </c>
      <c r="E628" s="18" t="str">
        <f>IFERROR(VLOOKUP(C628,[3]Sheet2!$C$1:$F$1223,4,0),"")</f>
        <v/>
      </c>
    </row>
    <row r="629" spans="2:5">
      <c r="B629" s="17" t="str">
        <f>IFERROR(VLOOKUP(C629,[3]Sheet2!$C$3:$F$1223,2,0),"")</f>
        <v/>
      </c>
      <c r="D629" s="18" t="str">
        <f>IFERROR(VLOOKUP(C629,[3]Sheet2!$C$1:$F$1223,3,0),"")</f>
        <v/>
      </c>
      <c r="E629" s="18" t="str">
        <f>IFERROR(VLOOKUP(C629,[3]Sheet2!$C$1:$F$1223,4,0),"")</f>
        <v/>
      </c>
    </row>
    <row r="630" spans="2:5">
      <c r="B630" s="17" t="str">
        <f>IFERROR(VLOOKUP(C630,[3]Sheet2!$C$3:$F$1223,2,0),"")</f>
        <v/>
      </c>
      <c r="D630" s="18" t="str">
        <f>IFERROR(VLOOKUP(C630,[3]Sheet2!$C$1:$F$1223,3,0),"")</f>
        <v/>
      </c>
      <c r="E630" s="18" t="str">
        <f>IFERROR(VLOOKUP(C630,[3]Sheet2!$C$1:$F$1223,4,0),"")</f>
        <v/>
      </c>
    </row>
    <row r="631" spans="2:5">
      <c r="B631" s="17" t="str">
        <f>IFERROR(VLOOKUP(C631,[3]Sheet2!$C$3:$F$1223,2,0),"")</f>
        <v/>
      </c>
      <c r="D631" s="18" t="str">
        <f>IFERROR(VLOOKUP(C631,[3]Sheet2!$C$1:$F$1223,3,0),"")</f>
        <v/>
      </c>
      <c r="E631" s="18" t="str">
        <f>IFERROR(VLOOKUP(C631,[3]Sheet2!$C$1:$F$1223,4,0),"")</f>
        <v/>
      </c>
    </row>
    <row r="632" spans="2:5">
      <c r="B632" s="17" t="str">
        <f>IFERROR(VLOOKUP(C632,[3]Sheet2!$C$3:$F$1223,2,0),"")</f>
        <v/>
      </c>
      <c r="D632" s="18" t="str">
        <f>IFERROR(VLOOKUP(C632,[3]Sheet2!$C$1:$F$1223,3,0),"")</f>
        <v/>
      </c>
      <c r="E632" s="18" t="str">
        <f>IFERROR(VLOOKUP(C632,[3]Sheet2!$C$1:$F$1223,4,0),"")</f>
        <v/>
      </c>
    </row>
    <row r="633" spans="2:5">
      <c r="B633" s="17" t="str">
        <f>IFERROR(VLOOKUP(C633,[3]Sheet2!$C$3:$F$1223,2,0),"")</f>
        <v/>
      </c>
      <c r="D633" s="18" t="str">
        <f>IFERROR(VLOOKUP(C633,[3]Sheet2!$C$1:$F$1223,3,0),"")</f>
        <v/>
      </c>
      <c r="E633" s="18" t="str">
        <f>IFERROR(VLOOKUP(C633,[3]Sheet2!$C$1:$F$1223,4,0),"")</f>
        <v/>
      </c>
    </row>
    <row r="634" spans="2:5">
      <c r="B634" s="17" t="str">
        <f>IFERROR(VLOOKUP(C634,[3]Sheet2!$C$3:$F$1223,2,0),"")</f>
        <v/>
      </c>
      <c r="D634" s="18" t="str">
        <f>IFERROR(VLOOKUP(C634,[3]Sheet2!$C$1:$F$1223,3,0),"")</f>
        <v/>
      </c>
      <c r="E634" s="18" t="str">
        <f>IFERROR(VLOOKUP(C634,[3]Sheet2!$C$1:$F$1223,4,0),"")</f>
        <v/>
      </c>
    </row>
    <row r="635" spans="2:5">
      <c r="B635" s="17" t="str">
        <f>IFERROR(VLOOKUP(C635,[3]Sheet2!$C$3:$F$1223,2,0),"")</f>
        <v/>
      </c>
      <c r="D635" s="18" t="str">
        <f>IFERROR(VLOOKUP(C635,[3]Sheet2!$C$1:$F$1223,3,0),"")</f>
        <v/>
      </c>
      <c r="E635" s="18" t="str">
        <f>IFERROR(VLOOKUP(C635,[3]Sheet2!$C$1:$F$1223,4,0),"")</f>
        <v/>
      </c>
    </row>
    <row r="636" spans="2:5">
      <c r="B636" s="17" t="str">
        <f>IFERROR(VLOOKUP(C636,[3]Sheet2!$C$3:$F$1223,2,0),"")</f>
        <v/>
      </c>
      <c r="D636" s="18" t="str">
        <f>IFERROR(VLOOKUP(C636,[3]Sheet2!$C$1:$F$1223,3,0),"")</f>
        <v/>
      </c>
      <c r="E636" s="18" t="str">
        <f>IFERROR(VLOOKUP(C636,[3]Sheet2!$C$1:$F$1223,4,0),"")</f>
        <v/>
      </c>
    </row>
    <row r="637" spans="2:5">
      <c r="B637" s="17" t="str">
        <f>IFERROR(VLOOKUP(C637,[3]Sheet2!$C$3:$F$1223,2,0),"")</f>
        <v/>
      </c>
      <c r="D637" s="18" t="str">
        <f>IFERROR(VLOOKUP(C637,[3]Sheet2!$C$1:$F$1223,3,0),"")</f>
        <v/>
      </c>
      <c r="E637" s="18" t="str">
        <f>IFERROR(VLOOKUP(C637,[3]Sheet2!$C$1:$F$1223,4,0),"")</f>
        <v/>
      </c>
    </row>
    <row r="638" spans="2:5">
      <c r="B638" s="17" t="str">
        <f>IFERROR(VLOOKUP(C638,[3]Sheet2!$C$3:$F$1223,2,0),"")</f>
        <v/>
      </c>
      <c r="D638" s="18" t="str">
        <f>IFERROR(VLOOKUP(C638,[3]Sheet2!$C$1:$F$1223,3,0),"")</f>
        <v/>
      </c>
      <c r="E638" s="18" t="str">
        <f>IFERROR(VLOOKUP(C638,[3]Sheet2!$C$1:$F$1223,4,0),"")</f>
        <v/>
      </c>
    </row>
    <row r="639" spans="2:5">
      <c r="B639" s="17" t="str">
        <f>IFERROR(VLOOKUP(C639,[3]Sheet2!$C$3:$F$1223,2,0),"")</f>
        <v/>
      </c>
      <c r="D639" s="18" t="str">
        <f>IFERROR(VLOOKUP(C639,[3]Sheet2!$C$1:$F$1223,3,0),"")</f>
        <v/>
      </c>
      <c r="E639" s="18" t="str">
        <f>IFERROR(VLOOKUP(C639,[3]Sheet2!$C$1:$F$1223,4,0),"")</f>
        <v/>
      </c>
    </row>
    <row r="640" spans="2:5">
      <c r="B640" s="17" t="str">
        <f>IFERROR(VLOOKUP(C640,[3]Sheet2!$C$3:$F$1223,2,0),"")</f>
        <v/>
      </c>
      <c r="D640" s="18" t="str">
        <f>IFERROR(VLOOKUP(C640,[3]Sheet2!$C$1:$F$1223,3,0),"")</f>
        <v/>
      </c>
      <c r="E640" s="18" t="str">
        <f>IFERROR(VLOOKUP(C640,[3]Sheet2!$C$1:$F$1223,4,0),"")</f>
        <v/>
      </c>
    </row>
    <row r="641" spans="2:5">
      <c r="B641" s="17" t="str">
        <f>IFERROR(VLOOKUP(C641,[3]Sheet2!$C$3:$F$1223,2,0),"")</f>
        <v/>
      </c>
      <c r="D641" s="18" t="str">
        <f>IFERROR(VLOOKUP(C641,[3]Sheet2!$C$1:$F$1223,3,0),"")</f>
        <v/>
      </c>
      <c r="E641" s="18" t="str">
        <f>IFERROR(VLOOKUP(C641,[3]Sheet2!$C$1:$F$1223,4,0),"")</f>
        <v/>
      </c>
    </row>
    <row r="642" spans="2:5">
      <c r="B642" s="17" t="str">
        <f>IFERROR(VLOOKUP(C642,[3]Sheet2!$C$3:$F$1223,2,0),"")</f>
        <v/>
      </c>
      <c r="D642" s="18" t="str">
        <f>IFERROR(VLOOKUP(C642,[3]Sheet2!$C$1:$F$1223,3,0),"")</f>
        <v/>
      </c>
      <c r="E642" s="18" t="str">
        <f>IFERROR(VLOOKUP(C642,[3]Sheet2!$C$1:$F$1223,4,0),"")</f>
        <v/>
      </c>
    </row>
    <row r="643" spans="2:5">
      <c r="B643" s="17" t="str">
        <f>IFERROR(VLOOKUP(C643,[3]Sheet2!$C$3:$F$1223,2,0),"")</f>
        <v/>
      </c>
      <c r="D643" s="18" t="str">
        <f>IFERROR(VLOOKUP(C643,[3]Sheet2!$C$1:$F$1223,3,0),"")</f>
        <v/>
      </c>
      <c r="E643" s="18" t="str">
        <f>IFERROR(VLOOKUP(C643,[3]Sheet2!$C$1:$F$1223,4,0),"")</f>
        <v/>
      </c>
    </row>
    <row r="644" spans="2:5">
      <c r="B644" s="17" t="str">
        <f>IFERROR(VLOOKUP(C644,[3]Sheet2!$C$3:$F$1223,2,0),"")</f>
        <v/>
      </c>
      <c r="D644" s="18" t="str">
        <f>IFERROR(VLOOKUP(C644,[3]Sheet2!$C$1:$F$1223,3,0),"")</f>
        <v/>
      </c>
      <c r="E644" s="18" t="str">
        <f>IFERROR(VLOOKUP(C644,[3]Sheet2!$C$1:$F$1223,4,0),"")</f>
        <v/>
      </c>
    </row>
    <row r="645" spans="2:5">
      <c r="B645" s="17" t="str">
        <f>IFERROR(VLOOKUP(C645,[3]Sheet2!$C$3:$F$1223,2,0),"")</f>
        <v/>
      </c>
      <c r="D645" s="18" t="str">
        <f>IFERROR(VLOOKUP(C645,[3]Sheet2!$C$1:$F$1223,3,0),"")</f>
        <v/>
      </c>
      <c r="E645" s="18" t="str">
        <f>IFERROR(VLOOKUP(C645,[3]Sheet2!$C$1:$F$1223,4,0),"")</f>
        <v/>
      </c>
    </row>
    <row r="646" spans="2:5">
      <c r="B646" s="17" t="str">
        <f>IFERROR(VLOOKUP(C646,[3]Sheet2!$C$3:$F$1223,2,0),"")</f>
        <v/>
      </c>
      <c r="D646" s="18" t="str">
        <f>IFERROR(VLOOKUP(C646,[3]Sheet2!$C$1:$F$1223,3,0),"")</f>
        <v/>
      </c>
      <c r="E646" s="18" t="str">
        <f>IFERROR(VLOOKUP(C646,[3]Sheet2!$C$1:$F$1223,4,0),"")</f>
        <v/>
      </c>
    </row>
    <row r="647" spans="2:5">
      <c r="B647" s="17" t="str">
        <f>IFERROR(VLOOKUP(C647,[3]Sheet2!$C$3:$F$1223,2,0),"")</f>
        <v/>
      </c>
      <c r="D647" s="18" t="str">
        <f>IFERROR(VLOOKUP(C647,[3]Sheet2!$C$1:$F$1223,3,0),"")</f>
        <v/>
      </c>
      <c r="E647" s="18" t="str">
        <f>IFERROR(VLOOKUP(C647,[3]Sheet2!$C$1:$F$1223,4,0),"")</f>
        <v/>
      </c>
    </row>
    <row r="648" spans="2:5">
      <c r="B648" s="17" t="str">
        <f>IFERROR(VLOOKUP(C648,[3]Sheet2!$C$3:$F$1223,2,0),"")</f>
        <v/>
      </c>
      <c r="D648" s="18" t="str">
        <f>IFERROR(VLOOKUP(C648,[3]Sheet2!$C$1:$F$1223,3,0),"")</f>
        <v/>
      </c>
      <c r="E648" s="18" t="str">
        <f>IFERROR(VLOOKUP(C648,[3]Sheet2!$C$1:$F$1223,4,0),"")</f>
        <v/>
      </c>
    </row>
    <row r="649" spans="2:5">
      <c r="B649" s="17" t="str">
        <f>IFERROR(VLOOKUP(C649,[3]Sheet2!$C$3:$F$1223,2,0),"")</f>
        <v/>
      </c>
      <c r="D649" s="18" t="str">
        <f>IFERROR(VLOOKUP(C649,[3]Sheet2!$C$1:$F$1223,3,0),"")</f>
        <v/>
      </c>
      <c r="E649" s="18" t="str">
        <f>IFERROR(VLOOKUP(C649,[3]Sheet2!$C$1:$F$1223,4,0),"")</f>
        <v/>
      </c>
    </row>
    <row r="650" spans="2:5">
      <c r="B650" s="17" t="str">
        <f>IFERROR(VLOOKUP(C650,[3]Sheet2!$C$3:$F$1223,2,0),"")</f>
        <v/>
      </c>
      <c r="D650" s="18" t="str">
        <f>IFERROR(VLOOKUP(C650,[3]Sheet2!$C$1:$F$1223,3,0),"")</f>
        <v/>
      </c>
      <c r="E650" s="18" t="str">
        <f>IFERROR(VLOOKUP(C650,[3]Sheet2!$C$1:$F$1223,4,0),"")</f>
        <v/>
      </c>
    </row>
    <row r="651" spans="2:5">
      <c r="B651" s="17" t="str">
        <f>IFERROR(VLOOKUP(C651,[3]Sheet2!$C$3:$F$1223,2,0),"")</f>
        <v/>
      </c>
      <c r="D651" s="18" t="str">
        <f>IFERROR(VLOOKUP(C651,[3]Sheet2!$C$1:$F$1223,3,0),"")</f>
        <v/>
      </c>
      <c r="E651" s="18" t="str">
        <f>IFERROR(VLOOKUP(C651,[3]Sheet2!$C$1:$F$1223,4,0),"")</f>
        <v/>
      </c>
    </row>
    <row r="652" spans="2:5">
      <c r="B652" s="17" t="str">
        <f>IFERROR(VLOOKUP(C652,[3]Sheet2!$C$3:$F$1223,2,0),"")</f>
        <v/>
      </c>
      <c r="D652" s="18" t="str">
        <f>IFERROR(VLOOKUP(C652,[3]Sheet2!$C$1:$F$1223,3,0),"")</f>
        <v/>
      </c>
      <c r="E652" s="18" t="str">
        <f>IFERROR(VLOOKUP(C652,[3]Sheet2!$C$1:$F$1223,4,0),"")</f>
        <v/>
      </c>
    </row>
    <row r="653" spans="2:5">
      <c r="B653" s="17" t="str">
        <f>IFERROR(VLOOKUP(C653,[3]Sheet2!$C$3:$F$1223,2,0),"")</f>
        <v/>
      </c>
      <c r="D653" s="18" t="str">
        <f>IFERROR(VLOOKUP(C653,[3]Sheet2!$C$1:$F$1223,3,0),"")</f>
        <v/>
      </c>
      <c r="E653" s="18" t="str">
        <f>IFERROR(VLOOKUP(C653,[3]Sheet2!$C$1:$F$1223,4,0),"")</f>
        <v/>
      </c>
    </row>
    <row r="654" spans="2:5">
      <c r="B654" s="17" t="str">
        <f>IFERROR(VLOOKUP(C654,[3]Sheet2!$C$3:$F$1223,2,0),"")</f>
        <v/>
      </c>
      <c r="D654" s="18" t="str">
        <f>IFERROR(VLOOKUP(C654,[3]Sheet2!$C$1:$F$1223,3,0),"")</f>
        <v/>
      </c>
      <c r="E654" s="18" t="str">
        <f>IFERROR(VLOOKUP(C654,[3]Sheet2!$C$1:$F$1223,4,0),"")</f>
        <v/>
      </c>
    </row>
    <row r="655" spans="2:5">
      <c r="B655" s="17" t="str">
        <f>IFERROR(VLOOKUP(C655,[3]Sheet2!$C$3:$F$1223,2,0),"")</f>
        <v/>
      </c>
      <c r="D655" s="18" t="str">
        <f>IFERROR(VLOOKUP(C655,[3]Sheet2!$C$1:$F$1223,3,0),"")</f>
        <v/>
      </c>
      <c r="E655" s="18" t="str">
        <f>IFERROR(VLOOKUP(C655,[3]Sheet2!$C$1:$F$1223,4,0),"")</f>
        <v/>
      </c>
    </row>
    <row r="656" spans="2:5">
      <c r="B656" s="17" t="str">
        <f>IFERROR(VLOOKUP(C656,[3]Sheet2!$C$3:$F$1223,2,0),"")</f>
        <v/>
      </c>
      <c r="D656" s="18" t="str">
        <f>IFERROR(VLOOKUP(C656,[3]Sheet2!$C$1:$F$1223,3,0),"")</f>
        <v/>
      </c>
      <c r="E656" s="18" t="str">
        <f>IFERROR(VLOOKUP(C656,[3]Sheet2!$C$1:$F$1223,4,0),"")</f>
        <v/>
      </c>
    </row>
    <row r="657" spans="2:5">
      <c r="B657" s="17" t="str">
        <f>IFERROR(VLOOKUP(C657,[3]Sheet2!$C$3:$F$1223,2,0),"")</f>
        <v/>
      </c>
      <c r="D657" s="18" t="str">
        <f>IFERROR(VLOOKUP(C657,[3]Sheet2!$C$1:$F$1223,3,0),"")</f>
        <v/>
      </c>
      <c r="E657" s="18" t="str">
        <f>IFERROR(VLOOKUP(C657,[3]Sheet2!$C$1:$F$1223,4,0),"")</f>
        <v/>
      </c>
    </row>
    <row r="658" spans="2:5">
      <c r="B658" s="17" t="str">
        <f>IFERROR(VLOOKUP(C658,[3]Sheet2!$C$3:$F$1223,2,0),"")</f>
        <v/>
      </c>
      <c r="D658" s="18" t="str">
        <f>IFERROR(VLOOKUP(C658,[3]Sheet2!$C$1:$F$1223,3,0),"")</f>
        <v/>
      </c>
      <c r="E658" s="18" t="str">
        <f>IFERROR(VLOOKUP(C658,[3]Sheet2!$C$1:$F$1223,4,0),"")</f>
        <v/>
      </c>
    </row>
    <row r="659" spans="2:5">
      <c r="B659" s="17" t="str">
        <f>IFERROR(VLOOKUP(C659,[3]Sheet2!$C$3:$F$1223,2,0),"")</f>
        <v/>
      </c>
      <c r="D659" s="18" t="str">
        <f>IFERROR(VLOOKUP(C659,[3]Sheet2!$C$1:$F$1223,3,0),"")</f>
        <v/>
      </c>
      <c r="E659" s="18" t="str">
        <f>IFERROR(VLOOKUP(C659,[3]Sheet2!$C$1:$F$1223,4,0),"")</f>
        <v/>
      </c>
    </row>
    <row r="660" spans="2:5">
      <c r="B660" s="17" t="str">
        <f>IFERROR(VLOOKUP(C660,[3]Sheet2!$C$3:$F$1223,2,0),"")</f>
        <v/>
      </c>
      <c r="D660" s="18" t="str">
        <f>IFERROR(VLOOKUP(C660,[3]Sheet2!$C$1:$F$1223,3,0),"")</f>
        <v/>
      </c>
      <c r="E660" s="18" t="str">
        <f>IFERROR(VLOOKUP(C660,[3]Sheet2!$C$1:$F$1223,4,0),"")</f>
        <v/>
      </c>
    </row>
    <row r="661" spans="2:5">
      <c r="B661" s="17" t="str">
        <f>IFERROR(VLOOKUP(C661,[3]Sheet2!$C$3:$F$1223,2,0),"")</f>
        <v/>
      </c>
      <c r="D661" s="18" t="str">
        <f>IFERROR(VLOOKUP(C661,[3]Sheet2!$C$1:$F$1223,3,0),"")</f>
        <v/>
      </c>
      <c r="E661" s="18" t="str">
        <f>IFERROR(VLOOKUP(C661,[3]Sheet2!$C$1:$F$1223,4,0),"")</f>
        <v/>
      </c>
    </row>
    <row r="662" spans="2:5">
      <c r="B662" s="17" t="str">
        <f>IFERROR(VLOOKUP(C662,[3]Sheet2!$C$3:$F$1223,2,0),"")</f>
        <v/>
      </c>
      <c r="D662" s="18" t="str">
        <f>IFERROR(VLOOKUP(C662,[3]Sheet2!$C$1:$F$1223,3,0),"")</f>
        <v/>
      </c>
      <c r="E662" s="18" t="str">
        <f>IFERROR(VLOOKUP(C662,[3]Sheet2!$C$1:$F$1223,4,0),"")</f>
        <v/>
      </c>
    </row>
    <row r="663" spans="2:5">
      <c r="B663" s="17" t="str">
        <f>IFERROR(VLOOKUP(C663,[3]Sheet2!$C$3:$F$1223,2,0),"")</f>
        <v/>
      </c>
      <c r="D663" s="18" t="str">
        <f>IFERROR(VLOOKUP(C663,[3]Sheet2!$C$1:$F$1223,3,0),"")</f>
        <v/>
      </c>
      <c r="E663" s="18" t="str">
        <f>IFERROR(VLOOKUP(C663,[3]Sheet2!$C$1:$F$1223,4,0),"")</f>
        <v/>
      </c>
    </row>
    <row r="664" spans="2:5">
      <c r="B664" s="17" t="str">
        <f>IFERROR(VLOOKUP(C664,[3]Sheet2!$C$3:$F$1223,2,0),"")</f>
        <v/>
      </c>
      <c r="D664" s="18" t="str">
        <f>IFERROR(VLOOKUP(C664,[3]Sheet2!$C$1:$F$1223,3,0),"")</f>
        <v/>
      </c>
      <c r="E664" s="18" t="str">
        <f>IFERROR(VLOOKUP(C664,[3]Sheet2!$C$1:$F$1223,4,0),"")</f>
        <v/>
      </c>
    </row>
    <row r="665" spans="2:5">
      <c r="B665" s="17" t="str">
        <f>IFERROR(VLOOKUP(C665,[3]Sheet2!$C$3:$F$1223,2,0),"")</f>
        <v/>
      </c>
      <c r="D665" s="18" t="str">
        <f>IFERROR(VLOOKUP(C665,[3]Sheet2!$C$1:$F$1223,3,0),"")</f>
        <v/>
      </c>
      <c r="E665" s="18" t="str">
        <f>IFERROR(VLOOKUP(C665,[3]Sheet2!$C$1:$F$1223,4,0),"")</f>
        <v/>
      </c>
    </row>
    <row r="666" spans="2:5">
      <c r="B666" s="17" t="str">
        <f>IFERROR(VLOOKUP(C666,[3]Sheet2!$C$3:$F$1223,2,0),"")</f>
        <v/>
      </c>
      <c r="D666" s="18" t="str">
        <f>IFERROR(VLOOKUP(C666,[3]Sheet2!$C$1:$F$1223,3,0),"")</f>
        <v/>
      </c>
      <c r="E666" s="18" t="str">
        <f>IFERROR(VLOOKUP(C666,[3]Sheet2!$C$1:$F$1223,4,0),"")</f>
        <v/>
      </c>
    </row>
    <row r="667" spans="2:5">
      <c r="B667" s="17" t="str">
        <f>IFERROR(VLOOKUP(C667,[3]Sheet2!$C$3:$F$1223,2,0),"")</f>
        <v/>
      </c>
      <c r="D667" s="18" t="str">
        <f>IFERROR(VLOOKUP(C667,[3]Sheet2!$C$1:$F$1223,3,0),"")</f>
        <v/>
      </c>
      <c r="E667" s="18" t="str">
        <f>IFERROR(VLOOKUP(C667,[3]Sheet2!$C$1:$F$1223,4,0),"")</f>
        <v/>
      </c>
    </row>
    <row r="668" spans="2:5">
      <c r="B668" s="17" t="str">
        <f>IFERROR(VLOOKUP(C668,[3]Sheet2!$C$3:$F$1223,2,0),"")</f>
        <v/>
      </c>
      <c r="D668" s="18" t="str">
        <f>IFERROR(VLOOKUP(C668,[3]Sheet2!$C$1:$F$1223,3,0),"")</f>
        <v/>
      </c>
      <c r="E668" s="18" t="str">
        <f>IFERROR(VLOOKUP(C668,[3]Sheet2!$C$1:$F$1223,4,0),"")</f>
        <v/>
      </c>
    </row>
    <row r="669" spans="2:5">
      <c r="B669" s="17" t="str">
        <f>IFERROR(VLOOKUP(C669,[3]Sheet2!$C$3:$F$1223,2,0),"")</f>
        <v/>
      </c>
      <c r="D669" s="18" t="str">
        <f>IFERROR(VLOOKUP(C669,[3]Sheet2!$C$1:$F$1223,3,0),"")</f>
        <v/>
      </c>
      <c r="E669" s="18" t="str">
        <f>IFERROR(VLOOKUP(C669,[3]Sheet2!$C$1:$F$1223,4,0),"")</f>
        <v/>
      </c>
    </row>
    <row r="670" spans="2:5">
      <c r="B670" s="17" t="str">
        <f>IFERROR(VLOOKUP(C670,[3]Sheet2!$C$3:$F$1223,2,0),"")</f>
        <v/>
      </c>
      <c r="D670" s="18" t="str">
        <f>IFERROR(VLOOKUP(C670,[3]Sheet2!$C$1:$F$1223,3,0),"")</f>
        <v/>
      </c>
      <c r="E670" s="18" t="str">
        <f>IFERROR(VLOOKUP(C670,[3]Sheet2!$C$1:$F$1223,4,0),"")</f>
        <v/>
      </c>
    </row>
    <row r="671" spans="2:5">
      <c r="B671" s="17" t="str">
        <f>IFERROR(VLOOKUP(C671,[3]Sheet2!$C$3:$F$1223,2,0),"")</f>
        <v/>
      </c>
      <c r="D671" s="18" t="str">
        <f>IFERROR(VLOOKUP(C671,[3]Sheet2!$C$1:$F$1223,3,0),"")</f>
        <v/>
      </c>
      <c r="E671" s="18" t="str">
        <f>IFERROR(VLOOKUP(C671,[3]Sheet2!$C$1:$F$1223,4,0),"")</f>
        <v/>
      </c>
    </row>
    <row r="672" spans="2:5">
      <c r="B672" s="17" t="str">
        <f>IFERROR(VLOOKUP(C672,[3]Sheet2!$C$3:$F$1223,2,0),"")</f>
        <v/>
      </c>
      <c r="D672" s="18" t="str">
        <f>IFERROR(VLOOKUP(C672,[3]Sheet2!$C$1:$F$1223,3,0),"")</f>
        <v/>
      </c>
      <c r="E672" s="18" t="str">
        <f>IFERROR(VLOOKUP(C672,[3]Sheet2!$C$1:$F$1223,4,0),"")</f>
        <v/>
      </c>
    </row>
    <row r="673" spans="2:5">
      <c r="B673" s="17" t="str">
        <f>IFERROR(VLOOKUP(C673,[3]Sheet2!$C$3:$F$1223,2,0),"")</f>
        <v/>
      </c>
      <c r="D673" s="18" t="str">
        <f>IFERROR(VLOOKUP(C673,[3]Sheet2!$C$1:$F$1223,3,0),"")</f>
        <v/>
      </c>
      <c r="E673" s="18" t="str">
        <f>IFERROR(VLOOKUP(C673,[3]Sheet2!$C$1:$F$1223,4,0),"")</f>
        <v/>
      </c>
    </row>
    <row r="674" spans="2:5">
      <c r="B674" s="17" t="str">
        <f>IFERROR(VLOOKUP(C674,[3]Sheet2!$C$3:$F$1223,2,0),"")</f>
        <v/>
      </c>
      <c r="D674" s="18" t="str">
        <f>IFERROR(VLOOKUP(C674,[3]Sheet2!$C$1:$F$1223,3,0),"")</f>
        <v/>
      </c>
      <c r="E674" s="18" t="str">
        <f>IFERROR(VLOOKUP(C674,[3]Sheet2!$C$1:$F$1223,4,0),"")</f>
        <v/>
      </c>
    </row>
    <row r="675" spans="2:5">
      <c r="B675" s="17" t="str">
        <f>IFERROR(VLOOKUP(C675,[3]Sheet2!$C$3:$F$1223,2,0),"")</f>
        <v/>
      </c>
      <c r="D675" s="18" t="str">
        <f>IFERROR(VLOOKUP(C675,[3]Sheet2!$C$1:$F$1223,3,0),"")</f>
        <v/>
      </c>
      <c r="E675" s="18" t="str">
        <f>IFERROR(VLOOKUP(C675,[3]Sheet2!$C$1:$F$1223,4,0),"")</f>
        <v/>
      </c>
    </row>
    <row r="676" spans="2:5">
      <c r="B676" s="17" t="str">
        <f>IFERROR(VLOOKUP(C676,[3]Sheet2!$C$3:$F$1223,2,0),"")</f>
        <v/>
      </c>
      <c r="D676" s="18" t="str">
        <f>IFERROR(VLOOKUP(C676,[3]Sheet2!$C$1:$F$1223,3,0),"")</f>
        <v/>
      </c>
      <c r="E676" s="18" t="str">
        <f>IFERROR(VLOOKUP(C676,[3]Sheet2!$C$1:$F$1223,4,0),"")</f>
        <v/>
      </c>
    </row>
    <row r="677" spans="2:5">
      <c r="B677" s="17" t="str">
        <f>IFERROR(VLOOKUP(C677,[3]Sheet2!$C$3:$F$1223,2,0),"")</f>
        <v/>
      </c>
      <c r="D677" s="18" t="str">
        <f>IFERROR(VLOOKUP(C677,[3]Sheet2!$C$1:$F$1223,3,0),"")</f>
        <v/>
      </c>
      <c r="E677" s="18" t="str">
        <f>IFERROR(VLOOKUP(C677,[3]Sheet2!$C$1:$F$1223,4,0),"")</f>
        <v/>
      </c>
    </row>
    <row r="678" spans="2:5">
      <c r="B678" s="17" t="str">
        <f>IFERROR(VLOOKUP(C678,[3]Sheet2!$C$3:$F$1223,2,0),"")</f>
        <v/>
      </c>
      <c r="D678" s="18" t="str">
        <f>IFERROR(VLOOKUP(C678,[3]Sheet2!$C$1:$F$1223,3,0),"")</f>
        <v/>
      </c>
      <c r="E678" s="18" t="str">
        <f>IFERROR(VLOOKUP(C678,[3]Sheet2!$C$1:$F$1223,4,0),"")</f>
        <v/>
      </c>
    </row>
    <row r="679" spans="2:5">
      <c r="B679" s="17" t="str">
        <f>IFERROR(VLOOKUP(C679,[3]Sheet2!$C$3:$F$1223,2,0),"")</f>
        <v/>
      </c>
      <c r="D679" s="18" t="str">
        <f>IFERROR(VLOOKUP(C679,[3]Sheet2!$C$1:$F$1223,3,0),"")</f>
        <v/>
      </c>
      <c r="E679" s="18" t="str">
        <f>IFERROR(VLOOKUP(C679,[3]Sheet2!$C$1:$F$1223,4,0),"")</f>
        <v/>
      </c>
    </row>
    <row r="680" spans="2:5">
      <c r="B680" s="17" t="str">
        <f>IFERROR(VLOOKUP(C680,[3]Sheet2!$C$3:$F$1223,2,0),"")</f>
        <v/>
      </c>
      <c r="D680" s="18" t="str">
        <f>IFERROR(VLOOKUP(C680,[3]Sheet2!$C$1:$F$1223,3,0),"")</f>
        <v/>
      </c>
      <c r="E680" s="18" t="str">
        <f>IFERROR(VLOOKUP(C680,[3]Sheet2!$C$1:$F$1223,4,0),"")</f>
        <v/>
      </c>
    </row>
    <row r="681" spans="2:5">
      <c r="B681" s="17" t="str">
        <f>IFERROR(VLOOKUP(C681,[3]Sheet2!$C$3:$F$1223,2,0),"")</f>
        <v/>
      </c>
      <c r="D681" s="18" t="str">
        <f>IFERROR(VLOOKUP(C681,[3]Sheet2!$C$1:$F$1223,3,0),"")</f>
        <v/>
      </c>
      <c r="E681" s="18" t="str">
        <f>IFERROR(VLOOKUP(C681,[3]Sheet2!$C$1:$F$1223,4,0),"")</f>
        <v/>
      </c>
    </row>
    <row r="682" spans="2:5">
      <c r="B682" s="17" t="str">
        <f>IFERROR(VLOOKUP(C682,[3]Sheet2!$C$3:$F$1223,2,0),"")</f>
        <v/>
      </c>
      <c r="D682" s="18" t="str">
        <f>IFERROR(VLOOKUP(C682,[3]Sheet2!$C$1:$F$1223,3,0),"")</f>
        <v/>
      </c>
      <c r="E682" s="18" t="str">
        <f>IFERROR(VLOOKUP(C682,[3]Sheet2!$C$1:$F$1223,4,0),"")</f>
        <v/>
      </c>
    </row>
    <row r="683" spans="2:5">
      <c r="B683" s="17" t="str">
        <f>IFERROR(VLOOKUP(C683,[3]Sheet2!$C$3:$F$1223,2,0),"")</f>
        <v/>
      </c>
      <c r="D683" s="18" t="str">
        <f>IFERROR(VLOOKUP(C683,[3]Sheet2!$C$1:$F$1223,3,0),"")</f>
        <v/>
      </c>
      <c r="E683" s="18" t="str">
        <f>IFERROR(VLOOKUP(C683,[3]Sheet2!$C$1:$F$1223,4,0),"")</f>
        <v/>
      </c>
    </row>
    <row r="684" spans="2:5">
      <c r="B684" s="17" t="str">
        <f>IFERROR(VLOOKUP(C684,[3]Sheet2!$C$3:$F$1223,2,0),"")</f>
        <v/>
      </c>
      <c r="D684" s="18" t="str">
        <f>IFERROR(VLOOKUP(C684,[3]Sheet2!$C$1:$F$1223,3,0),"")</f>
        <v/>
      </c>
      <c r="E684" s="18" t="str">
        <f>IFERROR(VLOOKUP(C684,[3]Sheet2!$C$1:$F$1223,4,0),"")</f>
        <v/>
      </c>
    </row>
    <row r="685" spans="2:5">
      <c r="B685" s="17" t="str">
        <f>IFERROR(VLOOKUP(C685,[3]Sheet2!$C$3:$F$1223,2,0),"")</f>
        <v/>
      </c>
      <c r="D685" s="18" t="str">
        <f>IFERROR(VLOOKUP(C685,[3]Sheet2!$C$1:$F$1223,3,0),"")</f>
        <v/>
      </c>
      <c r="E685" s="18" t="str">
        <f>IFERROR(VLOOKUP(C685,[3]Sheet2!$C$1:$F$1223,4,0),"")</f>
        <v/>
      </c>
    </row>
    <row r="686" spans="2:5">
      <c r="B686" s="17" t="str">
        <f>IFERROR(VLOOKUP(C686,[3]Sheet2!$C$3:$F$1223,2,0),"")</f>
        <v/>
      </c>
      <c r="D686" s="18" t="str">
        <f>IFERROR(VLOOKUP(C686,[3]Sheet2!$C$1:$F$1223,3,0),"")</f>
        <v/>
      </c>
      <c r="E686" s="18" t="str">
        <f>IFERROR(VLOOKUP(C686,[3]Sheet2!$C$1:$F$1223,4,0),"")</f>
        <v/>
      </c>
    </row>
    <row r="687" spans="2:5">
      <c r="B687" s="17" t="str">
        <f>IFERROR(VLOOKUP(C687,[3]Sheet2!$C$3:$F$1223,2,0),"")</f>
        <v/>
      </c>
      <c r="D687" s="18" t="str">
        <f>IFERROR(VLOOKUP(C687,[3]Sheet2!$C$1:$F$1223,3,0),"")</f>
        <v/>
      </c>
      <c r="E687" s="18" t="str">
        <f>IFERROR(VLOOKUP(C687,[3]Sheet2!$C$1:$F$1223,4,0),"")</f>
        <v/>
      </c>
    </row>
    <row r="688" spans="2:5">
      <c r="B688" s="17" t="str">
        <f>IFERROR(VLOOKUP(C688,[3]Sheet2!$C$3:$F$1223,2,0),"")</f>
        <v/>
      </c>
      <c r="D688" s="18" t="str">
        <f>IFERROR(VLOOKUP(C688,[3]Sheet2!$C$1:$F$1223,3,0),"")</f>
        <v/>
      </c>
      <c r="E688" s="18" t="str">
        <f>IFERROR(VLOOKUP(C688,[3]Sheet2!$C$1:$F$1223,4,0),"")</f>
        <v/>
      </c>
    </row>
    <row r="689" spans="2:5">
      <c r="B689" s="17" t="str">
        <f>IFERROR(VLOOKUP(C689,[3]Sheet2!$C$3:$F$1223,2,0),"")</f>
        <v/>
      </c>
      <c r="D689" s="18" t="str">
        <f>IFERROR(VLOOKUP(C689,[3]Sheet2!$C$1:$F$1223,3,0),"")</f>
        <v/>
      </c>
      <c r="E689" s="18" t="str">
        <f>IFERROR(VLOOKUP(C689,[3]Sheet2!$C$1:$F$1223,4,0),"")</f>
        <v/>
      </c>
    </row>
    <row r="690" spans="2:5">
      <c r="B690" s="17" t="str">
        <f>IFERROR(VLOOKUP(C690,[3]Sheet2!$C$3:$F$1223,2,0),"")</f>
        <v/>
      </c>
      <c r="D690" s="18" t="str">
        <f>IFERROR(VLOOKUP(C690,[3]Sheet2!$C$1:$F$1223,3,0),"")</f>
        <v/>
      </c>
      <c r="E690" s="18" t="str">
        <f>IFERROR(VLOOKUP(C690,[3]Sheet2!$C$1:$F$1223,4,0),"")</f>
        <v/>
      </c>
    </row>
    <row r="691" spans="2:5">
      <c r="B691" s="17" t="str">
        <f>IFERROR(VLOOKUP(C691,[3]Sheet2!$C$3:$F$1223,2,0),"")</f>
        <v/>
      </c>
      <c r="D691" s="18" t="str">
        <f>IFERROR(VLOOKUP(C691,[3]Sheet2!$C$1:$F$1223,3,0),"")</f>
        <v/>
      </c>
      <c r="E691" s="18" t="str">
        <f>IFERROR(VLOOKUP(C691,[3]Sheet2!$C$1:$F$1223,4,0),"")</f>
        <v/>
      </c>
    </row>
    <row r="692" spans="2:5">
      <c r="B692" s="17" t="str">
        <f>IFERROR(VLOOKUP(C692,[3]Sheet2!$C$3:$F$1223,2,0),"")</f>
        <v/>
      </c>
      <c r="D692" s="18" t="str">
        <f>IFERROR(VLOOKUP(C692,[3]Sheet2!$C$1:$F$1223,3,0),"")</f>
        <v/>
      </c>
      <c r="E692" s="18" t="str">
        <f>IFERROR(VLOOKUP(C692,[3]Sheet2!$C$1:$F$1223,4,0),"")</f>
        <v/>
      </c>
    </row>
    <row r="693" spans="2:5">
      <c r="B693" s="17" t="str">
        <f>IFERROR(VLOOKUP(C693,[3]Sheet2!$C$3:$F$1223,2,0),"")</f>
        <v/>
      </c>
      <c r="D693" s="18" t="str">
        <f>IFERROR(VLOOKUP(C693,[3]Sheet2!$C$1:$F$1223,3,0),"")</f>
        <v/>
      </c>
      <c r="E693" s="18" t="str">
        <f>IFERROR(VLOOKUP(C693,[3]Sheet2!$C$1:$F$1223,4,0),"")</f>
        <v/>
      </c>
    </row>
    <row r="694" spans="2:5">
      <c r="B694" s="17" t="str">
        <f>IFERROR(VLOOKUP(C694,[3]Sheet2!$C$3:$F$1223,2,0),"")</f>
        <v/>
      </c>
      <c r="D694" s="18" t="str">
        <f>IFERROR(VLOOKUP(C694,[3]Sheet2!$C$1:$F$1223,3,0),"")</f>
        <v/>
      </c>
      <c r="E694" s="18" t="str">
        <f>IFERROR(VLOOKUP(C694,[3]Sheet2!$C$1:$F$1223,4,0),"")</f>
        <v/>
      </c>
    </row>
    <row r="695" spans="2:5">
      <c r="B695" s="17" t="str">
        <f>IFERROR(VLOOKUP(C695,[3]Sheet2!$C$3:$F$1223,2,0),"")</f>
        <v/>
      </c>
      <c r="D695" s="18" t="str">
        <f>IFERROR(VLOOKUP(C695,[3]Sheet2!$C$1:$F$1223,3,0),"")</f>
        <v/>
      </c>
      <c r="E695" s="18" t="str">
        <f>IFERROR(VLOOKUP(C695,[3]Sheet2!$C$1:$F$1223,4,0),"")</f>
        <v/>
      </c>
    </row>
    <row r="696" spans="2:5">
      <c r="B696" s="17" t="str">
        <f>IFERROR(VLOOKUP(C696,[3]Sheet2!$C$3:$F$1223,2,0),"")</f>
        <v/>
      </c>
      <c r="D696" s="18" t="str">
        <f>IFERROR(VLOOKUP(C696,[3]Sheet2!$C$1:$F$1223,3,0),"")</f>
        <v/>
      </c>
      <c r="E696" s="18" t="str">
        <f>IFERROR(VLOOKUP(C696,[3]Sheet2!$C$1:$F$1223,4,0),"")</f>
        <v/>
      </c>
    </row>
    <row r="697" spans="2:5">
      <c r="B697" s="17" t="str">
        <f>IFERROR(VLOOKUP(C697,[3]Sheet2!$C$3:$F$1223,2,0),"")</f>
        <v/>
      </c>
      <c r="D697" s="18" t="str">
        <f>IFERROR(VLOOKUP(C697,[3]Sheet2!$C$1:$F$1223,3,0),"")</f>
        <v/>
      </c>
      <c r="E697" s="18" t="str">
        <f>IFERROR(VLOOKUP(C697,[3]Sheet2!$C$1:$F$1223,4,0),"")</f>
        <v/>
      </c>
    </row>
    <row r="698" spans="2:5">
      <c r="B698" s="17" t="str">
        <f>IFERROR(VLOOKUP(C698,[3]Sheet2!$C$3:$F$1223,2,0),"")</f>
        <v/>
      </c>
      <c r="D698" s="18" t="str">
        <f>IFERROR(VLOOKUP(C698,[3]Sheet2!$C$1:$F$1223,3,0),"")</f>
        <v/>
      </c>
      <c r="E698" s="18" t="str">
        <f>IFERROR(VLOOKUP(C698,[3]Sheet2!$C$1:$F$1223,4,0),"")</f>
        <v/>
      </c>
    </row>
    <row r="699" spans="2:5">
      <c r="B699" s="17" t="str">
        <f>IFERROR(VLOOKUP(C699,[3]Sheet2!$C$3:$F$1223,2,0),"")</f>
        <v/>
      </c>
      <c r="D699" s="18" t="str">
        <f>IFERROR(VLOOKUP(C699,[3]Sheet2!$C$1:$F$1223,3,0),"")</f>
        <v/>
      </c>
      <c r="E699" s="18" t="str">
        <f>IFERROR(VLOOKUP(C699,[3]Sheet2!$C$1:$F$1223,4,0),"")</f>
        <v/>
      </c>
    </row>
    <row r="700" spans="2:5">
      <c r="B700" s="17" t="str">
        <f>IFERROR(VLOOKUP(C700,[3]Sheet2!$C$3:$F$1223,2,0),"")</f>
        <v/>
      </c>
      <c r="D700" s="18" t="str">
        <f>IFERROR(VLOOKUP(C700,[3]Sheet2!$C$1:$F$1223,3,0),"")</f>
        <v/>
      </c>
      <c r="E700" s="18" t="str">
        <f>IFERROR(VLOOKUP(C700,[3]Sheet2!$C$1:$F$1223,4,0),"")</f>
        <v/>
      </c>
    </row>
    <row r="701" spans="2:5">
      <c r="B701" s="17" t="str">
        <f>IFERROR(VLOOKUP(C701,[3]Sheet2!$C$3:$F$1223,2,0),"")</f>
        <v/>
      </c>
      <c r="D701" s="18" t="str">
        <f>IFERROR(VLOOKUP(C701,[3]Sheet2!$C$1:$F$1223,3,0),"")</f>
        <v/>
      </c>
      <c r="E701" s="18" t="str">
        <f>IFERROR(VLOOKUP(C701,[3]Sheet2!$C$1:$F$1223,4,0),"")</f>
        <v/>
      </c>
    </row>
    <row r="702" spans="2:5">
      <c r="B702" s="17" t="str">
        <f>IFERROR(VLOOKUP(C702,[3]Sheet2!$C$3:$F$1223,2,0),"")</f>
        <v/>
      </c>
      <c r="D702" s="18" t="str">
        <f>IFERROR(VLOOKUP(C702,[3]Sheet2!$C$1:$F$1223,3,0),"")</f>
        <v/>
      </c>
      <c r="E702" s="18" t="str">
        <f>IFERROR(VLOOKUP(C702,[3]Sheet2!$C$1:$F$1223,4,0),"")</f>
        <v/>
      </c>
    </row>
    <row r="703" spans="2:5">
      <c r="B703" s="17" t="str">
        <f>IFERROR(VLOOKUP(C703,[3]Sheet2!$C$3:$F$1223,2,0),"")</f>
        <v/>
      </c>
      <c r="D703" s="18" t="str">
        <f>IFERROR(VLOOKUP(C703,[3]Sheet2!$C$1:$F$1223,3,0),"")</f>
        <v/>
      </c>
      <c r="E703" s="18" t="str">
        <f>IFERROR(VLOOKUP(C703,[3]Sheet2!$C$1:$F$1223,4,0),"")</f>
        <v/>
      </c>
    </row>
    <row r="704" spans="2:5">
      <c r="B704" s="17" t="str">
        <f>IFERROR(VLOOKUP(C704,[3]Sheet2!$C$3:$F$1223,2,0),"")</f>
        <v/>
      </c>
      <c r="D704" s="18" t="str">
        <f>IFERROR(VLOOKUP(C704,[3]Sheet2!$C$1:$F$1223,3,0),"")</f>
        <v/>
      </c>
      <c r="E704" s="18" t="str">
        <f>IFERROR(VLOOKUP(C704,[3]Sheet2!$C$1:$F$1223,4,0),"")</f>
        <v/>
      </c>
    </row>
    <row r="705" spans="2:5">
      <c r="B705" s="17" t="str">
        <f>IFERROR(VLOOKUP(C705,[3]Sheet2!$C$3:$F$1223,2,0),"")</f>
        <v/>
      </c>
      <c r="D705" s="18" t="str">
        <f>IFERROR(VLOOKUP(C705,[3]Sheet2!$C$1:$F$1223,3,0),"")</f>
        <v/>
      </c>
      <c r="E705" s="18" t="str">
        <f>IFERROR(VLOOKUP(C705,[3]Sheet2!$C$1:$F$1223,4,0),"")</f>
        <v/>
      </c>
    </row>
    <row r="706" spans="2:5">
      <c r="B706" s="17" t="str">
        <f>IFERROR(VLOOKUP(C706,[3]Sheet2!$C$3:$F$1223,2,0),"")</f>
        <v/>
      </c>
      <c r="D706" s="18" t="str">
        <f>IFERROR(VLOOKUP(C706,[3]Sheet2!$C$1:$F$1223,3,0),"")</f>
        <v/>
      </c>
      <c r="E706" s="18" t="str">
        <f>IFERROR(VLOOKUP(C706,[3]Sheet2!$C$1:$F$1223,4,0),"")</f>
        <v/>
      </c>
    </row>
    <row r="707" spans="2:5">
      <c r="B707" s="17" t="str">
        <f>IFERROR(VLOOKUP(C707,[3]Sheet2!$C$3:$F$1223,2,0),"")</f>
        <v/>
      </c>
      <c r="D707" s="18" t="str">
        <f>IFERROR(VLOOKUP(C707,[3]Sheet2!$C$1:$F$1223,3,0),"")</f>
        <v/>
      </c>
      <c r="E707" s="18" t="str">
        <f>IFERROR(VLOOKUP(C707,[3]Sheet2!$C$1:$F$1223,4,0),"")</f>
        <v/>
      </c>
    </row>
    <row r="708" spans="2:5">
      <c r="B708" s="17" t="str">
        <f>IFERROR(VLOOKUP(C708,[3]Sheet2!$C$3:$F$1223,2,0),"")</f>
        <v/>
      </c>
      <c r="D708" s="18" t="str">
        <f>IFERROR(VLOOKUP(C708,[3]Sheet2!$C$1:$F$1223,3,0),"")</f>
        <v/>
      </c>
      <c r="E708" s="18" t="str">
        <f>IFERROR(VLOOKUP(C708,[3]Sheet2!$C$1:$F$1223,4,0),"")</f>
        <v/>
      </c>
    </row>
    <row r="709" spans="2:5">
      <c r="B709" s="17" t="str">
        <f>IFERROR(VLOOKUP(C709,[3]Sheet2!$C$3:$F$1223,2,0),"")</f>
        <v/>
      </c>
      <c r="D709" s="18" t="str">
        <f>IFERROR(VLOOKUP(C709,[3]Sheet2!$C$1:$F$1223,3,0),"")</f>
        <v/>
      </c>
      <c r="E709" s="18" t="str">
        <f>IFERROR(VLOOKUP(C709,[3]Sheet2!$C$1:$F$1223,4,0),"")</f>
        <v/>
      </c>
    </row>
    <row r="710" spans="2:5">
      <c r="B710" s="17" t="str">
        <f>IFERROR(VLOOKUP(C710,[3]Sheet2!$C$3:$F$1223,2,0),"")</f>
        <v/>
      </c>
      <c r="D710" s="18" t="str">
        <f>IFERROR(VLOOKUP(C710,[3]Sheet2!$C$1:$F$1223,3,0),"")</f>
        <v/>
      </c>
      <c r="E710" s="18" t="str">
        <f>IFERROR(VLOOKUP(C710,[3]Sheet2!$C$1:$F$1223,4,0),"")</f>
        <v/>
      </c>
    </row>
    <row r="711" spans="2:5">
      <c r="B711" s="17" t="str">
        <f>IFERROR(VLOOKUP(C711,[3]Sheet2!$C$3:$F$1223,2,0),"")</f>
        <v/>
      </c>
      <c r="D711" s="18" t="str">
        <f>IFERROR(VLOOKUP(C711,[3]Sheet2!$C$1:$F$1223,3,0),"")</f>
        <v/>
      </c>
      <c r="E711" s="18" t="str">
        <f>IFERROR(VLOOKUP(C711,[3]Sheet2!$C$1:$F$1223,4,0),"")</f>
        <v/>
      </c>
    </row>
    <row r="712" spans="2:5">
      <c r="B712" s="17" t="str">
        <f>IFERROR(VLOOKUP(C712,[3]Sheet2!$C$3:$F$1223,2,0),"")</f>
        <v/>
      </c>
      <c r="D712" s="18" t="str">
        <f>IFERROR(VLOOKUP(C712,[3]Sheet2!$C$1:$F$1223,3,0),"")</f>
        <v/>
      </c>
      <c r="E712" s="18" t="str">
        <f>IFERROR(VLOOKUP(C712,[3]Sheet2!$C$1:$F$1223,4,0),"")</f>
        <v/>
      </c>
    </row>
    <row r="713" spans="2:5">
      <c r="B713" s="17" t="str">
        <f>IFERROR(VLOOKUP(C713,[3]Sheet2!$C$3:$F$1223,2,0),"")</f>
        <v/>
      </c>
      <c r="D713" s="18" t="str">
        <f>IFERROR(VLOOKUP(C713,[3]Sheet2!$C$1:$F$1223,3,0),"")</f>
        <v/>
      </c>
      <c r="E713" s="18" t="str">
        <f>IFERROR(VLOOKUP(C713,[3]Sheet2!$C$1:$F$1223,4,0),"")</f>
        <v/>
      </c>
    </row>
    <row r="714" spans="2:5">
      <c r="B714" s="17" t="str">
        <f>IFERROR(VLOOKUP(C714,[3]Sheet2!$C$3:$F$1223,2,0),"")</f>
        <v/>
      </c>
      <c r="D714" s="18" t="str">
        <f>IFERROR(VLOOKUP(C714,[3]Sheet2!$C$1:$F$1223,3,0),"")</f>
        <v/>
      </c>
      <c r="E714" s="18" t="str">
        <f>IFERROR(VLOOKUP(C714,[3]Sheet2!$C$1:$F$1223,4,0),"")</f>
        <v/>
      </c>
    </row>
    <row r="715" spans="2:5">
      <c r="B715" s="17" t="str">
        <f>IFERROR(VLOOKUP(C715,[3]Sheet2!$C$3:$F$1223,2,0),"")</f>
        <v/>
      </c>
      <c r="D715" s="18" t="str">
        <f>IFERROR(VLOOKUP(C715,[3]Sheet2!$C$1:$F$1223,3,0),"")</f>
        <v/>
      </c>
      <c r="E715" s="18" t="str">
        <f>IFERROR(VLOOKUP(C715,[3]Sheet2!$C$1:$F$1223,4,0),"")</f>
        <v/>
      </c>
    </row>
    <row r="716" spans="2:5">
      <c r="B716" s="17" t="str">
        <f>IFERROR(VLOOKUP(C716,[3]Sheet2!$C$3:$F$1223,2,0),"")</f>
        <v/>
      </c>
      <c r="D716" s="18" t="str">
        <f>IFERROR(VLOOKUP(C716,[3]Sheet2!$C$1:$F$1223,3,0),"")</f>
        <v/>
      </c>
      <c r="E716" s="18" t="str">
        <f>IFERROR(VLOOKUP(C716,[3]Sheet2!$C$1:$F$1223,4,0),"")</f>
        <v/>
      </c>
    </row>
    <row r="717" spans="2:5">
      <c r="B717" s="17" t="str">
        <f>IFERROR(VLOOKUP(C717,[3]Sheet2!$C$3:$F$1223,2,0),"")</f>
        <v/>
      </c>
      <c r="D717" s="18" t="str">
        <f>IFERROR(VLOOKUP(C717,[3]Sheet2!$C$1:$F$1223,3,0),"")</f>
        <v/>
      </c>
      <c r="E717" s="18" t="str">
        <f>IFERROR(VLOOKUP(C717,[3]Sheet2!$C$1:$F$1223,4,0),"")</f>
        <v/>
      </c>
    </row>
    <row r="718" spans="2:5">
      <c r="B718" s="17" t="str">
        <f>IFERROR(VLOOKUP(C718,[3]Sheet2!$C$3:$F$1223,2,0),"")</f>
        <v/>
      </c>
      <c r="D718" s="18" t="str">
        <f>IFERROR(VLOOKUP(C718,[3]Sheet2!$C$1:$F$1223,3,0),"")</f>
        <v/>
      </c>
      <c r="E718" s="18" t="str">
        <f>IFERROR(VLOOKUP(C718,[3]Sheet2!$C$1:$F$1223,4,0),"")</f>
        <v/>
      </c>
    </row>
    <row r="719" spans="2:5">
      <c r="B719" s="17" t="str">
        <f>IFERROR(VLOOKUP(C719,[3]Sheet2!$C$3:$F$1223,2,0),"")</f>
        <v/>
      </c>
      <c r="D719" s="18" t="str">
        <f>IFERROR(VLOOKUP(C719,[3]Sheet2!$C$1:$F$1223,3,0),"")</f>
        <v/>
      </c>
      <c r="E719" s="18" t="str">
        <f>IFERROR(VLOOKUP(C719,[3]Sheet2!$C$1:$F$1223,4,0),"")</f>
        <v/>
      </c>
    </row>
    <row r="720" spans="2:5">
      <c r="B720" s="17" t="str">
        <f>IFERROR(VLOOKUP(C720,[3]Sheet2!$C$3:$F$1223,2,0),"")</f>
        <v/>
      </c>
      <c r="D720" s="18" t="str">
        <f>IFERROR(VLOOKUP(C720,[3]Sheet2!$C$1:$F$1223,3,0),"")</f>
        <v/>
      </c>
      <c r="E720" s="18" t="str">
        <f>IFERROR(VLOOKUP(C720,[3]Sheet2!$C$1:$F$1223,4,0),"")</f>
        <v/>
      </c>
    </row>
    <row r="721" spans="2:5">
      <c r="B721" s="17" t="str">
        <f>IFERROR(VLOOKUP(C721,[3]Sheet2!$C$3:$F$1223,2,0),"")</f>
        <v/>
      </c>
      <c r="D721" s="18" t="str">
        <f>IFERROR(VLOOKUP(C721,[3]Sheet2!$C$1:$F$1223,3,0),"")</f>
        <v/>
      </c>
      <c r="E721" s="18" t="str">
        <f>IFERROR(VLOOKUP(C721,[3]Sheet2!$C$1:$F$1223,4,0),"")</f>
        <v/>
      </c>
    </row>
    <row r="722" spans="2:5">
      <c r="B722" s="17" t="str">
        <f>IFERROR(VLOOKUP(C722,[3]Sheet2!$C$3:$F$1223,2,0),"")</f>
        <v/>
      </c>
      <c r="D722" s="18" t="str">
        <f>IFERROR(VLOOKUP(C722,[3]Sheet2!$C$1:$F$1223,3,0),"")</f>
        <v/>
      </c>
      <c r="E722" s="18" t="str">
        <f>IFERROR(VLOOKUP(C722,[3]Sheet2!$C$1:$F$1223,4,0),"")</f>
        <v/>
      </c>
    </row>
    <row r="723" spans="2:5">
      <c r="B723" s="17" t="str">
        <f>IFERROR(VLOOKUP(C723,[3]Sheet2!$C$3:$F$1223,2,0),"")</f>
        <v/>
      </c>
      <c r="D723" s="18" t="str">
        <f>IFERROR(VLOOKUP(C723,[3]Sheet2!$C$1:$F$1223,3,0),"")</f>
        <v/>
      </c>
      <c r="E723" s="18" t="str">
        <f>IFERROR(VLOOKUP(C723,[3]Sheet2!$C$1:$F$1223,4,0),"")</f>
        <v/>
      </c>
    </row>
    <row r="724" spans="2:5">
      <c r="B724" s="17" t="str">
        <f>IFERROR(VLOOKUP(C724,[3]Sheet2!$C$3:$F$1223,2,0),"")</f>
        <v/>
      </c>
      <c r="D724" s="18" t="str">
        <f>IFERROR(VLOOKUP(C724,[3]Sheet2!$C$1:$F$1223,3,0),"")</f>
        <v/>
      </c>
      <c r="E724" s="18" t="str">
        <f>IFERROR(VLOOKUP(C724,[3]Sheet2!$C$1:$F$1223,4,0),"")</f>
        <v/>
      </c>
    </row>
    <row r="725" spans="2:5">
      <c r="B725" s="17" t="str">
        <f>IFERROR(VLOOKUP(C725,[3]Sheet2!$C$3:$F$1223,2,0),"")</f>
        <v/>
      </c>
      <c r="D725" s="18" t="str">
        <f>IFERROR(VLOOKUP(C725,[3]Sheet2!$C$1:$F$1223,3,0),"")</f>
        <v/>
      </c>
      <c r="E725" s="18" t="str">
        <f>IFERROR(VLOOKUP(C725,[3]Sheet2!$C$1:$F$1223,4,0),"")</f>
        <v/>
      </c>
    </row>
    <row r="726" spans="2:5">
      <c r="B726" s="17" t="str">
        <f>IFERROR(VLOOKUP(C726,[3]Sheet2!$C$3:$F$1223,2,0),"")</f>
        <v/>
      </c>
      <c r="D726" s="18" t="str">
        <f>IFERROR(VLOOKUP(C726,[3]Sheet2!$C$1:$F$1223,3,0),"")</f>
        <v/>
      </c>
      <c r="E726" s="18" t="str">
        <f>IFERROR(VLOOKUP(C726,[3]Sheet2!$C$1:$F$1223,4,0),"")</f>
        <v/>
      </c>
    </row>
    <row r="727" spans="2:5">
      <c r="B727" s="17" t="str">
        <f>IFERROR(VLOOKUP(C727,[3]Sheet2!$C$3:$F$1223,2,0),"")</f>
        <v/>
      </c>
      <c r="D727" s="18" t="str">
        <f>IFERROR(VLOOKUP(C727,[3]Sheet2!$C$1:$F$1223,3,0),"")</f>
        <v/>
      </c>
      <c r="E727" s="18" t="str">
        <f>IFERROR(VLOOKUP(C727,[3]Sheet2!$C$1:$F$1223,4,0),"")</f>
        <v/>
      </c>
    </row>
    <row r="728" spans="2:5">
      <c r="B728" s="17" t="str">
        <f>IFERROR(VLOOKUP(C728,[3]Sheet2!$C$3:$F$1223,2,0),"")</f>
        <v/>
      </c>
      <c r="D728" s="18" t="str">
        <f>IFERROR(VLOOKUP(C728,[3]Sheet2!$C$1:$F$1223,3,0),"")</f>
        <v/>
      </c>
      <c r="E728" s="18" t="str">
        <f>IFERROR(VLOOKUP(C728,[3]Sheet2!$C$1:$F$1223,4,0),"")</f>
        <v/>
      </c>
    </row>
    <row r="729" spans="2:5">
      <c r="B729" s="17" t="str">
        <f>IFERROR(VLOOKUP(C729,[3]Sheet2!$C$3:$F$1223,2,0),"")</f>
        <v/>
      </c>
      <c r="D729" s="18" t="str">
        <f>IFERROR(VLOOKUP(C729,[3]Sheet2!$C$1:$F$1223,3,0),"")</f>
        <v/>
      </c>
      <c r="E729" s="18" t="str">
        <f>IFERROR(VLOOKUP(C729,[3]Sheet2!$C$1:$F$1223,4,0),"")</f>
        <v/>
      </c>
    </row>
    <row r="730" spans="2:5">
      <c r="B730" s="17" t="str">
        <f>IFERROR(VLOOKUP(C730,[3]Sheet2!$C$3:$F$1223,2,0),"")</f>
        <v/>
      </c>
      <c r="D730" s="18" t="str">
        <f>IFERROR(VLOOKUP(C730,[3]Sheet2!$C$1:$F$1223,3,0),"")</f>
        <v/>
      </c>
      <c r="E730" s="18" t="str">
        <f>IFERROR(VLOOKUP(C730,[3]Sheet2!$C$1:$F$1223,4,0),"")</f>
        <v/>
      </c>
    </row>
    <row r="731" spans="2:5">
      <c r="B731" s="17" t="str">
        <f>IFERROR(VLOOKUP(C731,[3]Sheet2!$C$3:$F$1223,2,0),"")</f>
        <v/>
      </c>
      <c r="D731" s="18" t="str">
        <f>IFERROR(VLOOKUP(C731,[3]Sheet2!$C$1:$F$1223,3,0),"")</f>
        <v/>
      </c>
      <c r="E731" s="18" t="str">
        <f>IFERROR(VLOOKUP(C731,[3]Sheet2!$C$1:$F$1223,4,0),"")</f>
        <v/>
      </c>
    </row>
    <row r="732" spans="2:5">
      <c r="B732" s="17" t="str">
        <f>IFERROR(VLOOKUP(C732,[3]Sheet2!$C$3:$F$1223,2,0),"")</f>
        <v/>
      </c>
      <c r="D732" s="18" t="str">
        <f>IFERROR(VLOOKUP(C732,[3]Sheet2!$C$1:$F$1223,3,0),"")</f>
        <v/>
      </c>
      <c r="E732" s="18" t="str">
        <f>IFERROR(VLOOKUP(C732,[3]Sheet2!$C$1:$F$1223,4,0),"")</f>
        <v/>
      </c>
    </row>
    <row r="733" spans="2:5">
      <c r="B733" s="17" t="str">
        <f>IFERROR(VLOOKUP(C733,[3]Sheet2!$C$3:$F$1223,2,0),"")</f>
        <v/>
      </c>
      <c r="D733" s="18" t="str">
        <f>IFERROR(VLOOKUP(C733,[3]Sheet2!$C$1:$F$1223,3,0),"")</f>
        <v/>
      </c>
      <c r="E733" s="18" t="str">
        <f>IFERROR(VLOOKUP(C733,[3]Sheet2!$C$1:$F$1223,4,0),"")</f>
        <v/>
      </c>
    </row>
    <row r="734" spans="2:5">
      <c r="B734" s="17" t="str">
        <f>IFERROR(VLOOKUP(C734,[3]Sheet2!$C$3:$F$1223,2,0),"")</f>
        <v/>
      </c>
    </row>
    <row r="735" spans="2:5">
      <c r="B735" s="17" t="str">
        <f>IFERROR(VLOOKUP(C735,[3]Sheet2!$C$3:$F$1223,2,0),"")</f>
        <v/>
      </c>
    </row>
    <row r="736" spans="2:5">
      <c r="B736" s="17" t="str">
        <f>IFERROR(VLOOKUP(C736,[3]Sheet2!$C$3:$F$1223,2,0),"")</f>
        <v/>
      </c>
    </row>
    <row r="737" spans="2:2">
      <c r="B737" s="17" t="str">
        <f>IFERROR(VLOOKUP(C737,[3]Sheet2!$C$3:$F$1223,2,0),"")</f>
        <v/>
      </c>
    </row>
    <row r="738" spans="2:2">
      <c r="B738" s="17" t="str">
        <f>IFERROR(VLOOKUP(C738,[3]Sheet2!$C$3:$F$1223,2,0),"")</f>
        <v/>
      </c>
    </row>
    <row r="739" spans="2:2">
      <c r="B739" s="17" t="str">
        <f>IFERROR(VLOOKUP(C739,[3]Sheet2!$C$3:$F$1223,2,0),"")</f>
        <v/>
      </c>
    </row>
    <row r="740" spans="2:2">
      <c r="B740" s="17" t="str">
        <f>IFERROR(VLOOKUP(C740,[3]Sheet2!$C$3:$F$1223,2,0),"")</f>
        <v/>
      </c>
    </row>
    <row r="741" spans="2:2">
      <c r="B741" s="17" t="str">
        <f>IFERROR(VLOOKUP(C741,[3]Sheet2!$C$3:$F$1223,2,0),"")</f>
        <v/>
      </c>
    </row>
    <row r="742" spans="2:2">
      <c r="B742" s="17" t="str">
        <f>IFERROR(VLOOKUP(C742,[3]Sheet2!$C$3:$F$1223,2,0),"")</f>
        <v/>
      </c>
    </row>
    <row r="743" spans="2:2">
      <c r="B743" s="17" t="str">
        <f>IFERROR(VLOOKUP(C743,Sheet2!$C$3:$F$1223,2,0),"")</f>
        <v/>
      </c>
    </row>
  </sheetData>
  <autoFilter ref="B2:V743"/>
  <mergeCells count="2">
    <mergeCell ref="K1:V1"/>
    <mergeCell ref="X1:AI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AI743"/>
  <sheetViews>
    <sheetView showGridLines="0" zoomScale="85" zoomScaleNormal="85" workbookViewId="0"/>
  </sheetViews>
  <sheetFormatPr defaultRowHeight="17" outlineLevelCol="1"/>
  <cols>
    <col min="2" max="2" width="8.58203125" style="19" bestFit="1" customWidth="1"/>
    <col min="3" max="3" width="6.5" style="20" bestFit="1" customWidth="1"/>
    <col min="4" max="4" width="7.08203125" style="21" bestFit="1" customWidth="1"/>
    <col min="5" max="5" width="21.33203125" style="21" bestFit="1" customWidth="1"/>
    <col min="6" max="6" width="26.83203125" style="20" bestFit="1" customWidth="1"/>
    <col min="7" max="7" width="8.08203125" style="39" bestFit="1" customWidth="1"/>
    <col min="8" max="8" width="11" style="20" customWidth="1" outlineLevel="1"/>
    <col min="9" max="9" width="14.83203125" style="20" customWidth="1" outlineLevel="1"/>
    <col min="10" max="10" width="54.25" style="20" customWidth="1" outlineLevel="1"/>
    <col min="11" max="21" width="9" style="32"/>
    <col min="22" max="22" width="9" style="33"/>
    <col min="23" max="23" width="9" style="30"/>
    <col min="24" max="24" width="9" style="31"/>
    <col min="25" max="34" width="9" style="32"/>
    <col min="35" max="35" width="9" style="33"/>
  </cols>
  <sheetData>
    <row r="1" spans="2:35">
      <c r="B1" s="13"/>
      <c r="C1"/>
      <c r="D1" s="13"/>
      <c r="E1" s="13"/>
      <c r="F1"/>
      <c r="G1" s="1"/>
      <c r="H1"/>
      <c r="I1"/>
      <c r="J1"/>
      <c r="K1" s="101" t="s">
        <v>2315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/>
      <c r="X1" s="104" t="s">
        <v>2316</v>
      </c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6"/>
    </row>
    <row r="2" spans="2:35">
      <c r="B2" s="14" t="s">
        <v>1158</v>
      </c>
      <c r="C2" s="15" t="s">
        <v>0</v>
      </c>
      <c r="D2" s="16" t="s">
        <v>2313</v>
      </c>
      <c r="E2" s="16" t="s">
        <v>1</v>
      </c>
      <c r="F2" s="15" t="s">
        <v>2314</v>
      </c>
      <c r="G2" s="15" t="s">
        <v>17</v>
      </c>
      <c r="H2" s="15" t="s">
        <v>14</v>
      </c>
      <c r="I2" s="15" t="s">
        <v>15</v>
      </c>
      <c r="J2" s="22" t="s">
        <v>16</v>
      </c>
      <c r="K2" s="24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25" t="s">
        <v>7</v>
      </c>
      <c r="Q2" s="25" t="s">
        <v>8</v>
      </c>
      <c r="R2" s="25" t="s">
        <v>9</v>
      </c>
      <c r="S2" s="25" t="s">
        <v>10</v>
      </c>
      <c r="T2" s="25" t="s">
        <v>11</v>
      </c>
      <c r="U2" s="25" t="s">
        <v>12</v>
      </c>
      <c r="V2" s="26" t="s">
        <v>13</v>
      </c>
      <c r="W2"/>
      <c r="X2" s="24" t="s">
        <v>2</v>
      </c>
      <c r="Y2" s="25" t="s">
        <v>3</v>
      </c>
      <c r="Z2" s="25" t="s">
        <v>4</v>
      </c>
      <c r="AA2" s="25" t="s">
        <v>5</v>
      </c>
      <c r="AB2" s="25" t="s">
        <v>6</v>
      </c>
      <c r="AC2" s="25" t="s">
        <v>7</v>
      </c>
      <c r="AD2" s="25" t="s">
        <v>8</v>
      </c>
      <c r="AE2" s="25" t="s">
        <v>9</v>
      </c>
      <c r="AF2" s="25" t="s">
        <v>10</v>
      </c>
      <c r="AG2" s="25" t="s">
        <v>11</v>
      </c>
      <c r="AH2" s="25" t="s">
        <v>12</v>
      </c>
      <c r="AI2" s="26" t="s">
        <v>13</v>
      </c>
    </row>
    <row r="3" spans="2:35">
      <c r="B3" s="17" t="str">
        <f>IFERROR(VLOOKUP(C3,[7]Sheet2!$C$3:$F$1223,2,0),"")</f>
        <v>Daejeon</v>
      </c>
      <c r="C3" s="3">
        <v>33534</v>
      </c>
      <c r="D3" s="18" t="str">
        <f>IFERROR(VLOOKUP(C3,[7]Sheet2!$C$1:$F$1223,3,0),"")</f>
        <v>양찬모</v>
      </c>
      <c r="E3" s="18" t="str">
        <f>IFERROR(VLOOKUP(C3,[7]Sheet2!$C$1:$F$1223,4,0),"")</f>
        <v>현대주류주식회사</v>
      </c>
      <c r="F3" s="2" t="s">
        <v>3014</v>
      </c>
      <c r="G3" s="3" t="s">
        <v>3217</v>
      </c>
      <c r="H3" s="4" t="s">
        <v>3167</v>
      </c>
      <c r="I3" s="4" t="s">
        <v>3169</v>
      </c>
      <c r="J3" s="23" t="s">
        <v>3219</v>
      </c>
      <c r="K3" s="27"/>
      <c r="L3" s="28"/>
      <c r="M3" s="28"/>
      <c r="N3" s="28"/>
      <c r="O3" s="28"/>
      <c r="P3" s="28"/>
      <c r="Q3" s="28"/>
      <c r="R3" s="28"/>
      <c r="S3" s="28">
        <v>1</v>
      </c>
      <c r="T3" s="28"/>
      <c r="U3" s="28">
        <v>1</v>
      </c>
      <c r="V3" s="29"/>
      <c r="X3" s="31">
        <v>2</v>
      </c>
    </row>
    <row r="4" spans="2:35">
      <c r="B4" s="17" t="str">
        <f>IFERROR(VLOOKUP(C4,[7]Sheet2!$C$3:$F$1223,2,0),"")</f>
        <v>Daejeon</v>
      </c>
      <c r="C4" s="3">
        <v>33533</v>
      </c>
      <c r="D4" s="18" t="str">
        <f>IFERROR(VLOOKUP(C4,[7]Sheet2!$C$1:$F$1223,3,0),"")</f>
        <v>양찬모</v>
      </c>
      <c r="E4" s="18" t="str">
        <f>IFERROR(VLOOKUP(C4,[7]Sheet2!$C$1:$F$1223,4,0),"")</f>
        <v>장천주류(주)</v>
      </c>
      <c r="F4" s="2" t="s">
        <v>3015</v>
      </c>
      <c r="G4" s="3" t="s">
        <v>3217</v>
      </c>
      <c r="H4" s="4" t="s">
        <v>3167</v>
      </c>
      <c r="I4" s="4" t="s">
        <v>3169</v>
      </c>
      <c r="J4" s="23" t="s">
        <v>3220</v>
      </c>
      <c r="K4" s="27"/>
      <c r="L4" s="28"/>
      <c r="M4" s="28"/>
      <c r="N4" s="28"/>
      <c r="O4" s="28"/>
      <c r="P4" s="28"/>
      <c r="Q4" s="28"/>
      <c r="R4" s="28"/>
      <c r="S4" s="28">
        <v>1</v>
      </c>
      <c r="T4" s="28"/>
      <c r="U4" s="28"/>
      <c r="V4" s="29"/>
    </row>
    <row r="5" spans="2:35">
      <c r="B5" s="17" t="str">
        <f>IFERROR(VLOOKUP(C5,[7]Sheet2!$C$3:$F$1223,2,0),"")</f>
        <v>Daejeon</v>
      </c>
      <c r="C5" s="3">
        <v>33504</v>
      </c>
      <c r="D5" s="18" t="str">
        <f>IFERROR(VLOOKUP(C5,[7]Sheet2!$C$1:$F$1223,3,0),"")</f>
        <v>양찬모</v>
      </c>
      <c r="E5" s="18" t="str">
        <f>IFERROR(VLOOKUP(C5,[7]Sheet2!$C$1:$F$1223,4,0),"")</f>
        <v>온양상사(주)</v>
      </c>
      <c r="F5" s="2" t="s">
        <v>3016</v>
      </c>
      <c r="G5" s="3" t="s">
        <v>3217</v>
      </c>
      <c r="H5" s="4" t="s">
        <v>3221</v>
      </c>
      <c r="I5" s="4" t="s">
        <v>517</v>
      </c>
      <c r="J5" s="23" t="s">
        <v>3222</v>
      </c>
      <c r="K5" s="27"/>
      <c r="L5" s="28"/>
      <c r="M5" s="28"/>
      <c r="N5" s="28"/>
      <c r="O5" s="28"/>
      <c r="P5" s="28"/>
      <c r="Q5" s="28"/>
      <c r="R5" s="28">
        <v>1</v>
      </c>
      <c r="S5" s="28"/>
      <c r="T5" s="28"/>
      <c r="U5" s="28"/>
      <c r="V5" s="29"/>
    </row>
    <row r="6" spans="2:35">
      <c r="B6" s="17" t="str">
        <f>IFERROR(VLOOKUP(C6,[7]Sheet2!$C$3:$F$1223,2,0),"")</f>
        <v>Daejeon</v>
      </c>
      <c r="C6" s="3">
        <v>33536</v>
      </c>
      <c r="D6" s="18" t="str">
        <f>IFERROR(VLOOKUP(C6,[7]Sheet2!$C$1:$F$1223,3,0),"")</f>
        <v>양찬모</v>
      </c>
      <c r="E6" s="18" t="str">
        <f>IFERROR(VLOOKUP(C6,[7]Sheet2!$C$1:$F$1223,4,0),"")</f>
        <v>한밭상사(주)</v>
      </c>
      <c r="F6" s="2" t="s">
        <v>3017</v>
      </c>
      <c r="G6" s="3" t="s">
        <v>3217</v>
      </c>
      <c r="H6" s="4" t="s">
        <v>3167</v>
      </c>
      <c r="I6" s="4" t="s">
        <v>3169</v>
      </c>
      <c r="J6" s="23" t="s">
        <v>3223</v>
      </c>
      <c r="K6" s="27"/>
      <c r="L6" s="28"/>
      <c r="M6" s="28"/>
      <c r="N6" s="28"/>
      <c r="O6" s="28"/>
      <c r="P6" s="28"/>
      <c r="Q6" s="28"/>
      <c r="R6" s="28"/>
      <c r="S6" s="28">
        <v>1</v>
      </c>
      <c r="T6" s="28"/>
      <c r="U6" s="28"/>
      <c r="V6" s="29"/>
    </row>
    <row r="7" spans="2:35">
      <c r="B7" s="17" t="str">
        <f>IFERROR(VLOOKUP(C7,[7]Sheet2!$C$3:$F$1223,2,0),"")</f>
        <v>Daejeon</v>
      </c>
      <c r="C7" s="3">
        <v>33555</v>
      </c>
      <c r="D7" s="18" t="str">
        <f>IFERROR(VLOOKUP(C7,[7]Sheet2!$C$1:$F$1223,3,0),"")</f>
        <v>양찬모</v>
      </c>
      <c r="E7" s="18" t="str">
        <f>IFERROR(VLOOKUP(C7,[7]Sheet2!$C$1:$F$1223,4,0),"")</f>
        <v>새한물산(주)</v>
      </c>
      <c r="F7" s="2" t="s">
        <v>3018</v>
      </c>
      <c r="G7" s="3" t="s">
        <v>3218</v>
      </c>
      <c r="H7" s="4" t="s">
        <v>3224</v>
      </c>
      <c r="I7" s="4" t="s">
        <v>3225</v>
      </c>
      <c r="J7" s="23" t="s">
        <v>3226</v>
      </c>
      <c r="K7" s="27"/>
      <c r="L7" s="28"/>
      <c r="M7" s="28"/>
      <c r="N7" s="28"/>
      <c r="O7" s="28"/>
      <c r="P7" s="28"/>
      <c r="Q7" s="28"/>
      <c r="R7" s="28">
        <v>5</v>
      </c>
      <c r="S7" s="28"/>
      <c r="T7" s="28"/>
      <c r="U7" s="28"/>
      <c r="V7" s="29"/>
    </row>
    <row r="8" spans="2:35">
      <c r="B8" s="17" t="str">
        <f>IFERROR(VLOOKUP(C8,[7]Sheet2!$C$3:$F$1223,2,0),"")</f>
        <v>Daejeon</v>
      </c>
      <c r="C8" s="3">
        <v>33528</v>
      </c>
      <c r="D8" s="18" t="str">
        <f>IFERROR(VLOOKUP(C8,[7]Sheet2!$C$1:$F$1223,3,0),"")</f>
        <v>양찬모</v>
      </c>
      <c r="E8" s="18" t="str">
        <f>IFERROR(VLOOKUP(C8,[7]Sheet2!$C$1:$F$1223,4,0),"")</f>
        <v>청원주류상사(합)</v>
      </c>
      <c r="F8" s="2" t="s">
        <v>3019</v>
      </c>
      <c r="G8" s="3" t="s">
        <v>3217</v>
      </c>
      <c r="H8" s="4" t="s">
        <v>3167</v>
      </c>
      <c r="I8" s="4" t="s">
        <v>132</v>
      </c>
      <c r="J8" s="23" t="s">
        <v>3227</v>
      </c>
      <c r="K8" s="27"/>
      <c r="L8" s="28"/>
      <c r="M8" s="28"/>
      <c r="N8" s="28"/>
      <c r="O8" s="28"/>
      <c r="P8" s="28"/>
      <c r="Q8" s="28"/>
      <c r="R8" s="28">
        <v>1</v>
      </c>
      <c r="S8" s="28"/>
      <c r="T8" s="28"/>
      <c r="U8" s="28"/>
      <c r="V8" s="29"/>
      <c r="X8" s="31">
        <v>1</v>
      </c>
      <c r="Y8" s="32">
        <v>1</v>
      </c>
    </row>
    <row r="9" spans="2:35">
      <c r="B9" s="17" t="str">
        <f>IFERROR(VLOOKUP(C9,[7]Sheet2!$C$3:$F$1223,2,0),"")</f>
        <v>Daejeon</v>
      </c>
      <c r="C9" s="3">
        <v>33546</v>
      </c>
      <c r="D9" s="18" t="str">
        <f>IFERROR(VLOOKUP(C9,[7]Sheet2!$C$1:$F$1223,3,0),"")</f>
        <v>양찬모</v>
      </c>
      <c r="E9" s="18" t="str">
        <f>IFERROR(VLOOKUP(C9,[7]Sheet2!$C$1:$F$1223,4,0),"")</f>
        <v>동서주류상사(자)</v>
      </c>
      <c r="F9" s="2" t="s">
        <v>3020</v>
      </c>
      <c r="G9" s="3" t="s">
        <v>3217</v>
      </c>
      <c r="H9" s="4" t="s">
        <v>3167</v>
      </c>
      <c r="I9" s="4" t="s">
        <v>3169</v>
      </c>
      <c r="J9" s="23" t="s">
        <v>3228</v>
      </c>
      <c r="K9" s="27"/>
      <c r="L9" s="28"/>
      <c r="M9" s="28"/>
      <c r="N9" s="28"/>
      <c r="O9" s="28"/>
      <c r="P9" s="28"/>
      <c r="Q9" s="28"/>
      <c r="R9" s="28">
        <v>1</v>
      </c>
      <c r="S9" s="28"/>
      <c r="T9" s="28"/>
      <c r="U9" s="28"/>
      <c r="V9" s="29"/>
    </row>
    <row r="10" spans="2:35">
      <c r="B10" s="17" t="str">
        <f>IFERROR(VLOOKUP(C10,[7]Sheet2!$C$3:$F$1223,2,0),"")</f>
        <v>Daejeon</v>
      </c>
      <c r="C10" s="3">
        <v>33547</v>
      </c>
      <c r="D10" s="18" t="str">
        <f>IFERROR(VLOOKUP(C10,[7]Sheet2!$C$1:$F$1223,3,0),"")</f>
        <v>양찬모</v>
      </c>
      <c r="E10" s="18" t="str">
        <f>IFERROR(VLOOKUP(C10,[7]Sheet2!$C$1:$F$1223,4,0),"")</f>
        <v>청호주류합명회사</v>
      </c>
      <c r="F10" s="2" t="s">
        <v>3021</v>
      </c>
      <c r="G10" s="3" t="s">
        <v>3218</v>
      </c>
      <c r="H10" s="4" t="s">
        <v>564</v>
      </c>
      <c r="I10" s="4" t="s">
        <v>3229</v>
      </c>
      <c r="J10" s="23" t="s">
        <v>3230</v>
      </c>
      <c r="K10" s="27"/>
      <c r="L10" s="28"/>
      <c r="M10" s="28"/>
      <c r="N10" s="28"/>
      <c r="O10" s="28"/>
      <c r="P10" s="28"/>
      <c r="Q10" s="28">
        <v>1</v>
      </c>
      <c r="R10" s="28">
        <v>1</v>
      </c>
      <c r="S10" s="28"/>
      <c r="T10" s="28">
        <v>1</v>
      </c>
      <c r="U10" s="28"/>
      <c r="V10" s="29"/>
    </row>
    <row r="11" spans="2:35">
      <c r="B11" s="17" t="str">
        <f>IFERROR(VLOOKUP(C11,[7]Sheet2!$C$3:$F$1223,2,0),"")</f>
        <v>Daejeon</v>
      </c>
      <c r="C11" s="3">
        <v>33524</v>
      </c>
      <c r="D11" s="18" t="str">
        <f>IFERROR(VLOOKUP(C11,[7]Sheet2!$C$1:$F$1223,3,0),"")</f>
        <v>양찬모</v>
      </c>
      <c r="E11" s="18" t="str">
        <f>IFERROR(VLOOKUP(C11,[7]Sheet2!$C$1:$F$1223,4,0),"")</f>
        <v>대광상사(유)</v>
      </c>
      <c r="F11" s="2" t="s">
        <v>3022</v>
      </c>
      <c r="G11" s="3" t="s">
        <v>3217</v>
      </c>
      <c r="H11" s="4" t="s">
        <v>3167</v>
      </c>
      <c r="I11" s="4" t="s">
        <v>3169</v>
      </c>
      <c r="J11" s="23" t="s">
        <v>3231</v>
      </c>
      <c r="K11" s="27"/>
      <c r="L11" s="28"/>
      <c r="M11" s="28"/>
      <c r="N11" s="28"/>
      <c r="O11" s="28"/>
      <c r="P11" s="28"/>
      <c r="Q11" s="28"/>
      <c r="R11" s="28">
        <v>4</v>
      </c>
      <c r="S11" s="28"/>
      <c r="T11" s="28"/>
      <c r="U11" s="28"/>
      <c r="V11" s="29"/>
      <c r="Y11" s="32">
        <v>1</v>
      </c>
    </row>
    <row r="12" spans="2:35">
      <c r="B12" s="17" t="str">
        <f>IFERROR(VLOOKUP(C12,[7]Sheet2!$C$3:$F$1223,2,0),"")</f>
        <v>Daejeon</v>
      </c>
      <c r="C12" s="3">
        <v>33524</v>
      </c>
      <c r="D12" s="18" t="str">
        <f>IFERROR(VLOOKUP(C12,[7]Sheet2!$C$1:$F$1223,3,0),"")</f>
        <v>양찬모</v>
      </c>
      <c r="E12" s="18" t="str">
        <f>IFERROR(VLOOKUP(C12,[7]Sheet2!$C$1:$F$1223,4,0),"")</f>
        <v>대광상사(유)</v>
      </c>
      <c r="F12" s="2" t="s">
        <v>3023</v>
      </c>
      <c r="G12" s="3" t="s">
        <v>3218</v>
      </c>
      <c r="H12" s="4" t="s">
        <v>3185</v>
      </c>
      <c r="I12" s="4"/>
      <c r="J12" s="23" t="s">
        <v>3232</v>
      </c>
      <c r="K12" s="27"/>
      <c r="L12" s="28"/>
      <c r="M12" s="28"/>
      <c r="N12" s="28"/>
      <c r="O12" s="28"/>
      <c r="P12" s="28"/>
      <c r="Q12" s="28"/>
      <c r="R12" s="28">
        <v>3</v>
      </c>
      <c r="S12" s="28">
        <v>3</v>
      </c>
      <c r="T12" s="28"/>
      <c r="U12" s="28"/>
      <c r="V12" s="29"/>
    </row>
    <row r="13" spans="2:35">
      <c r="B13" s="17" t="str">
        <f>IFERROR(VLOOKUP(C13,[7]Sheet2!$C$3:$F$1223,2,0),"")</f>
        <v>Daejeon</v>
      </c>
      <c r="C13" s="3">
        <v>33524</v>
      </c>
      <c r="D13" s="18" t="str">
        <f>IFERROR(VLOOKUP(C13,[7]Sheet2!$C$1:$F$1223,3,0),"")</f>
        <v>양찬모</v>
      </c>
      <c r="E13" s="18" t="str">
        <f>IFERROR(VLOOKUP(C13,[7]Sheet2!$C$1:$F$1223,4,0),"")</f>
        <v>대광상사(유)</v>
      </c>
      <c r="F13" s="2" t="s">
        <v>3024</v>
      </c>
      <c r="G13" s="3" t="s">
        <v>3218</v>
      </c>
      <c r="H13" s="4" t="s">
        <v>3185</v>
      </c>
      <c r="I13" s="4"/>
      <c r="J13" s="23" t="s">
        <v>3233</v>
      </c>
      <c r="K13" s="27"/>
      <c r="L13" s="28"/>
      <c r="M13" s="28"/>
      <c r="N13" s="28"/>
      <c r="O13" s="28"/>
      <c r="P13" s="28"/>
      <c r="Q13" s="28"/>
      <c r="R13" s="28">
        <v>2</v>
      </c>
      <c r="S13" s="28"/>
      <c r="T13" s="28"/>
      <c r="U13" s="28"/>
      <c r="V13" s="29"/>
    </row>
    <row r="14" spans="2:35">
      <c r="B14" s="17" t="str">
        <f>IFERROR(VLOOKUP(C14,[7]Sheet2!$C$3:$F$1223,2,0),"")</f>
        <v>Daejeon</v>
      </c>
      <c r="C14" s="3">
        <v>33504</v>
      </c>
      <c r="D14" s="18" t="str">
        <f>IFERROR(VLOOKUP(C14,[7]Sheet2!$C$1:$F$1223,3,0),"")</f>
        <v>양찬모</v>
      </c>
      <c r="E14" s="18" t="str">
        <f>IFERROR(VLOOKUP(C14,[7]Sheet2!$C$1:$F$1223,4,0),"")</f>
        <v>온양상사(주)</v>
      </c>
      <c r="F14" s="2" t="s">
        <v>3025</v>
      </c>
      <c r="G14" s="3" t="s">
        <v>3217</v>
      </c>
      <c r="H14" s="4" t="s">
        <v>3221</v>
      </c>
      <c r="I14" s="4" t="s">
        <v>3234</v>
      </c>
      <c r="J14" s="23" t="s">
        <v>3235</v>
      </c>
      <c r="K14" s="27"/>
      <c r="L14" s="28"/>
      <c r="M14" s="28"/>
      <c r="N14" s="28"/>
      <c r="O14" s="28"/>
      <c r="P14" s="28"/>
      <c r="Q14" s="28"/>
      <c r="R14" s="28">
        <v>1</v>
      </c>
      <c r="S14" s="28"/>
      <c r="T14" s="28"/>
      <c r="U14" s="28">
        <v>2</v>
      </c>
      <c r="V14" s="29"/>
    </row>
    <row r="15" spans="2:35">
      <c r="B15" s="17" t="str">
        <f>IFERROR(VLOOKUP(C15,[7]Sheet2!$C$3:$F$1223,2,0),"")</f>
        <v>Daejeon</v>
      </c>
      <c r="C15" s="3">
        <v>33555</v>
      </c>
      <c r="D15" s="18" t="str">
        <f>IFERROR(VLOOKUP(C15,[7]Sheet2!$C$1:$F$1223,3,0),"")</f>
        <v>양찬모</v>
      </c>
      <c r="E15" s="18" t="str">
        <f>IFERROR(VLOOKUP(C15,[7]Sheet2!$C$1:$F$1223,4,0),"")</f>
        <v>새한물산(주)</v>
      </c>
      <c r="F15" s="2" t="s">
        <v>3026</v>
      </c>
      <c r="G15" s="3" t="s">
        <v>3218</v>
      </c>
      <c r="H15" s="4" t="s">
        <v>564</v>
      </c>
      <c r="I15" s="4" t="s">
        <v>902</v>
      </c>
      <c r="J15" s="23" t="s">
        <v>3236</v>
      </c>
      <c r="K15" s="27"/>
      <c r="L15" s="28"/>
      <c r="M15" s="28"/>
      <c r="N15" s="28">
        <v>2</v>
      </c>
      <c r="O15" s="28">
        <v>2</v>
      </c>
      <c r="P15" s="28"/>
      <c r="Q15" s="28"/>
      <c r="R15" s="28"/>
      <c r="S15" s="28"/>
      <c r="T15" s="28"/>
      <c r="U15" s="28"/>
      <c r="V15" s="29"/>
    </row>
    <row r="16" spans="2:35">
      <c r="B16" s="17" t="str">
        <f>IFERROR(VLOOKUP(C16,[7]Sheet2!$C$3:$F$1223,2,0),"")</f>
        <v>Daejeon</v>
      </c>
      <c r="C16" s="3">
        <v>33568</v>
      </c>
      <c r="D16" s="18" t="str">
        <f>IFERROR(VLOOKUP(C16,[7]Sheet2!$C$1:$F$1223,3,0),"")</f>
        <v>양찬모</v>
      </c>
      <c r="E16" s="18" t="str">
        <f>IFERROR(VLOOKUP(C16,[7]Sheet2!$C$1:$F$1223,4,0),"")</f>
        <v>청주주류상사(유)</v>
      </c>
      <c r="F16" s="2" t="s">
        <v>3027</v>
      </c>
      <c r="G16" s="3" t="s">
        <v>3218</v>
      </c>
      <c r="H16" s="4" t="s">
        <v>564</v>
      </c>
      <c r="I16" s="4" t="s">
        <v>902</v>
      </c>
      <c r="J16" s="23" t="s">
        <v>3237</v>
      </c>
      <c r="K16" s="27"/>
      <c r="L16" s="28"/>
      <c r="M16" s="28"/>
      <c r="N16" s="28">
        <v>5</v>
      </c>
      <c r="O16" s="28">
        <v>3</v>
      </c>
      <c r="P16" s="28">
        <v>2</v>
      </c>
      <c r="Q16" s="28">
        <v>2</v>
      </c>
      <c r="R16" s="28"/>
      <c r="S16" s="28"/>
      <c r="T16" s="28"/>
      <c r="U16" s="28"/>
      <c r="V16" s="29"/>
    </row>
    <row r="17" spans="2:25">
      <c r="B17" s="17" t="str">
        <f>IFERROR(VLOOKUP(C17,[7]Sheet2!$C$3:$F$1223,2,0),"")</f>
        <v>Daejeon</v>
      </c>
      <c r="C17" s="3">
        <v>33546</v>
      </c>
      <c r="D17" s="18" t="str">
        <f>IFERROR(VLOOKUP(C17,[7]Sheet2!$C$1:$F$1223,3,0),"")</f>
        <v>양찬모</v>
      </c>
      <c r="E17" s="18" t="str">
        <f>IFERROR(VLOOKUP(C17,[7]Sheet2!$C$1:$F$1223,4,0),"")</f>
        <v>동서주류상사(자)</v>
      </c>
      <c r="F17" s="2" t="s">
        <v>3028</v>
      </c>
      <c r="G17" s="3" t="s">
        <v>3218</v>
      </c>
      <c r="H17" s="4" t="s">
        <v>3167</v>
      </c>
      <c r="I17" s="4" t="s">
        <v>3191</v>
      </c>
      <c r="J17" s="23" t="s">
        <v>3238</v>
      </c>
      <c r="K17" s="27"/>
      <c r="L17" s="28"/>
      <c r="M17" s="28"/>
      <c r="N17" s="28">
        <v>2</v>
      </c>
      <c r="O17" s="28">
        <v>6</v>
      </c>
      <c r="P17" s="28">
        <v>3</v>
      </c>
      <c r="Q17" s="28"/>
      <c r="R17" s="28">
        <v>4</v>
      </c>
      <c r="S17" s="28">
        <v>3</v>
      </c>
      <c r="T17" s="28">
        <v>16</v>
      </c>
      <c r="U17" s="28">
        <v>3</v>
      </c>
      <c r="V17" s="29"/>
      <c r="X17" s="31">
        <v>11</v>
      </c>
      <c r="Y17" s="32">
        <v>4</v>
      </c>
    </row>
    <row r="18" spans="2:25">
      <c r="B18" s="17" t="str">
        <f>IFERROR(VLOOKUP(C18,[7]Sheet2!$C$3:$F$1223,2,0),"")</f>
        <v>Daejeon</v>
      </c>
      <c r="C18" s="3">
        <v>33530</v>
      </c>
      <c r="D18" s="18" t="str">
        <f>IFERROR(VLOOKUP(C18,[7]Sheet2!$C$1:$F$1223,3,0),"")</f>
        <v>양찬모</v>
      </c>
      <c r="E18" s="18" t="str">
        <f>IFERROR(VLOOKUP(C18,[7]Sheet2!$C$1:$F$1223,4,0),"")</f>
        <v>삼성주류대전</v>
      </c>
      <c r="F18" s="2" t="s">
        <v>3029</v>
      </c>
      <c r="G18" s="3" t="s">
        <v>3217</v>
      </c>
      <c r="H18" s="4" t="s">
        <v>3167</v>
      </c>
      <c r="I18" s="4" t="s">
        <v>132</v>
      </c>
      <c r="J18" s="23" t="s">
        <v>3239</v>
      </c>
      <c r="K18" s="27"/>
      <c r="L18" s="28"/>
      <c r="M18" s="28"/>
      <c r="N18" s="28">
        <v>1</v>
      </c>
      <c r="O18" s="28"/>
      <c r="P18" s="28">
        <v>3</v>
      </c>
      <c r="Q18" s="28"/>
      <c r="R18" s="28"/>
      <c r="S18" s="28"/>
      <c r="T18" s="28"/>
      <c r="U18" s="28"/>
      <c r="V18" s="29"/>
    </row>
    <row r="19" spans="2:25">
      <c r="B19" s="17" t="str">
        <f>IFERROR(VLOOKUP(C19,[7]Sheet2!$C$3:$F$1223,2,0),"")</f>
        <v>Daejeon</v>
      </c>
      <c r="C19" s="3">
        <v>33546</v>
      </c>
      <c r="D19" s="18" t="str">
        <f>IFERROR(VLOOKUP(C19,[7]Sheet2!$C$1:$F$1223,3,0),"")</f>
        <v>양찬모</v>
      </c>
      <c r="E19" s="18" t="str">
        <f>IFERROR(VLOOKUP(C19,[7]Sheet2!$C$1:$F$1223,4,0),"")</f>
        <v>동서주류상사(자)</v>
      </c>
      <c r="F19" s="2" t="s">
        <v>3030</v>
      </c>
      <c r="G19" s="3" t="s">
        <v>3218</v>
      </c>
      <c r="H19" s="4" t="s">
        <v>3167</v>
      </c>
      <c r="I19" s="4" t="s">
        <v>878</v>
      </c>
      <c r="J19" s="23" t="s">
        <v>3240</v>
      </c>
      <c r="K19" s="27"/>
      <c r="L19" s="28"/>
      <c r="M19" s="28"/>
      <c r="N19" s="28">
        <v>5</v>
      </c>
      <c r="O19" s="28"/>
      <c r="P19" s="28"/>
      <c r="Q19" s="28"/>
      <c r="R19" s="28"/>
      <c r="S19" s="28"/>
      <c r="T19" s="28"/>
      <c r="U19" s="28"/>
      <c r="V19" s="29"/>
    </row>
    <row r="20" spans="2:25">
      <c r="B20" s="17" t="str">
        <f>IFERROR(VLOOKUP(C20,[7]Sheet2!$C$3:$F$1223,2,0),"")</f>
        <v>Daejeon</v>
      </c>
      <c r="C20" s="3">
        <v>39219</v>
      </c>
      <c r="D20" s="18" t="str">
        <f>IFERROR(VLOOKUP(C20,[7]Sheet2!$C$1:$F$1223,3,0),"")</f>
        <v>양찬모</v>
      </c>
      <c r="E20" s="18" t="str">
        <f>IFERROR(VLOOKUP(C20,[7]Sheet2!$C$1:$F$1223,4,0),"")</f>
        <v>무한종합주류상사</v>
      </c>
      <c r="F20" s="2" t="s">
        <v>3031</v>
      </c>
      <c r="G20" s="3" t="s">
        <v>3218</v>
      </c>
      <c r="H20" s="4" t="s">
        <v>3185</v>
      </c>
      <c r="I20" s="4"/>
      <c r="J20" s="23" t="s">
        <v>3241</v>
      </c>
      <c r="K20" s="27"/>
      <c r="L20" s="28"/>
      <c r="M20" s="28"/>
      <c r="N20" s="28">
        <v>2</v>
      </c>
      <c r="O20" s="28"/>
      <c r="P20" s="28"/>
      <c r="Q20" s="28"/>
      <c r="R20" s="28"/>
      <c r="S20" s="28"/>
      <c r="T20" s="28"/>
      <c r="U20" s="28"/>
      <c r="V20" s="29"/>
    </row>
    <row r="21" spans="2:25">
      <c r="B21" s="17" t="str">
        <f>IFERROR(VLOOKUP(C21,[7]Sheet2!$C$3:$F$1223,2,0),"")</f>
        <v>Daejeon</v>
      </c>
      <c r="C21" s="3">
        <v>33528</v>
      </c>
      <c r="D21" s="18" t="str">
        <f>IFERROR(VLOOKUP(C21,[7]Sheet2!$C$1:$F$1223,3,0),"")</f>
        <v>양찬모</v>
      </c>
      <c r="E21" s="18" t="str">
        <f>IFERROR(VLOOKUP(C21,[7]Sheet2!$C$1:$F$1223,4,0),"")</f>
        <v>청원주류상사(합)</v>
      </c>
      <c r="F21" s="2" t="s">
        <v>3032</v>
      </c>
      <c r="G21" s="3" t="s">
        <v>3218</v>
      </c>
      <c r="H21" s="4" t="s">
        <v>3167</v>
      </c>
      <c r="I21" s="4" t="s">
        <v>3191</v>
      </c>
      <c r="J21" s="23" t="s">
        <v>3242</v>
      </c>
      <c r="K21" s="27"/>
      <c r="L21" s="28"/>
      <c r="M21" s="28"/>
      <c r="N21" s="28">
        <v>5</v>
      </c>
      <c r="O21" s="28">
        <v>2</v>
      </c>
      <c r="P21" s="28">
        <v>2</v>
      </c>
      <c r="Q21" s="28">
        <v>3</v>
      </c>
      <c r="R21" s="28">
        <v>2</v>
      </c>
      <c r="S21" s="28">
        <v>2</v>
      </c>
      <c r="T21" s="28">
        <v>1</v>
      </c>
      <c r="U21" s="28">
        <v>1</v>
      </c>
      <c r="V21" s="29"/>
      <c r="X21" s="31">
        <v>2</v>
      </c>
    </row>
    <row r="22" spans="2:25">
      <c r="B22" s="17" t="str">
        <f>IFERROR(VLOOKUP(C22,[7]Sheet2!$C$3:$F$1223,2,0),"")</f>
        <v>Daejeon</v>
      </c>
      <c r="C22" s="3">
        <v>33528</v>
      </c>
      <c r="D22" s="18" t="str">
        <f>IFERROR(VLOOKUP(C22,[7]Sheet2!$C$1:$F$1223,3,0),"")</f>
        <v>양찬모</v>
      </c>
      <c r="E22" s="18" t="str">
        <f>IFERROR(VLOOKUP(C22,[7]Sheet2!$C$1:$F$1223,4,0),"")</f>
        <v>청원주류상사(합)</v>
      </c>
      <c r="F22" s="2" t="s">
        <v>3033</v>
      </c>
      <c r="G22" s="3" t="s">
        <v>3217</v>
      </c>
      <c r="H22" s="4" t="s">
        <v>3167</v>
      </c>
      <c r="I22" s="4" t="s">
        <v>3169</v>
      </c>
      <c r="J22" s="23" t="s">
        <v>3243</v>
      </c>
      <c r="K22" s="27"/>
      <c r="L22" s="28"/>
      <c r="M22" s="28"/>
      <c r="N22" s="28">
        <v>1</v>
      </c>
      <c r="O22" s="28"/>
      <c r="P22" s="28"/>
      <c r="Q22" s="28"/>
      <c r="R22" s="28"/>
      <c r="S22" s="28"/>
      <c r="T22" s="28"/>
      <c r="U22" s="28"/>
      <c r="V22" s="29"/>
    </row>
    <row r="23" spans="2:25">
      <c r="B23" s="17" t="str">
        <f>IFERROR(VLOOKUP(C23,[7]Sheet2!$C$3:$F$1223,2,0),"")</f>
        <v>Daejeon</v>
      </c>
      <c r="C23" s="3">
        <v>33537</v>
      </c>
      <c r="D23" s="18" t="str">
        <f>IFERROR(VLOOKUP(C23,[7]Sheet2!$C$1:$F$1223,3,0),"")</f>
        <v>양찬모</v>
      </c>
      <c r="E23" s="18" t="str">
        <f>IFERROR(VLOOKUP(C23,[7]Sheet2!$C$1:$F$1223,4,0),"")</f>
        <v>대신상사(유)</v>
      </c>
      <c r="F23" s="2" t="s">
        <v>848</v>
      </c>
      <c r="G23" s="3" t="s">
        <v>3217</v>
      </c>
      <c r="H23" s="4" t="s">
        <v>3167</v>
      </c>
      <c r="I23" s="4" t="s">
        <v>3169</v>
      </c>
      <c r="J23" s="23" t="s">
        <v>3244</v>
      </c>
      <c r="K23" s="27"/>
      <c r="L23" s="28"/>
      <c r="M23" s="28"/>
      <c r="N23" s="28">
        <v>2</v>
      </c>
      <c r="O23" s="28"/>
      <c r="P23" s="28"/>
      <c r="Q23" s="28"/>
      <c r="R23" s="28"/>
      <c r="S23" s="28"/>
      <c r="T23" s="28"/>
      <c r="U23" s="28"/>
      <c r="V23" s="29"/>
    </row>
    <row r="24" spans="2:25">
      <c r="B24" s="17" t="str">
        <f>IFERROR(VLOOKUP(C24,[7]Sheet2!$C$3:$F$1223,2,0),"")</f>
        <v>Daejeon</v>
      </c>
      <c r="C24" s="3">
        <v>33482</v>
      </c>
      <c r="D24" s="18" t="str">
        <f>IFERROR(VLOOKUP(C24,[7]Sheet2!$C$1:$F$1223,3,0),"")</f>
        <v>양찬모</v>
      </c>
      <c r="E24" s="18" t="str">
        <f>IFERROR(VLOOKUP(C24,[7]Sheet2!$C$1:$F$1223,4,0),"")</f>
        <v>충무상사(자)</v>
      </c>
      <c r="F24" s="2" t="s">
        <v>3034</v>
      </c>
      <c r="G24" s="3" t="s">
        <v>3217</v>
      </c>
      <c r="H24" s="4" t="s">
        <v>651</v>
      </c>
      <c r="I24" s="4" t="s">
        <v>1146</v>
      </c>
      <c r="J24" s="23" t="s">
        <v>3245</v>
      </c>
      <c r="K24" s="27"/>
      <c r="L24" s="28"/>
      <c r="M24" s="28"/>
      <c r="N24" s="28">
        <v>2</v>
      </c>
      <c r="O24" s="28"/>
      <c r="P24" s="28"/>
      <c r="Q24" s="28"/>
      <c r="R24" s="28"/>
      <c r="S24" s="28"/>
      <c r="T24" s="28"/>
      <c r="U24" s="28"/>
      <c r="V24" s="29"/>
    </row>
    <row r="25" spans="2:25">
      <c r="B25" s="17" t="str">
        <f>IFERROR(VLOOKUP(C25,[7]Sheet2!$C$3:$F$1223,2,0),"")</f>
        <v>Daejeon</v>
      </c>
      <c r="C25" s="3">
        <v>33526</v>
      </c>
      <c r="D25" s="18" t="str">
        <f>IFERROR(VLOOKUP(C25,[7]Sheet2!$C$1:$F$1223,3,0),"")</f>
        <v>양찬모</v>
      </c>
      <c r="E25" s="18" t="str">
        <f>IFERROR(VLOOKUP(C25,[7]Sheet2!$C$1:$F$1223,4,0),"")</f>
        <v>충청주류상사(주)</v>
      </c>
      <c r="F25" s="2" t="s">
        <v>3035</v>
      </c>
      <c r="G25" s="3" t="s">
        <v>3217</v>
      </c>
      <c r="H25" s="4" t="s">
        <v>3167</v>
      </c>
      <c r="I25" s="4" t="s">
        <v>3169</v>
      </c>
      <c r="J25" s="23" t="s">
        <v>3246</v>
      </c>
      <c r="K25" s="27"/>
      <c r="L25" s="28"/>
      <c r="M25" s="28"/>
      <c r="N25" s="28">
        <v>2</v>
      </c>
      <c r="O25" s="28"/>
      <c r="P25" s="28"/>
      <c r="Q25" s="28"/>
      <c r="R25" s="28"/>
      <c r="S25" s="28"/>
      <c r="T25" s="28"/>
      <c r="U25" s="28"/>
      <c r="V25" s="29"/>
    </row>
    <row r="26" spans="2:25">
      <c r="B26" s="17" t="str">
        <f>IFERROR(VLOOKUP(C26,[7]Sheet2!$C$3:$F$1223,2,0),"")</f>
        <v>Daejeon</v>
      </c>
      <c r="C26" s="3">
        <v>33531</v>
      </c>
      <c r="D26" s="18" t="str">
        <f>IFERROR(VLOOKUP(C26,[7]Sheet2!$C$1:$F$1223,3,0),"")</f>
        <v>양찬모</v>
      </c>
      <c r="E26" s="18" t="str">
        <f>IFERROR(VLOOKUP(C26,[7]Sheet2!$C$1:$F$1223,4,0),"")</f>
        <v>대덕주류(유)서구</v>
      </c>
      <c r="F26" s="2" t="s">
        <v>3036</v>
      </c>
      <c r="G26" s="3" t="s">
        <v>3218</v>
      </c>
      <c r="H26" s="4" t="s">
        <v>3185</v>
      </c>
      <c r="I26" s="4" t="s">
        <v>3247</v>
      </c>
      <c r="J26" s="23" t="s">
        <v>3248</v>
      </c>
      <c r="K26" s="27"/>
      <c r="L26" s="28"/>
      <c r="M26" s="28"/>
      <c r="N26" s="28">
        <v>5</v>
      </c>
      <c r="O26" s="28">
        <v>5</v>
      </c>
      <c r="P26" s="28"/>
      <c r="Q26" s="28"/>
      <c r="R26" s="28">
        <v>5</v>
      </c>
      <c r="S26" s="28"/>
      <c r="T26" s="28"/>
      <c r="U26" s="28"/>
      <c r="V26" s="29"/>
    </row>
    <row r="27" spans="2:25">
      <c r="B27" s="17" t="str">
        <f>IFERROR(VLOOKUP(C27,[7]Sheet2!$C$3:$F$1223,2,0),"")</f>
        <v>Daejeon</v>
      </c>
      <c r="C27" s="3">
        <v>33526</v>
      </c>
      <c r="D27" s="18" t="str">
        <f>IFERROR(VLOOKUP(C27,[7]Sheet2!$C$1:$F$1223,3,0),"")</f>
        <v>양찬모</v>
      </c>
      <c r="E27" s="18" t="str">
        <f>IFERROR(VLOOKUP(C27,[7]Sheet2!$C$1:$F$1223,4,0),"")</f>
        <v>충청주류상사(주)</v>
      </c>
      <c r="F27" s="2" t="s">
        <v>3037</v>
      </c>
      <c r="G27" s="3" t="s">
        <v>3218</v>
      </c>
      <c r="H27" s="4" t="s">
        <v>564</v>
      </c>
      <c r="I27" s="4" t="s">
        <v>902</v>
      </c>
      <c r="J27" s="23" t="s">
        <v>3249</v>
      </c>
      <c r="K27" s="27"/>
      <c r="L27" s="28"/>
      <c r="M27" s="28"/>
      <c r="N27" s="28">
        <v>1</v>
      </c>
      <c r="O27" s="28">
        <v>1</v>
      </c>
      <c r="P27" s="28">
        <v>2</v>
      </c>
      <c r="Q27" s="28">
        <v>2</v>
      </c>
      <c r="R27" s="28">
        <v>4</v>
      </c>
      <c r="S27" s="28">
        <v>4</v>
      </c>
      <c r="T27" s="28">
        <v>4</v>
      </c>
      <c r="U27" s="28">
        <v>4</v>
      </c>
      <c r="V27" s="29"/>
      <c r="X27" s="31">
        <v>5</v>
      </c>
    </row>
    <row r="28" spans="2:25">
      <c r="B28" s="17" t="str">
        <f>IFERROR(VLOOKUP(C28,[7]Sheet2!$C$3:$F$1223,2,0),"")</f>
        <v>Daejeon</v>
      </c>
      <c r="C28" s="3">
        <v>33552</v>
      </c>
      <c r="D28" s="18" t="str">
        <f>IFERROR(VLOOKUP(C28,[7]Sheet2!$C$1:$F$1223,3,0),"")</f>
        <v>양찬모</v>
      </c>
      <c r="E28" s="18" t="str">
        <f>IFERROR(VLOOKUP(C28,[7]Sheet2!$C$1:$F$1223,4,0),"")</f>
        <v>청남주류(자)</v>
      </c>
      <c r="F28" s="2" t="s">
        <v>3038</v>
      </c>
      <c r="G28" s="3" t="s">
        <v>3218</v>
      </c>
      <c r="H28" s="4" t="s">
        <v>564</v>
      </c>
      <c r="I28" s="4" t="s">
        <v>902</v>
      </c>
      <c r="J28" s="23" t="s">
        <v>3250</v>
      </c>
      <c r="K28" s="27"/>
      <c r="L28" s="28"/>
      <c r="M28" s="28"/>
      <c r="N28" s="28">
        <v>1</v>
      </c>
      <c r="O28" s="28"/>
      <c r="P28" s="28"/>
      <c r="Q28" s="28"/>
      <c r="R28" s="28"/>
      <c r="S28" s="28"/>
      <c r="T28" s="28"/>
      <c r="U28" s="28"/>
      <c r="V28" s="29"/>
    </row>
    <row r="29" spans="2:25">
      <c r="B29" s="17" t="str">
        <f>IFERROR(VLOOKUP(C29,[7]Sheet2!$C$3:$F$1223,2,0),"")</f>
        <v>Daejeon</v>
      </c>
      <c r="C29" s="3">
        <v>33568</v>
      </c>
      <c r="D29" s="18" t="str">
        <f>IFERROR(VLOOKUP(C29,[7]Sheet2!$C$1:$F$1223,3,0),"")</f>
        <v>양찬모</v>
      </c>
      <c r="E29" s="18" t="str">
        <f>IFERROR(VLOOKUP(C29,[7]Sheet2!$C$1:$F$1223,4,0),"")</f>
        <v>청주주류상사(유)</v>
      </c>
      <c r="F29" s="2" t="s">
        <v>3039</v>
      </c>
      <c r="G29" s="3" t="s">
        <v>3218</v>
      </c>
      <c r="H29" s="4" t="s">
        <v>564</v>
      </c>
      <c r="I29" s="4" t="s">
        <v>902</v>
      </c>
      <c r="J29" s="23" t="s">
        <v>3251</v>
      </c>
      <c r="K29" s="27"/>
      <c r="L29" s="28"/>
      <c r="M29" s="28"/>
      <c r="N29" s="28">
        <v>1</v>
      </c>
      <c r="O29" s="28"/>
      <c r="P29" s="28"/>
      <c r="Q29" s="28"/>
      <c r="R29" s="28"/>
      <c r="S29" s="28"/>
      <c r="T29" s="28"/>
      <c r="U29" s="28"/>
      <c r="V29" s="29"/>
    </row>
    <row r="30" spans="2:25">
      <c r="B30" s="17" t="str">
        <f>IFERROR(VLOOKUP(C30,[7]Sheet2!$C$3:$F$1223,2,0),"")</f>
        <v>Daejeon</v>
      </c>
      <c r="C30" s="3">
        <v>33568</v>
      </c>
      <c r="D30" s="18" t="str">
        <f>IFERROR(VLOOKUP(C30,[7]Sheet2!$C$1:$F$1223,3,0),"")</f>
        <v>양찬모</v>
      </c>
      <c r="E30" s="18" t="str">
        <f>IFERROR(VLOOKUP(C30,[7]Sheet2!$C$1:$F$1223,4,0),"")</f>
        <v>청주주류상사(유)</v>
      </c>
      <c r="F30" s="2" t="s">
        <v>3040</v>
      </c>
      <c r="G30" s="3" t="s">
        <v>3218</v>
      </c>
      <c r="H30" s="4" t="s">
        <v>564</v>
      </c>
      <c r="I30" s="4" t="s">
        <v>902</v>
      </c>
      <c r="J30" s="23" t="s">
        <v>3252</v>
      </c>
      <c r="K30" s="27"/>
      <c r="L30" s="28"/>
      <c r="M30" s="28"/>
      <c r="N30" s="28">
        <v>1</v>
      </c>
      <c r="O30" s="28"/>
      <c r="P30" s="28"/>
      <c r="Q30" s="28"/>
      <c r="R30" s="28"/>
      <c r="S30" s="28"/>
      <c r="T30" s="28"/>
      <c r="U30" s="28"/>
      <c r="V30" s="29"/>
    </row>
    <row r="31" spans="2:25">
      <c r="B31" s="17" t="str">
        <f>IFERROR(VLOOKUP(C31,[7]Sheet2!$C$3:$F$1223,2,0),"")</f>
        <v>Daejeon</v>
      </c>
      <c r="C31" s="3">
        <v>33547</v>
      </c>
      <c r="D31" s="18" t="str">
        <f>IFERROR(VLOOKUP(C31,[7]Sheet2!$C$1:$F$1223,3,0),"")</f>
        <v>양찬모</v>
      </c>
      <c r="E31" s="18" t="str">
        <f>IFERROR(VLOOKUP(C31,[7]Sheet2!$C$1:$F$1223,4,0),"")</f>
        <v>청호주류합명회사</v>
      </c>
      <c r="F31" s="2" t="s">
        <v>3041</v>
      </c>
      <c r="G31" s="3" t="s">
        <v>3218</v>
      </c>
      <c r="H31" s="4" t="s">
        <v>564</v>
      </c>
      <c r="I31" s="4" t="s">
        <v>3205</v>
      </c>
      <c r="J31" s="23" t="s">
        <v>3253</v>
      </c>
      <c r="K31" s="27"/>
      <c r="L31" s="28"/>
      <c r="M31" s="28"/>
      <c r="N31" s="28">
        <v>2</v>
      </c>
      <c r="O31" s="28"/>
      <c r="P31" s="28"/>
      <c r="Q31" s="28"/>
      <c r="R31" s="28"/>
      <c r="S31" s="28"/>
      <c r="T31" s="28"/>
      <c r="U31" s="28"/>
      <c r="V31" s="29"/>
    </row>
    <row r="32" spans="2:25">
      <c r="B32" s="17" t="str">
        <f>IFERROR(VLOOKUP(C32,[7]Sheet2!$C$3:$F$1223,2,0),"")</f>
        <v>Daejeon</v>
      </c>
      <c r="C32" s="3">
        <v>33486</v>
      </c>
      <c r="D32" s="18" t="str">
        <f>IFERROR(VLOOKUP(C32,[7]Sheet2!$C$1:$F$1223,3,0),"")</f>
        <v>양찬모</v>
      </c>
      <c r="E32" s="18" t="str">
        <f>IFERROR(VLOOKUP(C32,[7]Sheet2!$C$1:$F$1223,4,0),"")</f>
        <v>유일상사(주)</v>
      </c>
      <c r="F32" s="2" t="s">
        <v>3042</v>
      </c>
      <c r="G32" s="3" t="s">
        <v>3218</v>
      </c>
      <c r="H32" s="4" t="s">
        <v>564</v>
      </c>
      <c r="I32" s="4" t="s">
        <v>902</v>
      </c>
      <c r="J32" s="23" t="s">
        <v>3189</v>
      </c>
      <c r="K32" s="27"/>
      <c r="L32" s="28"/>
      <c r="M32" s="28"/>
      <c r="N32" s="28">
        <v>10</v>
      </c>
      <c r="O32" s="28"/>
      <c r="P32" s="28"/>
      <c r="Q32" s="28"/>
      <c r="R32" s="28"/>
      <c r="S32" s="28"/>
      <c r="T32" s="28"/>
      <c r="U32" s="28"/>
      <c r="V32" s="29"/>
    </row>
    <row r="33" spans="2:24">
      <c r="B33" s="17" t="str">
        <f>IFERROR(VLOOKUP(C33,[7]Sheet2!$C$3:$F$1223,2,0),"")</f>
        <v>Daejeon</v>
      </c>
      <c r="C33" s="3">
        <v>33547</v>
      </c>
      <c r="D33" s="18" t="str">
        <f>IFERROR(VLOOKUP(C33,[7]Sheet2!$C$1:$F$1223,3,0),"")</f>
        <v>양찬모</v>
      </c>
      <c r="E33" s="18" t="str">
        <f>IFERROR(VLOOKUP(C33,[7]Sheet2!$C$1:$F$1223,4,0),"")</f>
        <v>청호주류합명회사</v>
      </c>
      <c r="F33" s="2" t="s">
        <v>3043</v>
      </c>
      <c r="G33" s="3" t="s">
        <v>3218</v>
      </c>
      <c r="H33" s="4" t="s">
        <v>564</v>
      </c>
      <c r="I33" s="4" t="s">
        <v>3205</v>
      </c>
      <c r="J33" s="23" t="s">
        <v>3254</v>
      </c>
      <c r="K33" s="27"/>
      <c r="L33" s="28"/>
      <c r="M33" s="28"/>
      <c r="N33" s="28">
        <v>2</v>
      </c>
      <c r="O33" s="28"/>
      <c r="P33" s="28"/>
      <c r="Q33" s="28"/>
      <c r="R33" s="28"/>
      <c r="S33" s="28"/>
      <c r="T33" s="28"/>
      <c r="U33" s="28"/>
      <c r="V33" s="29"/>
    </row>
    <row r="34" spans="2:24">
      <c r="B34" s="17" t="str">
        <f>IFERROR(VLOOKUP(C34,[7]Sheet2!$C$3:$F$1223,2,0),"")</f>
        <v>Daejeon</v>
      </c>
      <c r="C34" s="3">
        <v>33528</v>
      </c>
      <c r="D34" s="18" t="str">
        <f>IFERROR(VLOOKUP(C34,[7]Sheet2!$C$1:$F$1223,3,0),"")</f>
        <v>양찬모</v>
      </c>
      <c r="E34" s="18" t="str">
        <f>IFERROR(VLOOKUP(C34,[7]Sheet2!$C$1:$F$1223,4,0),"")</f>
        <v>청원주류상사(합)</v>
      </c>
      <c r="F34" s="2" t="s">
        <v>3044</v>
      </c>
      <c r="G34" s="3" t="s">
        <v>3218</v>
      </c>
      <c r="H34" s="4" t="s">
        <v>3167</v>
      </c>
      <c r="I34" s="4" t="s">
        <v>3191</v>
      </c>
      <c r="J34" s="23" t="s">
        <v>3255</v>
      </c>
      <c r="K34" s="27"/>
      <c r="L34" s="28"/>
      <c r="M34" s="28"/>
      <c r="N34" s="28">
        <v>1</v>
      </c>
      <c r="O34" s="28"/>
      <c r="P34" s="28"/>
      <c r="Q34" s="28"/>
      <c r="R34" s="28"/>
      <c r="S34" s="28">
        <v>1</v>
      </c>
      <c r="T34" s="28">
        <v>1</v>
      </c>
      <c r="U34" s="28"/>
      <c r="V34" s="29"/>
    </row>
    <row r="35" spans="2:24">
      <c r="B35" s="17" t="str">
        <f>IFERROR(VLOOKUP(C35,[7]Sheet2!$C$3:$F$1223,2,0),"")</f>
        <v>Daejeon</v>
      </c>
      <c r="C35" s="3">
        <v>33555</v>
      </c>
      <c r="D35" s="18" t="str">
        <f>IFERROR(VLOOKUP(C35,[7]Sheet2!$C$1:$F$1223,3,0),"")</f>
        <v>양찬모</v>
      </c>
      <c r="E35" s="18" t="str">
        <f>IFERROR(VLOOKUP(C35,[7]Sheet2!$C$1:$F$1223,4,0),"")</f>
        <v>새한물산(주)</v>
      </c>
      <c r="F35" s="2" t="s">
        <v>3045</v>
      </c>
      <c r="G35" s="3" t="s">
        <v>3217</v>
      </c>
      <c r="H35" s="4" t="s">
        <v>3167</v>
      </c>
      <c r="I35" s="4" t="s">
        <v>132</v>
      </c>
      <c r="J35" s="23" t="s">
        <v>3256</v>
      </c>
      <c r="K35" s="27"/>
      <c r="L35" s="28"/>
      <c r="M35" s="28"/>
      <c r="N35" s="28">
        <v>1</v>
      </c>
      <c r="O35" s="28"/>
      <c r="P35" s="28"/>
      <c r="Q35" s="28"/>
      <c r="R35" s="28"/>
      <c r="S35" s="28"/>
      <c r="T35" s="28"/>
      <c r="U35" s="28"/>
      <c r="V35" s="29"/>
    </row>
    <row r="36" spans="2:24">
      <c r="B36" s="17" t="str">
        <f>IFERROR(VLOOKUP(C36,[7]Sheet2!$C$3:$F$1223,2,0),"")</f>
        <v>Daejeon</v>
      </c>
      <c r="C36" s="3">
        <v>33529</v>
      </c>
      <c r="D36" s="18" t="str">
        <f>IFERROR(VLOOKUP(C36,[7]Sheet2!$C$1:$F$1223,3,0),"")</f>
        <v>양찬모</v>
      </c>
      <c r="E36" s="18" t="str">
        <f>IFERROR(VLOOKUP(C36,[7]Sheet2!$C$1:$F$1223,4,0),"")</f>
        <v>대전합동상사(주)</v>
      </c>
      <c r="F36" s="2" t="s">
        <v>3046</v>
      </c>
      <c r="G36" s="3" t="s">
        <v>3217</v>
      </c>
      <c r="H36" s="4" t="s">
        <v>3167</v>
      </c>
      <c r="I36" s="4" t="s">
        <v>3169</v>
      </c>
      <c r="J36" s="23" t="s">
        <v>3257</v>
      </c>
      <c r="K36" s="27"/>
      <c r="L36" s="28"/>
      <c r="M36" s="28"/>
      <c r="N36" s="28">
        <v>1</v>
      </c>
      <c r="O36" s="28"/>
      <c r="P36" s="28">
        <v>1</v>
      </c>
      <c r="Q36" s="28"/>
      <c r="R36" s="28"/>
      <c r="S36" s="28"/>
      <c r="T36" s="28">
        <v>1</v>
      </c>
      <c r="U36" s="28">
        <v>1</v>
      </c>
      <c r="V36" s="29"/>
      <c r="X36" s="31">
        <v>2</v>
      </c>
    </row>
    <row r="37" spans="2:24">
      <c r="B37" s="17" t="str">
        <f>IFERROR(VLOOKUP(C37,[7]Sheet2!$C$3:$F$1223,2,0),"")</f>
        <v>Daejeon</v>
      </c>
      <c r="C37" s="3">
        <v>33536</v>
      </c>
      <c r="D37" s="18" t="str">
        <f>IFERROR(VLOOKUP(C37,[7]Sheet2!$C$1:$F$1223,3,0),"")</f>
        <v>양찬모</v>
      </c>
      <c r="E37" s="18" t="str">
        <f>IFERROR(VLOOKUP(C37,[7]Sheet2!$C$1:$F$1223,4,0),"")</f>
        <v>한밭상사(주)</v>
      </c>
      <c r="F37" s="2" t="s">
        <v>3047</v>
      </c>
      <c r="G37" s="3" t="s">
        <v>3217</v>
      </c>
      <c r="H37" s="4" t="s">
        <v>3167</v>
      </c>
      <c r="I37" s="4" t="s">
        <v>132</v>
      </c>
      <c r="J37" s="23" t="s">
        <v>3258</v>
      </c>
      <c r="K37" s="27"/>
      <c r="L37" s="28"/>
      <c r="M37" s="28"/>
      <c r="N37" s="28">
        <v>1</v>
      </c>
      <c r="O37" s="28"/>
      <c r="P37" s="28"/>
      <c r="Q37" s="28"/>
      <c r="R37" s="28"/>
      <c r="S37" s="28"/>
      <c r="T37" s="28"/>
      <c r="U37" s="28"/>
      <c r="V37" s="29"/>
    </row>
    <row r="38" spans="2:24">
      <c r="B38" s="17" t="str">
        <f>IFERROR(VLOOKUP(C38,[7]Sheet2!$C$3:$F$1223,2,0),"")</f>
        <v>Daejeon</v>
      </c>
      <c r="C38" s="3">
        <v>33536</v>
      </c>
      <c r="D38" s="18" t="str">
        <f>IFERROR(VLOOKUP(C38,[7]Sheet2!$C$1:$F$1223,3,0),"")</f>
        <v>양찬모</v>
      </c>
      <c r="E38" s="18" t="str">
        <f>IFERROR(VLOOKUP(C38,[7]Sheet2!$C$1:$F$1223,4,0),"")</f>
        <v>한밭상사(주)</v>
      </c>
      <c r="F38" s="2" t="s">
        <v>3048</v>
      </c>
      <c r="G38" s="3" t="s">
        <v>3217</v>
      </c>
      <c r="H38" s="4" t="s">
        <v>3167</v>
      </c>
      <c r="I38" s="4" t="s">
        <v>3169</v>
      </c>
      <c r="J38" s="23" t="s">
        <v>3259</v>
      </c>
      <c r="K38" s="27"/>
      <c r="L38" s="28"/>
      <c r="M38" s="28"/>
      <c r="N38" s="28">
        <v>8</v>
      </c>
      <c r="O38" s="28">
        <v>6</v>
      </c>
      <c r="P38" s="28"/>
      <c r="Q38" s="28">
        <v>12</v>
      </c>
      <c r="R38" s="28">
        <v>6</v>
      </c>
      <c r="S38" s="28">
        <v>5</v>
      </c>
      <c r="T38" s="28"/>
      <c r="U38" s="28"/>
      <c r="V38" s="29"/>
    </row>
    <row r="39" spans="2:24">
      <c r="B39" s="17" t="str">
        <f>IFERROR(VLOOKUP(C39,[7]Sheet2!$C$3:$F$1223,2,0),"")</f>
        <v>Daejeon</v>
      </c>
      <c r="C39" s="3">
        <v>33537</v>
      </c>
      <c r="D39" s="18" t="str">
        <f>IFERROR(VLOOKUP(C39,[7]Sheet2!$C$1:$F$1223,3,0),"")</f>
        <v>양찬모</v>
      </c>
      <c r="E39" s="18" t="str">
        <f>IFERROR(VLOOKUP(C39,[7]Sheet2!$C$1:$F$1223,4,0),"")</f>
        <v>대신상사(유)</v>
      </c>
      <c r="F39" s="2" t="s">
        <v>3049</v>
      </c>
      <c r="G39" s="3" t="s">
        <v>3217</v>
      </c>
      <c r="H39" s="4" t="s">
        <v>3167</v>
      </c>
      <c r="I39" s="4" t="s">
        <v>3169</v>
      </c>
      <c r="J39" s="23" t="s">
        <v>3260</v>
      </c>
      <c r="K39" s="27"/>
      <c r="L39" s="28"/>
      <c r="M39" s="28"/>
      <c r="N39" s="28"/>
      <c r="O39" s="28">
        <v>1</v>
      </c>
      <c r="P39" s="28"/>
      <c r="Q39" s="28">
        <v>3</v>
      </c>
      <c r="R39" s="28"/>
      <c r="S39" s="28">
        <v>1</v>
      </c>
      <c r="T39" s="28"/>
      <c r="U39" s="28">
        <v>7</v>
      </c>
      <c r="V39" s="29"/>
    </row>
    <row r="40" spans="2:24">
      <c r="B40" s="17" t="str">
        <f>IFERROR(VLOOKUP(C40,[7]Sheet2!$C$3:$F$1223,2,0),"")</f>
        <v>Daejeon</v>
      </c>
      <c r="C40" s="3">
        <v>33537</v>
      </c>
      <c r="D40" s="18" t="str">
        <f>IFERROR(VLOOKUP(C40,[7]Sheet2!$C$1:$F$1223,3,0),"")</f>
        <v>양찬모</v>
      </c>
      <c r="E40" s="18" t="str">
        <f>IFERROR(VLOOKUP(C40,[7]Sheet2!$C$1:$F$1223,4,0),"")</f>
        <v>대신상사(유)</v>
      </c>
      <c r="F40" s="2" t="s">
        <v>3050</v>
      </c>
      <c r="G40" s="3" t="s">
        <v>3217</v>
      </c>
      <c r="H40" s="4" t="s">
        <v>3167</v>
      </c>
      <c r="I40" s="4" t="s">
        <v>3169</v>
      </c>
      <c r="J40" s="23" t="s">
        <v>3261</v>
      </c>
      <c r="K40" s="27"/>
      <c r="L40" s="28"/>
      <c r="M40" s="28"/>
      <c r="N40" s="28">
        <v>2</v>
      </c>
      <c r="O40" s="28"/>
      <c r="P40" s="28"/>
      <c r="Q40" s="28"/>
      <c r="R40" s="28"/>
      <c r="S40" s="28"/>
      <c r="T40" s="28"/>
      <c r="U40" s="28"/>
      <c r="V40" s="29"/>
    </row>
    <row r="41" spans="2:24">
      <c r="B41" s="17" t="str">
        <f>IFERROR(VLOOKUP(C41,[7]Sheet2!$C$3:$F$1223,2,0),"")</f>
        <v>Daejeon</v>
      </c>
      <c r="C41" s="3">
        <v>33530</v>
      </c>
      <c r="D41" s="18" t="str">
        <f>IFERROR(VLOOKUP(C41,[7]Sheet2!$C$1:$F$1223,3,0),"")</f>
        <v>양찬모</v>
      </c>
      <c r="E41" s="18" t="str">
        <f>IFERROR(VLOOKUP(C41,[7]Sheet2!$C$1:$F$1223,4,0),"")</f>
        <v>삼성주류대전</v>
      </c>
      <c r="F41" s="2" t="s">
        <v>3051</v>
      </c>
      <c r="G41" s="3" t="s">
        <v>3217</v>
      </c>
      <c r="H41" s="4" t="s">
        <v>3167</v>
      </c>
      <c r="I41" s="4" t="s">
        <v>132</v>
      </c>
      <c r="J41" s="23" t="s">
        <v>3262</v>
      </c>
      <c r="K41" s="27"/>
      <c r="L41" s="28"/>
      <c r="M41" s="28"/>
      <c r="N41" s="28">
        <v>1</v>
      </c>
      <c r="O41" s="28">
        <v>2</v>
      </c>
      <c r="P41" s="28"/>
      <c r="Q41" s="28"/>
      <c r="R41" s="28"/>
      <c r="S41" s="28"/>
      <c r="T41" s="28"/>
      <c r="U41" s="28"/>
      <c r="V41" s="29"/>
    </row>
    <row r="42" spans="2:24">
      <c r="B42" s="17" t="str">
        <f>IFERROR(VLOOKUP(C42,[7]Sheet2!$C$3:$F$1223,2,0),"")</f>
        <v>Daejeon</v>
      </c>
      <c r="C42" s="3">
        <v>33539</v>
      </c>
      <c r="D42" s="18" t="str">
        <f>IFERROR(VLOOKUP(C42,[7]Sheet2!$C$1:$F$1223,3,0),"")</f>
        <v>양찬모</v>
      </c>
      <c r="E42" s="18" t="str">
        <f>IFERROR(VLOOKUP(C42,[7]Sheet2!$C$1:$F$1223,4,0),"")</f>
        <v>우리주류상사(대전)</v>
      </c>
      <c r="F42" s="2" t="s">
        <v>3052</v>
      </c>
      <c r="G42" s="3" t="s">
        <v>3217</v>
      </c>
      <c r="H42" s="4" t="s">
        <v>3167</v>
      </c>
      <c r="I42" s="4" t="s">
        <v>3169</v>
      </c>
      <c r="J42" s="23" t="s">
        <v>3263</v>
      </c>
      <c r="K42" s="27"/>
      <c r="L42" s="28"/>
      <c r="M42" s="28"/>
      <c r="N42" s="28"/>
      <c r="O42" s="28">
        <v>3</v>
      </c>
      <c r="P42" s="28">
        <v>1</v>
      </c>
      <c r="Q42" s="28">
        <v>3</v>
      </c>
      <c r="R42" s="28">
        <v>2</v>
      </c>
      <c r="S42" s="28"/>
      <c r="T42" s="28"/>
      <c r="U42" s="28">
        <v>2</v>
      </c>
      <c r="V42" s="29"/>
    </row>
    <row r="43" spans="2:24">
      <c r="B43" s="17" t="str">
        <f>IFERROR(VLOOKUP(C43,[7]Sheet2!$C$3:$F$1223,2,0),"")</f>
        <v>Daejeon</v>
      </c>
      <c r="C43" s="3">
        <v>33486</v>
      </c>
      <c r="D43" s="18" t="str">
        <f>IFERROR(VLOOKUP(C43,[7]Sheet2!$C$1:$F$1223,3,0),"")</f>
        <v>양찬모</v>
      </c>
      <c r="E43" s="18" t="str">
        <f>IFERROR(VLOOKUP(C43,[7]Sheet2!$C$1:$F$1223,4,0),"")</f>
        <v>유일상사(주)</v>
      </c>
      <c r="F43" s="2" t="s">
        <v>3053</v>
      </c>
      <c r="G43" s="3" t="s">
        <v>3217</v>
      </c>
      <c r="H43" s="4" t="s">
        <v>524</v>
      </c>
      <c r="I43" s="4" t="s">
        <v>3264</v>
      </c>
      <c r="J43" s="23" t="s">
        <v>3265</v>
      </c>
      <c r="K43" s="27"/>
      <c r="L43" s="28"/>
      <c r="M43" s="28"/>
      <c r="N43" s="28">
        <v>10</v>
      </c>
      <c r="O43" s="28"/>
      <c r="P43" s="28"/>
      <c r="Q43" s="28">
        <v>3</v>
      </c>
      <c r="R43" s="28"/>
      <c r="S43" s="28">
        <v>3</v>
      </c>
      <c r="T43" s="28">
        <v>4</v>
      </c>
      <c r="U43" s="28"/>
      <c r="V43" s="29"/>
    </row>
    <row r="44" spans="2:24">
      <c r="B44" s="17" t="str">
        <f>IFERROR(VLOOKUP(C44,[7]Sheet2!$C$3:$F$1223,2,0),"")</f>
        <v>Daejeon</v>
      </c>
      <c r="C44" s="3">
        <v>33528</v>
      </c>
      <c r="D44" s="18" t="str">
        <f>IFERROR(VLOOKUP(C44,[7]Sheet2!$C$1:$F$1223,3,0),"")</f>
        <v>양찬모</v>
      </c>
      <c r="E44" s="18" t="str">
        <f>IFERROR(VLOOKUP(C44,[7]Sheet2!$C$1:$F$1223,4,0),"")</f>
        <v>청원주류상사(합)</v>
      </c>
      <c r="F44" s="2" t="s">
        <v>3033</v>
      </c>
      <c r="G44" s="3" t="s">
        <v>3217</v>
      </c>
      <c r="H44" s="4" t="s">
        <v>3167</v>
      </c>
      <c r="I44" s="4" t="s">
        <v>3169</v>
      </c>
      <c r="J44" s="23" t="s">
        <v>3243</v>
      </c>
      <c r="K44" s="27"/>
      <c r="L44" s="28"/>
      <c r="M44" s="28"/>
      <c r="N44" s="28">
        <v>1</v>
      </c>
      <c r="O44" s="28"/>
      <c r="P44" s="28"/>
      <c r="Q44" s="28"/>
      <c r="R44" s="28"/>
      <c r="S44" s="28"/>
      <c r="T44" s="28"/>
      <c r="U44" s="28"/>
      <c r="V44" s="29"/>
    </row>
    <row r="45" spans="2:24">
      <c r="B45" s="17" t="str">
        <f>IFERROR(VLOOKUP(C45,[7]Sheet2!$C$3:$F$1223,2,0),"")</f>
        <v>Daejeon</v>
      </c>
      <c r="C45" s="3">
        <v>33537</v>
      </c>
      <c r="D45" s="18" t="str">
        <f>IFERROR(VLOOKUP(C45,[7]Sheet2!$C$1:$F$1223,3,0),"")</f>
        <v>양찬모</v>
      </c>
      <c r="E45" s="18" t="str">
        <f>IFERROR(VLOOKUP(C45,[7]Sheet2!$C$1:$F$1223,4,0),"")</f>
        <v>대신상사(유)</v>
      </c>
      <c r="F45" s="2" t="s">
        <v>3054</v>
      </c>
      <c r="G45" s="3" t="s">
        <v>3217</v>
      </c>
      <c r="H45" s="4" t="s">
        <v>3167</v>
      </c>
      <c r="I45" s="4" t="s">
        <v>3169</v>
      </c>
      <c r="J45" s="23" t="s">
        <v>3244</v>
      </c>
      <c r="K45" s="27"/>
      <c r="L45" s="28"/>
      <c r="M45" s="28"/>
      <c r="N45" s="28">
        <v>2</v>
      </c>
      <c r="O45" s="28"/>
      <c r="P45" s="28"/>
      <c r="Q45" s="28"/>
      <c r="R45" s="28"/>
      <c r="S45" s="28"/>
      <c r="T45" s="28"/>
      <c r="U45" s="28"/>
      <c r="V45" s="29"/>
    </row>
    <row r="46" spans="2:24">
      <c r="B46" s="17" t="str">
        <f>IFERROR(VLOOKUP(C46,[7]Sheet2!$C$3:$F$1223,2,0),"")</f>
        <v>Daejeon</v>
      </c>
      <c r="C46" s="3">
        <v>33482</v>
      </c>
      <c r="D46" s="18" t="str">
        <f>IFERROR(VLOOKUP(C46,[7]Sheet2!$C$1:$F$1223,3,0),"")</f>
        <v>양찬모</v>
      </c>
      <c r="E46" s="18" t="str">
        <f>IFERROR(VLOOKUP(C46,[7]Sheet2!$C$1:$F$1223,4,0),"")</f>
        <v>충무상사(자)</v>
      </c>
      <c r="F46" s="2" t="s">
        <v>3055</v>
      </c>
      <c r="G46" s="3" t="s">
        <v>3217</v>
      </c>
      <c r="H46" s="4" t="s">
        <v>524</v>
      </c>
      <c r="I46" s="4" t="s">
        <v>3266</v>
      </c>
      <c r="J46" s="23" t="s">
        <v>3267</v>
      </c>
      <c r="K46" s="27"/>
      <c r="L46" s="28"/>
      <c r="M46" s="28"/>
      <c r="N46" s="28">
        <v>2</v>
      </c>
      <c r="O46" s="28"/>
      <c r="P46" s="28"/>
      <c r="Q46" s="28"/>
      <c r="R46" s="28"/>
      <c r="S46" s="28"/>
      <c r="T46" s="28"/>
      <c r="U46" s="28"/>
      <c r="V46" s="29"/>
    </row>
    <row r="47" spans="2:24">
      <c r="B47" s="17" t="str">
        <f>IFERROR(VLOOKUP(C47,[7]Sheet2!$C$3:$F$1223,2,0),"")</f>
        <v>Daejeon</v>
      </c>
      <c r="C47" s="3">
        <v>33539</v>
      </c>
      <c r="D47" s="18" t="str">
        <f>IFERROR(VLOOKUP(C47,[7]Sheet2!$C$1:$F$1223,3,0),"")</f>
        <v>양찬모</v>
      </c>
      <c r="E47" s="18" t="str">
        <f>IFERROR(VLOOKUP(C47,[7]Sheet2!$C$1:$F$1223,4,0),"")</f>
        <v>우리주류상사(대전)</v>
      </c>
      <c r="F47" s="2" t="s">
        <v>3056</v>
      </c>
      <c r="G47" s="3" t="s">
        <v>3217</v>
      </c>
      <c r="H47" s="4" t="s">
        <v>3167</v>
      </c>
      <c r="I47" s="4" t="s">
        <v>3169</v>
      </c>
      <c r="J47" s="23" t="s">
        <v>3263</v>
      </c>
      <c r="K47" s="27"/>
      <c r="L47" s="28"/>
      <c r="M47" s="28"/>
      <c r="N47" s="28">
        <v>1</v>
      </c>
      <c r="O47" s="28"/>
      <c r="P47" s="28"/>
      <c r="Q47" s="28"/>
      <c r="R47" s="28"/>
      <c r="S47" s="28"/>
      <c r="T47" s="28"/>
      <c r="U47" s="28"/>
      <c r="V47" s="29"/>
    </row>
    <row r="48" spans="2:24">
      <c r="B48" s="17" t="str">
        <f>IFERROR(VLOOKUP(C48,[7]Sheet2!$C$3:$F$1223,2,0),"")</f>
        <v>Daejeon</v>
      </c>
      <c r="C48" s="3">
        <v>33489</v>
      </c>
      <c r="D48" s="18" t="str">
        <f>IFERROR(VLOOKUP(C48,[7]Sheet2!$C$1:$F$1223,3,0),"")</f>
        <v>양찬모</v>
      </c>
      <c r="E48" s="18" t="str">
        <f>IFERROR(VLOOKUP(C48,[7]Sheet2!$C$1:$F$1223,4,0),"")</f>
        <v>백락주류상사(주)</v>
      </c>
      <c r="F48" s="2" t="s">
        <v>3057</v>
      </c>
      <c r="G48" s="3" t="s">
        <v>3217</v>
      </c>
      <c r="H48" s="4" t="s">
        <v>651</v>
      </c>
      <c r="I48" s="4" t="s">
        <v>3234</v>
      </c>
      <c r="J48" s="23" t="s">
        <v>3268</v>
      </c>
      <c r="K48" s="27"/>
      <c r="L48" s="28"/>
      <c r="M48" s="28"/>
      <c r="N48" s="28">
        <v>1</v>
      </c>
      <c r="O48" s="28">
        <v>3</v>
      </c>
      <c r="P48" s="28"/>
      <c r="Q48" s="28"/>
      <c r="R48" s="28"/>
      <c r="S48" s="28"/>
      <c r="T48" s="28"/>
      <c r="U48" s="28"/>
      <c r="V48" s="29"/>
    </row>
    <row r="49" spans="2:26">
      <c r="B49" s="17" t="str">
        <f>IFERROR(VLOOKUP(C49,[7]Sheet2!$C$3:$F$1223,2,0),"")</f>
        <v>Daejeon</v>
      </c>
      <c r="C49" s="3">
        <v>33576</v>
      </c>
      <c r="D49" s="18" t="str">
        <f>IFERROR(VLOOKUP(C49,[7]Sheet2!$C$1:$F$1223,3,0),"")</f>
        <v>양찬모</v>
      </c>
      <c r="E49" s="18" t="str">
        <f>IFERROR(VLOOKUP(C49,[7]Sheet2!$C$1:$F$1223,4,0),"")</f>
        <v>예성주류합동(자)</v>
      </c>
      <c r="F49" s="2" t="s">
        <v>3058</v>
      </c>
      <c r="G49" s="3" t="s">
        <v>3218</v>
      </c>
      <c r="H49" s="4" t="s">
        <v>564</v>
      </c>
      <c r="I49" s="4" t="s">
        <v>3214</v>
      </c>
      <c r="J49" s="23" t="s">
        <v>3269</v>
      </c>
      <c r="K49" s="27"/>
      <c r="L49" s="28"/>
      <c r="M49" s="28"/>
      <c r="N49" s="28">
        <v>1</v>
      </c>
      <c r="O49" s="28"/>
      <c r="P49" s="28">
        <v>1</v>
      </c>
      <c r="Q49" s="28">
        <v>2</v>
      </c>
      <c r="R49" s="28"/>
      <c r="S49" s="28">
        <v>1</v>
      </c>
      <c r="T49" s="28">
        <v>1</v>
      </c>
      <c r="U49" s="28">
        <v>1</v>
      </c>
      <c r="V49" s="29"/>
      <c r="X49" s="31">
        <v>1</v>
      </c>
    </row>
    <row r="50" spans="2:26">
      <c r="B50" s="17" t="str">
        <f>IFERROR(VLOOKUP(C50,[7]Sheet2!$C$3:$F$1223,2,0),"")</f>
        <v>Daejeon</v>
      </c>
      <c r="C50" s="3">
        <v>33576</v>
      </c>
      <c r="D50" s="18" t="str">
        <f>IFERROR(VLOOKUP(C50,[7]Sheet2!$C$1:$F$1223,3,0),"")</f>
        <v>양찬모</v>
      </c>
      <c r="E50" s="18" t="str">
        <f>IFERROR(VLOOKUP(C50,[7]Sheet2!$C$1:$F$1223,4,0),"")</f>
        <v>예성주류합동(자)</v>
      </c>
      <c r="F50" s="2" t="s">
        <v>3059</v>
      </c>
      <c r="G50" s="3" t="s">
        <v>3218</v>
      </c>
      <c r="H50" s="4" t="s">
        <v>564</v>
      </c>
      <c r="I50" s="4" t="s">
        <v>565</v>
      </c>
      <c r="J50" s="23" t="s">
        <v>3270</v>
      </c>
      <c r="K50" s="27"/>
      <c r="L50" s="28"/>
      <c r="M50" s="28"/>
      <c r="N50" s="28">
        <v>1</v>
      </c>
      <c r="O50" s="28">
        <v>1</v>
      </c>
      <c r="P50" s="28"/>
      <c r="Q50" s="28"/>
      <c r="R50" s="28">
        <v>1</v>
      </c>
      <c r="S50" s="28"/>
      <c r="T50" s="28"/>
      <c r="U50" s="28">
        <v>1</v>
      </c>
      <c r="V50" s="29"/>
    </row>
    <row r="51" spans="2:26">
      <c r="B51" s="17" t="str">
        <f>IFERROR(VLOOKUP(C51,[7]Sheet2!$C$3:$F$1223,2,0),"")</f>
        <v>Daejeon</v>
      </c>
      <c r="C51" s="3">
        <v>33572</v>
      </c>
      <c r="D51" s="18" t="str">
        <f>IFERROR(VLOOKUP(C51,[7]Sheet2!$C$1:$F$1223,3,0),"")</f>
        <v>양찬모</v>
      </c>
      <c r="E51" s="18" t="str">
        <f>IFERROR(VLOOKUP(C51,[7]Sheet2!$C$1:$F$1223,4,0),"")</f>
        <v>서원주류상사(유)</v>
      </c>
      <c r="F51" s="2" t="s">
        <v>3060</v>
      </c>
      <c r="G51" s="3" t="s">
        <v>3218</v>
      </c>
      <c r="H51" s="4" t="s">
        <v>564</v>
      </c>
      <c r="I51" s="4" t="s">
        <v>902</v>
      </c>
      <c r="J51" s="23" t="s">
        <v>3271</v>
      </c>
      <c r="K51" s="27"/>
      <c r="L51" s="28"/>
      <c r="M51" s="28"/>
      <c r="N51" s="28">
        <v>2</v>
      </c>
      <c r="O51" s="28">
        <v>7</v>
      </c>
      <c r="P51" s="28">
        <v>3</v>
      </c>
      <c r="Q51" s="28"/>
      <c r="R51" s="28">
        <v>4</v>
      </c>
      <c r="S51" s="28">
        <v>6</v>
      </c>
      <c r="T51" s="28">
        <v>4</v>
      </c>
      <c r="U51" s="28">
        <v>3</v>
      </c>
      <c r="V51" s="29"/>
      <c r="Y51" s="32">
        <v>1</v>
      </c>
    </row>
    <row r="52" spans="2:26">
      <c r="B52" s="17" t="str">
        <f>IFERROR(VLOOKUP(C52,[7]Sheet2!$C$3:$F$1223,2,0),"")</f>
        <v>Daejeon</v>
      </c>
      <c r="C52" s="3">
        <v>33568</v>
      </c>
      <c r="D52" s="18" t="str">
        <f>IFERROR(VLOOKUP(C52,[7]Sheet2!$C$1:$F$1223,3,0),"")</f>
        <v>양찬모</v>
      </c>
      <c r="E52" s="18" t="str">
        <f>IFERROR(VLOOKUP(C52,[7]Sheet2!$C$1:$F$1223,4,0),"")</f>
        <v>청주주류상사(유)</v>
      </c>
      <c r="F52" s="2" t="s">
        <v>3061</v>
      </c>
      <c r="G52" s="3" t="s">
        <v>3218</v>
      </c>
      <c r="H52" s="4" t="s">
        <v>564</v>
      </c>
      <c r="I52" s="4" t="s">
        <v>902</v>
      </c>
      <c r="J52" s="23" t="s">
        <v>3272</v>
      </c>
      <c r="K52" s="27"/>
      <c r="L52" s="28"/>
      <c r="M52" s="28"/>
      <c r="N52" s="28">
        <v>2</v>
      </c>
      <c r="O52" s="28">
        <v>1</v>
      </c>
      <c r="P52" s="28">
        <v>2</v>
      </c>
      <c r="Q52" s="28">
        <v>1</v>
      </c>
      <c r="R52" s="28">
        <v>4</v>
      </c>
      <c r="S52" s="28">
        <v>1</v>
      </c>
      <c r="T52" s="28">
        <v>3</v>
      </c>
      <c r="U52" s="28">
        <v>5</v>
      </c>
      <c r="V52" s="29"/>
      <c r="X52" s="31">
        <v>2</v>
      </c>
      <c r="Y52" s="32">
        <v>2</v>
      </c>
    </row>
    <row r="53" spans="2:26">
      <c r="B53" s="17" t="str">
        <f>IFERROR(VLOOKUP(C53,[7]Sheet2!$C$3:$F$1223,2,0),"")</f>
        <v>Daejeon</v>
      </c>
      <c r="C53" s="3">
        <v>33536</v>
      </c>
      <c r="D53" s="18" t="str">
        <f>IFERROR(VLOOKUP(C53,[7]Sheet2!$C$1:$F$1223,3,0),"")</f>
        <v>양찬모</v>
      </c>
      <c r="E53" s="18" t="str">
        <f>IFERROR(VLOOKUP(C53,[7]Sheet2!$C$1:$F$1223,4,0),"")</f>
        <v>한밭상사(주)</v>
      </c>
      <c r="F53" s="2" t="s">
        <v>3062</v>
      </c>
      <c r="G53" s="3" t="s">
        <v>3217</v>
      </c>
      <c r="H53" s="4" t="s">
        <v>3167</v>
      </c>
      <c r="I53" s="4" t="s">
        <v>3169</v>
      </c>
      <c r="J53" s="23" t="s">
        <v>3273</v>
      </c>
      <c r="K53" s="27"/>
      <c r="L53" s="28"/>
      <c r="M53" s="28"/>
      <c r="N53" s="28"/>
      <c r="O53" s="28">
        <v>2</v>
      </c>
      <c r="P53" s="28">
        <v>2</v>
      </c>
      <c r="Q53" s="28">
        <v>3</v>
      </c>
      <c r="R53" s="28">
        <v>2</v>
      </c>
      <c r="S53" s="28"/>
      <c r="T53" s="28">
        <v>2</v>
      </c>
      <c r="U53" s="28">
        <v>8</v>
      </c>
      <c r="V53" s="29"/>
      <c r="X53" s="31">
        <v>3</v>
      </c>
    </row>
    <row r="54" spans="2:26">
      <c r="B54" s="17" t="str">
        <f>IFERROR(VLOOKUP(C54,[7]Sheet2!$C$3:$F$1223,2,0),"")</f>
        <v>Daejeon</v>
      </c>
      <c r="C54" s="3">
        <v>33483</v>
      </c>
      <c r="D54" s="18" t="str">
        <f>IFERROR(VLOOKUP(C54,[7]Sheet2!$C$1:$F$1223,3,0),"")</f>
        <v>양찬모</v>
      </c>
      <c r="E54" s="18" t="str">
        <f>IFERROR(VLOOKUP(C54,[7]Sheet2!$C$1:$F$1223,4,0),"")</f>
        <v>태왕상사(자)</v>
      </c>
      <c r="F54" s="2" t="s">
        <v>3063</v>
      </c>
      <c r="G54" s="3" t="s">
        <v>3217</v>
      </c>
      <c r="H54" s="4" t="s">
        <v>651</v>
      </c>
      <c r="I54" s="4" t="s">
        <v>516</v>
      </c>
      <c r="J54" s="23" t="s">
        <v>3274</v>
      </c>
      <c r="K54" s="27"/>
      <c r="L54" s="28"/>
      <c r="M54" s="28"/>
      <c r="N54" s="28"/>
      <c r="O54" s="28">
        <v>10</v>
      </c>
      <c r="P54" s="28"/>
      <c r="Q54" s="28"/>
      <c r="R54" s="28"/>
      <c r="S54" s="28"/>
      <c r="T54" s="28"/>
      <c r="U54" s="28"/>
      <c r="V54" s="29"/>
      <c r="Z54" s="32">
        <v>10</v>
      </c>
    </row>
    <row r="55" spans="2:26">
      <c r="B55" s="17" t="str">
        <f>IFERROR(VLOOKUP(C55,[7]Sheet2!$C$3:$F$1223,2,0),"")</f>
        <v>Daejeon</v>
      </c>
      <c r="C55" s="3">
        <v>33529</v>
      </c>
      <c r="D55" s="18" t="str">
        <f>IFERROR(VLOOKUP(C55,[7]Sheet2!$C$1:$F$1223,3,0),"")</f>
        <v>양찬모</v>
      </c>
      <c r="E55" s="18" t="str">
        <f>IFERROR(VLOOKUP(C55,[7]Sheet2!$C$1:$F$1223,4,0),"")</f>
        <v>대전합동상사(주)</v>
      </c>
      <c r="F55" s="2" t="s">
        <v>3064</v>
      </c>
      <c r="G55" s="3" t="s">
        <v>3217</v>
      </c>
      <c r="H55" s="4" t="s">
        <v>3167</v>
      </c>
      <c r="I55" s="4" t="s">
        <v>3169</v>
      </c>
      <c r="J55" s="23" t="s">
        <v>3275</v>
      </c>
      <c r="K55" s="27"/>
      <c r="L55" s="28"/>
      <c r="M55" s="28"/>
      <c r="N55" s="28"/>
      <c r="O55" s="28">
        <v>1</v>
      </c>
      <c r="P55" s="28"/>
      <c r="Q55" s="28"/>
      <c r="R55" s="28">
        <v>5</v>
      </c>
      <c r="S55" s="28"/>
      <c r="T55" s="28">
        <v>3</v>
      </c>
      <c r="U55" s="28">
        <v>5</v>
      </c>
      <c r="V55" s="29"/>
      <c r="X55" s="31">
        <v>1</v>
      </c>
      <c r="Y55" s="32">
        <v>1</v>
      </c>
    </row>
    <row r="56" spans="2:26">
      <c r="B56" s="17" t="str">
        <f>IFERROR(VLOOKUP(C56,[7]Sheet2!$C$3:$F$1223,2,0),"")</f>
        <v>Daejeon</v>
      </c>
      <c r="C56" s="3">
        <v>33482</v>
      </c>
      <c r="D56" s="18" t="str">
        <f>IFERROR(VLOOKUP(C56,[7]Sheet2!$C$1:$F$1223,3,0),"")</f>
        <v>양찬모</v>
      </c>
      <c r="E56" s="18" t="str">
        <f>IFERROR(VLOOKUP(C56,[7]Sheet2!$C$1:$F$1223,4,0),"")</f>
        <v>충무상사(자)</v>
      </c>
      <c r="F56" s="2" t="s">
        <v>3065</v>
      </c>
      <c r="G56" s="3" t="s">
        <v>3217</v>
      </c>
      <c r="H56" s="4" t="s">
        <v>651</v>
      </c>
      <c r="I56" s="4" t="s">
        <v>1146</v>
      </c>
      <c r="J56" s="23" t="s">
        <v>3276</v>
      </c>
      <c r="K56" s="27"/>
      <c r="L56" s="28"/>
      <c r="M56" s="28"/>
      <c r="N56" s="28"/>
      <c r="O56" s="28">
        <v>5</v>
      </c>
      <c r="P56" s="28"/>
      <c r="Q56" s="28"/>
      <c r="R56" s="28"/>
      <c r="S56" s="28"/>
      <c r="T56" s="28"/>
      <c r="U56" s="28"/>
      <c r="V56" s="29"/>
    </row>
    <row r="57" spans="2:26">
      <c r="B57" s="17" t="str">
        <f>IFERROR(VLOOKUP(C57,[7]Sheet2!$C$3:$F$1223,2,0),"")</f>
        <v>Daejeon</v>
      </c>
      <c r="C57" s="3">
        <v>33491</v>
      </c>
      <c r="D57" s="18" t="str">
        <f>IFERROR(VLOOKUP(C57,[7]Sheet2!$C$1:$F$1223,3,0),"")</f>
        <v>양찬모</v>
      </c>
      <c r="E57" s="18" t="str">
        <f>IFERROR(VLOOKUP(C57,[7]Sheet2!$C$1:$F$1223,4,0),"")</f>
        <v>우리주류상사(자)</v>
      </c>
      <c r="F57" s="2" t="s">
        <v>3066</v>
      </c>
      <c r="G57" s="3" t="s">
        <v>3217</v>
      </c>
      <c r="H57" s="4" t="s">
        <v>651</v>
      </c>
      <c r="I57" s="4" t="s">
        <v>1146</v>
      </c>
      <c r="J57" s="23" t="s">
        <v>3277</v>
      </c>
      <c r="K57" s="27"/>
      <c r="L57" s="28"/>
      <c r="M57" s="28"/>
      <c r="N57" s="28"/>
      <c r="O57" s="28">
        <v>1</v>
      </c>
      <c r="P57" s="28"/>
      <c r="Q57" s="28"/>
      <c r="R57" s="28"/>
      <c r="S57" s="28"/>
      <c r="T57" s="28"/>
      <c r="U57" s="28"/>
      <c r="V57" s="29"/>
    </row>
    <row r="58" spans="2:26">
      <c r="B58" s="17" t="str">
        <f>IFERROR(VLOOKUP(C58,[7]Sheet2!$C$3:$F$1223,2,0),"")</f>
        <v>Daejeon</v>
      </c>
      <c r="C58" s="3">
        <v>33568</v>
      </c>
      <c r="D58" s="18" t="str">
        <f>IFERROR(VLOOKUP(C58,[7]Sheet2!$C$1:$F$1223,3,0),"")</f>
        <v>양찬모</v>
      </c>
      <c r="E58" s="18" t="str">
        <f>IFERROR(VLOOKUP(C58,[7]Sheet2!$C$1:$F$1223,4,0),"")</f>
        <v>청주주류상사(유)</v>
      </c>
      <c r="F58" s="2" t="s">
        <v>3067</v>
      </c>
      <c r="G58" s="3" t="s">
        <v>3218</v>
      </c>
      <c r="H58" s="4" t="s">
        <v>564</v>
      </c>
      <c r="I58" s="4" t="s">
        <v>902</v>
      </c>
      <c r="J58" s="23" t="s">
        <v>3278</v>
      </c>
      <c r="K58" s="27"/>
      <c r="L58" s="28"/>
      <c r="M58" s="28"/>
      <c r="N58" s="28"/>
      <c r="O58" s="28">
        <v>5</v>
      </c>
      <c r="P58" s="28">
        <v>5</v>
      </c>
      <c r="Q58" s="28">
        <v>10</v>
      </c>
      <c r="R58" s="28"/>
      <c r="S58" s="28"/>
      <c r="T58" s="28"/>
      <c r="U58" s="28"/>
      <c r="V58" s="29"/>
    </row>
    <row r="59" spans="2:26">
      <c r="B59" s="17" t="str">
        <f>IFERROR(VLOOKUP(C59,[7]Sheet2!$C$3:$F$1223,2,0),"")</f>
        <v>Daejeon</v>
      </c>
      <c r="C59" s="3">
        <v>33536</v>
      </c>
      <c r="D59" s="18" t="str">
        <f>IFERROR(VLOOKUP(C59,[7]Sheet2!$C$1:$F$1223,3,0),"")</f>
        <v>양찬모</v>
      </c>
      <c r="E59" s="18" t="str">
        <f>IFERROR(VLOOKUP(C59,[7]Sheet2!$C$1:$F$1223,4,0),"")</f>
        <v>한밭상사(주)</v>
      </c>
      <c r="F59" s="2" t="s">
        <v>3068</v>
      </c>
      <c r="G59" s="3" t="s">
        <v>3218</v>
      </c>
      <c r="H59" s="4" t="s">
        <v>3167</v>
      </c>
      <c r="I59" s="4" t="s">
        <v>3191</v>
      </c>
      <c r="J59" s="23" t="s">
        <v>3279</v>
      </c>
      <c r="K59" s="27"/>
      <c r="L59" s="28"/>
      <c r="M59" s="28"/>
      <c r="N59" s="28"/>
      <c r="O59" s="28">
        <v>1</v>
      </c>
      <c r="P59" s="28"/>
      <c r="Q59" s="28"/>
      <c r="R59" s="28"/>
      <c r="S59" s="28"/>
      <c r="T59" s="28">
        <v>1</v>
      </c>
      <c r="U59" s="28"/>
      <c r="V59" s="29"/>
    </row>
    <row r="60" spans="2:26">
      <c r="B60" s="17" t="str">
        <f>IFERROR(VLOOKUP(C60,[7]Sheet2!$C$3:$F$1223,2,0),"")</f>
        <v>Daejeon</v>
      </c>
      <c r="C60" s="3">
        <v>33501</v>
      </c>
      <c r="D60" s="18" t="str">
        <f>IFERROR(VLOOKUP(C60,[7]Sheet2!$C$1:$F$1223,3,0),"")</f>
        <v>양찬모</v>
      </c>
      <c r="E60" s="18" t="str">
        <f>IFERROR(VLOOKUP(C60,[7]Sheet2!$C$1:$F$1223,4,0),"")</f>
        <v>대명주류상사(유)</v>
      </c>
      <c r="F60" s="2" t="s">
        <v>3069</v>
      </c>
      <c r="G60" s="3" t="s">
        <v>3218</v>
      </c>
      <c r="H60" s="4" t="s">
        <v>3247</v>
      </c>
      <c r="I60" s="4"/>
      <c r="J60" s="23" t="s">
        <v>3280</v>
      </c>
      <c r="K60" s="27"/>
      <c r="L60" s="28"/>
      <c r="M60" s="28"/>
      <c r="N60" s="28"/>
      <c r="O60" s="28">
        <v>1</v>
      </c>
      <c r="P60" s="28"/>
      <c r="Q60" s="28">
        <v>1</v>
      </c>
      <c r="R60" s="28"/>
      <c r="S60" s="28">
        <v>1</v>
      </c>
      <c r="T60" s="28"/>
      <c r="U60" s="28"/>
      <c r="V60" s="29"/>
    </row>
    <row r="61" spans="2:26">
      <c r="B61" s="17" t="str">
        <f>IFERROR(VLOOKUP(C61,[7]Sheet2!$C$3:$F$1223,2,0),"")</f>
        <v>Daejeon</v>
      </c>
      <c r="C61" s="3">
        <v>33568</v>
      </c>
      <c r="D61" s="18" t="str">
        <f>IFERROR(VLOOKUP(C61,[7]Sheet2!$C$1:$F$1223,3,0),"")</f>
        <v>양찬모</v>
      </c>
      <c r="E61" s="18" t="str">
        <f>IFERROR(VLOOKUP(C61,[7]Sheet2!$C$1:$F$1223,4,0),"")</f>
        <v>청주주류상사(유)</v>
      </c>
      <c r="F61" s="2" t="s">
        <v>3070</v>
      </c>
      <c r="G61" s="3" t="s">
        <v>3218</v>
      </c>
      <c r="H61" s="4" t="s">
        <v>564</v>
      </c>
      <c r="I61" s="4" t="s">
        <v>902</v>
      </c>
      <c r="J61" s="23" t="s">
        <v>3281</v>
      </c>
      <c r="K61" s="27"/>
      <c r="L61" s="28"/>
      <c r="M61" s="28"/>
      <c r="N61" s="28"/>
      <c r="O61" s="28">
        <v>1</v>
      </c>
      <c r="P61" s="28"/>
      <c r="Q61" s="28"/>
      <c r="R61" s="28"/>
      <c r="S61" s="28">
        <v>1</v>
      </c>
      <c r="T61" s="28">
        <v>1</v>
      </c>
      <c r="U61" s="28">
        <v>1</v>
      </c>
      <c r="V61" s="29"/>
    </row>
    <row r="62" spans="2:26">
      <c r="B62" s="17" t="str">
        <f>IFERROR(VLOOKUP(C62,[7]Sheet2!$C$3:$F$1223,2,0),"")</f>
        <v>Daejeon</v>
      </c>
      <c r="C62" s="3">
        <v>33536</v>
      </c>
      <c r="D62" s="18" t="str">
        <f>IFERROR(VLOOKUP(C62,[7]Sheet2!$C$1:$F$1223,3,0),"")</f>
        <v>양찬모</v>
      </c>
      <c r="E62" s="18" t="str">
        <f>IFERROR(VLOOKUP(C62,[7]Sheet2!$C$1:$F$1223,4,0),"")</f>
        <v>한밭상사(주)</v>
      </c>
      <c r="F62" s="2" t="s">
        <v>3071</v>
      </c>
      <c r="G62" s="3" t="s">
        <v>3217</v>
      </c>
      <c r="H62" s="4" t="s">
        <v>3167</v>
      </c>
      <c r="I62" s="4" t="s">
        <v>3169</v>
      </c>
      <c r="J62" s="23" t="s">
        <v>3282</v>
      </c>
      <c r="K62" s="27"/>
      <c r="L62" s="28"/>
      <c r="M62" s="28"/>
      <c r="N62" s="28"/>
      <c r="O62" s="28">
        <v>1</v>
      </c>
      <c r="P62" s="28"/>
      <c r="Q62" s="28"/>
      <c r="R62" s="28">
        <v>2</v>
      </c>
      <c r="S62" s="28"/>
      <c r="T62" s="28"/>
      <c r="U62" s="28"/>
      <c r="V62" s="29"/>
    </row>
    <row r="63" spans="2:26">
      <c r="B63" s="17" t="str">
        <f>IFERROR(VLOOKUP(C63,[7]Sheet2!$C$3:$F$1223,2,0),"")</f>
        <v>Daejeon</v>
      </c>
      <c r="C63" s="3">
        <v>33489</v>
      </c>
      <c r="D63" s="18" t="str">
        <f>IFERROR(VLOOKUP(C63,[7]Sheet2!$C$1:$F$1223,3,0),"")</f>
        <v>양찬모</v>
      </c>
      <c r="E63" s="18" t="str">
        <f>IFERROR(VLOOKUP(C63,[7]Sheet2!$C$1:$F$1223,4,0),"")</f>
        <v>백락주류상사(주)</v>
      </c>
      <c r="F63" s="2" t="s">
        <v>3072</v>
      </c>
      <c r="G63" s="3" t="s">
        <v>3217</v>
      </c>
      <c r="H63" s="4" t="s">
        <v>651</v>
      </c>
      <c r="I63" s="4" t="s">
        <v>516</v>
      </c>
      <c r="J63" s="23" t="s">
        <v>3283</v>
      </c>
      <c r="K63" s="27"/>
      <c r="L63" s="28"/>
      <c r="M63" s="28"/>
      <c r="N63" s="28"/>
      <c r="O63" s="28">
        <v>1</v>
      </c>
      <c r="P63" s="28"/>
      <c r="Q63" s="28"/>
      <c r="R63" s="28"/>
      <c r="S63" s="28"/>
      <c r="T63" s="28"/>
      <c r="U63" s="28"/>
      <c r="V63" s="29"/>
    </row>
    <row r="64" spans="2:26">
      <c r="B64" s="17" t="str">
        <f>IFERROR(VLOOKUP(C64,[7]Sheet2!$C$3:$F$1223,2,0),"")</f>
        <v>Daejeon</v>
      </c>
      <c r="C64" s="3">
        <v>33510</v>
      </c>
      <c r="D64" s="18" t="str">
        <f>IFERROR(VLOOKUP(C64,[7]Sheet2!$C$1:$F$1223,3,0),"")</f>
        <v>양찬모</v>
      </c>
      <c r="E64" s="18" t="str">
        <f>IFERROR(VLOOKUP(C64,[7]Sheet2!$C$1:$F$1223,4,0),"")</f>
        <v>청마주류(주)</v>
      </c>
      <c r="F64" s="2" t="s">
        <v>3073</v>
      </c>
      <c r="G64" s="3" t="s">
        <v>3217</v>
      </c>
      <c r="H64" s="4" t="s">
        <v>651</v>
      </c>
      <c r="I64" s="4" t="s">
        <v>516</v>
      </c>
      <c r="J64" s="23" t="s">
        <v>3284</v>
      </c>
      <c r="K64" s="27"/>
      <c r="L64" s="28"/>
      <c r="M64" s="28"/>
      <c r="N64" s="28"/>
      <c r="O64" s="28"/>
      <c r="P64" s="28">
        <v>2</v>
      </c>
      <c r="Q64" s="28">
        <v>5</v>
      </c>
      <c r="R64" s="28">
        <v>1</v>
      </c>
      <c r="S64" s="28"/>
      <c r="T64" s="28">
        <v>1</v>
      </c>
      <c r="U64" s="28"/>
      <c r="V64" s="29"/>
    </row>
    <row r="65" spans="2:25">
      <c r="B65" s="17" t="str">
        <f>IFERROR(VLOOKUP(C65,[7]Sheet2!$C$3:$F$1223,2,0),"")</f>
        <v>Daejeon</v>
      </c>
      <c r="C65" s="3">
        <v>33536</v>
      </c>
      <c r="D65" s="18" t="str">
        <f>IFERROR(VLOOKUP(C65,[7]Sheet2!$C$1:$F$1223,3,0),"")</f>
        <v>양찬모</v>
      </c>
      <c r="E65" s="18" t="str">
        <f>IFERROR(VLOOKUP(C65,[7]Sheet2!$C$1:$F$1223,4,0),"")</f>
        <v>한밭상사(주)</v>
      </c>
      <c r="F65" s="2" t="s">
        <v>3074</v>
      </c>
      <c r="G65" s="3" t="s">
        <v>3217</v>
      </c>
      <c r="H65" s="4" t="s">
        <v>3167</v>
      </c>
      <c r="I65" s="4" t="s">
        <v>3169</v>
      </c>
      <c r="J65" s="23" t="s">
        <v>3285</v>
      </c>
      <c r="K65" s="27"/>
      <c r="L65" s="28"/>
      <c r="M65" s="28"/>
      <c r="N65" s="28"/>
      <c r="O65" s="28">
        <v>1</v>
      </c>
      <c r="P65" s="28"/>
      <c r="Q65" s="28"/>
      <c r="R65" s="28"/>
      <c r="S65" s="28">
        <v>1</v>
      </c>
      <c r="T65" s="28"/>
      <c r="U65" s="28"/>
      <c r="V65" s="29"/>
    </row>
    <row r="66" spans="2:25">
      <c r="B66" s="17" t="str">
        <f>IFERROR(VLOOKUP(C66,[7]Sheet2!$C$3:$F$1223,2,0),"")</f>
        <v>Daejeon</v>
      </c>
      <c r="C66" s="3">
        <v>33546</v>
      </c>
      <c r="D66" s="18" t="str">
        <f>IFERROR(VLOOKUP(C66,[7]Sheet2!$C$1:$F$1223,3,0),"")</f>
        <v>양찬모</v>
      </c>
      <c r="E66" s="18" t="str">
        <f>IFERROR(VLOOKUP(C66,[7]Sheet2!$C$1:$F$1223,4,0),"")</f>
        <v>동서주류상사(자)</v>
      </c>
      <c r="F66" s="2" t="s">
        <v>3020</v>
      </c>
      <c r="G66" s="3" t="s">
        <v>3217</v>
      </c>
      <c r="H66" s="4" t="s">
        <v>3167</v>
      </c>
      <c r="I66" s="4" t="s">
        <v>3169</v>
      </c>
      <c r="J66" s="23" t="s">
        <v>3286</v>
      </c>
      <c r="K66" s="27"/>
      <c r="L66" s="28"/>
      <c r="M66" s="28"/>
      <c r="N66" s="28"/>
      <c r="O66" s="28">
        <v>2</v>
      </c>
      <c r="P66" s="28"/>
      <c r="Q66" s="28"/>
      <c r="R66" s="28"/>
      <c r="S66" s="28"/>
      <c r="T66" s="28"/>
      <c r="U66" s="28"/>
      <c r="V66" s="29"/>
    </row>
    <row r="67" spans="2:25">
      <c r="B67" s="17" t="str">
        <f>IFERROR(VLOOKUP(C67,[7]Sheet2!$C$3:$F$1223,2,0),"")</f>
        <v>Daejeon</v>
      </c>
      <c r="C67" s="3">
        <v>33546</v>
      </c>
      <c r="D67" s="18" t="str">
        <f>IFERROR(VLOOKUP(C67,[7]Sheet2!$C$1:$F$1223,3,0),"")</f>
        <v>양찬모</v>
      </c>
      <c r="E67" s="18" t="str">
        <f>IFERROR(VLOOKUP(C67,[7]Sheet2!$C$1:$F$1223,4,0),"")</f>
        <v>동서주류상사(자)</v>
      </c>
      <c r="F67" s="2" t="s">
        <v>3075</v>
      </c>
      <c r="G67" s="3" t="s">
        <v>3217</v>
      </c>
      <c r="H67" s="4" t="s">
        <v>3167</v>
      </c>
      <c r="I67" s="4" t="s">
        <v>132</v>
      </c>
      <c r="J67" s="23" t="s">
        <v>3287</v>
      </c>
      <c r="K67" s="27"/>
      <c r="L67" s="28"/>
      <c r="M67" s="28"/>
      <c r="N67" s="28"/>
      <c r="O67" s="28">
        <v>5</v>
      </c>
      <c r="P67" s="28"/>
      <c r="Q67" s="28"/>
      <c r="R67" s="28"/>
      <c r="S67" s="28"/>
      <c r="T67" s="28"/>
      <c r="U67" s="28"/>
      <c r="V67" s="29"/>
    </row>
    <row r="68" spans="2:25">
      <c r="B68" s="17" t="str">
        <f>IFERROR(VLOOKUP(C68,[7]Sheet2!$C$3:$F$1223,2,0),"")</f>
        <v>Daejeon</v>
      </c>
      <c r="C68" s="3">
        <v>33520</v>
      </c>
      <c r="D68" s="18" t="str">
        <f>IFERROR(VLOOKUP(C68,[7]Sheet2!$C$1:$F$1223,3,0),"")</f>
        <v>양찬모</v>
      </c>
      <c r="E68" s="18" t="str">
        <f>IFERROR(VLOOKUP(C68,[7]Sheet2!$C$1:$F$1223,4,0),"")</f>
        <v>아성주류상사㈜</v>
      </c>
      <c r="F68" s="2" t="s">
        <v>3076</v>
      </c>
      <c r="G68" s="3" t="s">
        <v>3218</v>
      </c>
      <c r="H68" s="4" t="s">
        <v>3167</v>
      </c>
      <c r="I68" s="4" t="s">
        <v>878</v>
      </c>
      <c r="J68" s="23" t="s">
        <v>3288</v>
      </c>
      <c r="K68" s="27"/>
      <c r="L68" s="28"/>
      <c r="M68" s="28"/>
      <c r="N68" s="28"/>
      <c r="O68" s="28"/>
      <c r="P68" s="28">
        <v>2</v>
      </c>
      <c r="Q68" s="28"/>
      <c r="R68" s="28"/>
      <c r="S68" s="28"/>
      <c r="T68" s="28"/>
      <c r="U68" s="28"/>
      <c r="V68" s="29"/>
    </row>
    <row r="69" spans="2:25">
      <c r="B69" s="17" t="str">
        <f>IFERROR(VLOOKUP(C69,[7]Sheet2!$C$3:$F$1223,2,0),"")</f>
        <v>Daejeon</v>
      </c>
      <c r="C69" s="3">
        <v>33524</v>
      </c>
      <c r="D69" s="18" t="str">
        <f>IFERROR(VLOOKUP(C69,[7]Sheet2!$C$1:$F$1223,3,0),"")</f>
        <v>양찬모</v>
      </c>
      <c r="E69" s="18" t="str">
        <f>IFERROR(VLOOKUP(C69,[7]Sheet2!$C$1:$F$1223,4,0),"")</f>
        <v>대광상사(유)</v>
      </c>
      <c r="F69" s="2" t="s">
        <v>3077</v>
      </c>
      <c r="G69" s="3" t="s">
        <v>3217</v>
      </c>
      <c r="H69" s="4" t="s">
        <v>3167</v>
      </c>
      <c r="I69" s="4" t="s">
        <v>3169</v>
      </c>
      <c r="J69" s="23" t="s">
        <v>3289</v>
      </c>
      <c r="K69" s="27"/>
      <c r="L69" s="28"/>
      <c r="M69" s="28"/>
      <c r="N69" s="28"/>
      <c r="O69" s="28"/>
      <c r="P69" s="28">
        <v>2</v>
      </c>
      <c r="Q69" s="28">
        <v>3</v>
      </c>
      <c r="R69" s="28">
        <v>4</v>
      </c>
      <c r="S69" s="28">
        <v>2</v>
      </c>
      <c r="T69" s="28">
        <v>3</v>
      </c>
      <c r="U69" s="28"/>
      <c r="V69" s="29"/>
      <c r="X69" s="31">
        <v>2</v>
      </c>
      <c r="Y69" s="32">
        <v>1</v>
      </c>
    </row>
    <row r="70" spans="2:25">
      <c r="B70" s="17" t="str">
        <f>IFERROR(VLOOKUP(C70,[7]Sheet2!$C$3:$F$1223,2,0),"")</f>
        <v>Daejeon</v>
      </c>
      <c r="C70" s="3">
        <v>33524</v>
      </c>
      <c r="D70" s="18" t="str">
        <f>IFERROR(VLOOKUP(C70,[7]Sheet2!$C$1:$F$1223,3,0),"")</f>
        <v>양찬모</v>
      </c>
      <c r="E70" s="18" t="str">
        <f>IFERROR(VLOOKUP(C70,[7]Sheet2!$C$1:$F$1223,4,0),"")</f>
        <v>대광상사(유)</v>
      </c>
      <c r="F70" s="2" t="s">
        <v>3078</v>
      </c>
      <c r="G70" s="3" t="s">
        <v>3217</v>
      </c>
      <c r="H70" s="4" t="s">
        <v>651</v>
      </c>
      <c r="I70" s="4" t="s">
        <v>3290</v>
      </c>
      <c r="J70" s="23" t="s">
        <v>3291</v>
      </c>
      <c r="K70" s="27"/>
      <c r="L70" s="28"/>
      <c r="M70" s="28"/>
      <c r="N70" s="28"/>
      <c r="O70" s="28"/>
      <c r="P70" s="28">
        <v>1</v>
      </c>
      <c r="Q70" s="28">
        <v>1</v>
      </c>
      <c r="R70" s="28"/>
      <c r="S70" s="28">
        <v>4</v>
      </c>
      <c r="T70" s="28">
        <v>1</v>
      </c>
      <c r="U70" s="28">
        <v>2</v>
      </c>
      <c r="V70" s="29"/>
      <c r="Y70" s="32">
        <v>1</v>
      </c>
    </row>
    <row r="71" spans="2:25">
      <c r="B71" s="17" t="str">
        <f>IFERROR(VLOOKUP(C71,[8]Sheet2!$C$3:$F$1223,2,0),"")</f>
        <v>Daejeon</v>
      </c>
      <c r="C71" s="3">
        <v>33524</v>
      </c>
      <c r="D71" s="18" t="str">
        <f>IFERROR(VLOOKUP(C71,[8]Sheet2!$C$1:$F$1223,3,0),"")</f>
        <v>양찬모</v>
      </c>
      <c r="E71" s="18" t="str">
        <f>IFERROR(VLOOKUP(C71,[8]Sheet2!$C$1:$F$1223,4,0),"")</f>
        <v>대광상사(유)</v>
      </c>
      <c r="F71" s="2" t="s">
        <v>3079</v>
      </c>
      <c r="G71" s="3" t="s">
        <v>3218</v>
      </c>
      <c r="H71" s="4" t="s">
        <v>3167</v>
      </c>
      <c r="I71" s="4" t="s">
        <v>119</v>
      </c>
      <c r="J71" s="23" t="s">
        <v>3292</v>
      </c>
      <c r="K71" s="27"/>
      <c r="L71" s="28"/>
      <c r="M71" s="28"/>
      <c r="N71" s="28"/>
      <c r="O71" s="28"/>
      <c r="P71" s="28">
        <v>1</v>
      </c>
      <c r="Q71" s="28">
        <v>3</v>
      </c>
      <c r="R71" s="28">
        <v>1</v>
      </c>
      <c r="S71" s="28">
        <v>3</v>
      </c>
      <c r="T71" s="28">
        <v>1</v>
      </c>
      <c r="U71" s="28">
        <v>1</v>
      </c>
      <c r="V71" s="29"/>
      <c r="X71" s="31">
        <v>2</v>
      </c>
      <c r="Y71" s="32">
        <v>1</v>
      </c>
    </row>
    <row r="72" spans="2:25">
      <c r="B72" s="17" t="str">
        <f>IFERROR(VLOOKUP(C72,[8]Sheet2!$C$3:$F$1223,2,0),"")</f>
        <v>Daejeon</v>
      </c>
      <c r="C72" s="3">
        <v>33524</v>
      </c>
      <c r="D72" s="18" t="str">
        <f>IFERROR(VLOOKUP(C72,[8]Sheet2!$C$1:$F$1223,3,0),"")</f>
        <v>양찬모</v>
      </c>
      <c r="E72" s="18" t="str">
        <f>IFERROR(VLOOKUP(C72,[8]Sheet2!$C$1:$F$1223,4,0),"")</f>
        <v>대광상사(유)</v>
      </c>
      <c r="F72" s="2" t="s">
        <v>3080</v>
      </c>
      <c r="G72" s="3" t="s">
        <v>3217</v>
      </c>
      <c r="H72" s="4" t="s">
        <v>3167</v>
      </c>
      <c r="I72" s="4" t="s">
        <v>132</v>
      </c>
      <c r="J72" s="23" t="s">
        <v>3293</v>
      </c>
      <c r="K72" s="27"/>
      <c r="L72" s="28"/>
      <c r="M72" s="28"/>
      <c r="N72" s="28"/>
      <c r="O72" s="28"/>
      <c r="P72" s="28">
        <v>1</v>
      </c>
      <c r="Q72" s="28">
        <v>2</v>
      </c>
      <c r="R72" s="28"/>
      <c r="S72" s="28">
        <v>1</v>
      </c>
      <c r="T72" s="28"/>
      <c r="U72" s="28">
        <v>1</v>
      </c>
      <c r="V72" s="29"/>
      <c r="X72" s="31">
        <v>3</v>
      </c>
      <c r="Y72" s="32">
        <v>1</v>
      </c>
    </row>
    <row r="73" spans="2:25">
      <c r="B73" s="17" t="str">
        <f>IFERROR(VLOOKUP(C73,[8]Sheet2!$C$3:$F$1223,2,0),"")</f>
        <v>Daejeon</v>
      </c>
      <c r="C73" s="3">
        <v>33524</v>
      </c>
      <c r="D73" s="18" t="str">
        <f>IFERROR(VLOOKUP(C73,[8]Sheet2!$C$1:$F$1223,3,0),"")</f>
        <v>양찬모</v>
      </c>
      <c r="E73" s="18" t="str">
        <f>IFERROR(VLOOKUP(C73,[8]Sheet2!$C$1:$F$1223,4,0),"")</f>
        <v>대광상사(유)</v>
      </c>
      <c r="F73" s="2" t="s">
        <v>3081</v>
      </c>
      <c r="G73" s="3" t="s">
        <v>3217</v>
      </c>
      <c r="H73" s="4" t="s">
        <v>3167</v>
      </c>
      <c r="I73" s="4" t="s">
        <v>132</v>
      </c>
      <c r="J73" s="23" t="s">
        <v>3294</v>
      </c>
      <c r="K73" s="27"/>
      <c r="L73" s="28"/>
      <c r="M73" s="28"/>
      <c r="N73" s="28"/>
      <c r="O73" s="28"/>
      <c r="P73" s="28">
        <v>1</v>
      </c>
      <c r="Q73" s="28"/>
      <c r="R73" s="28"/>
      <c r="S73" s="28"/>
      <c r="T73" s="28"/>
      <c r="U73" s="28">
        <v>1</v>
      </c>
      <c r="V73" s="29"/>
    </row>
    <row r="74" spans="2:25">
      <c r="B74" s="17" t="str">
        <f>IFERROR(VLOOKUP(C74,[8]Sheet2!$C$3:$F$1223,2,0),"")</f>
        <v>Daejeon</v>
      </c>
      <c r="C74" s="3">
        <v>33524</v>
      </c>
      <c r="D74" s="18" t="str">
        <f>IFERROR(VLOOKUP(C74,[8]Sheet2!$C$1:$F$1223,3,0),"")</f>
        <v>양찬모</v>
      </c>
      <c r="E74" s="18" t="str">
        <f>IFERROR(VLOOKUP(C74,[8]Sheet2!$C$1:$F$1223,4,0),"")</f>
        <v>대광상사(유)</v>
      </c>
      <c r="F74" s="2" t="s">
        <v>3082</v>
      </c>
      <c r="G74" s="3" t="s">
        <v>3217</v>
      </c>
      <c r="H74" s="4" t="s">
        <v>3167</v>
      </c>
      <c r="I74" s="4" t="s">
        <v>3169</v>
      </c>
      <c r="J74" s="23" t="s">
        <v>3295</v>
      </c>
      <c r="K74" s="27"/>
      <c r="L74" s="28"/>
      <c r="M74" s="28"/>
      <c r="N74" s="28"/>
      <c r="O74" s="28"/>
      <c r="P74" s="28">
        <v>1</v>
      </c>
      <c r="Q74" s="28"/>
      <c r="R74" s="28"/>
      <c r="S74" s="28">
        <v>2</v>
      </c>
      <c r="T74" s="28"/>
      <c r="U74" s="28"/>
      <c r="V74" s="34"/>
      <c r="X74" s="31">
        <v>1</v>
      </c>
      <c r="Y74" s="32">
        <v>1</v>
      </c>
    </row>
    <row r="75" spans="2:25">
      <c r="B75" s="17" t="str">
        <f>IFERROR(VLOOKUP(C75,[8]Sheet2!$C$3:$F$1223,2,0),"")</f>
        <v>Daejeon</v>
      </c>
      <c r="C75" s="3">
        <v>33524</v>
      </c>
      <c r="D75" s="18" t="str">
        <f>IFERROR(VLOOKUP(C75,[8]Sheet2!$C$1:$F$1223,3,0),"")</f>
        <v>양찬모</v>
      </c>
      <c r="E75" s="18" t="str">
        <f>IFERROR(VLOOKUP(C75,[8]Sheet2!$C$1:$F$1223,4,0),"")</f>
        <v>대광상사(유)</v>
      </c>
      <c r="F75" s="2" t="s">
        <v>3083</v>
      </c>
      <c r="G75" s="3" t="s">
        <v>3217</v>
      </c>
      <c r="H75" s="4" t="s">
        <v>3167</v>
      </c>
      <c r="I75" s="4" t="s">
        <v>3169</v>
      </c>
      <c r="J75" s="23" t="s">
        <v>3296</v>
      </c>
      <c r="K75" s="27"/>
      <c r="L75" s="28"/>
      <c r="M75" s="28"/>
      <c r="N75" s="28"/>
      <c r="O75" s="28"/>
      <c r="P75" s="28">
        <v>1</v>
      </c>
      <c r="Q75" s="28">
        <v>1</v>
      </c>
      <c r="R75" s="28"/>
      <c r="S75" s="28"/>
      <c r="T75" s="28"/>
      <c r="U75" s="28"/>
      <c r="V75" s="34"/>
    </row>
    <row r="76" spans="2:25">
      <c r="B76" s="17" t="str">
        <f>IFERROR(VLOOKUP(C76,[8]Sheet2!$C$3:$F$1223,2,0),"")</f>
        <v>Daejeon</v>
      </c>
      <c r="C76" s="3">
        <v>33530</v>
      </c>
      <c r="D76" s="18" t="str">
        <f>IFERROR(VLOOKUP(C76,[8]Sheet2!$C$1:$F$1223,3,0),"")</f>
        <v>양찬모</v>
      </c>
      <c r="E76" s="18" t="str">
        <f>IFERROR(VLOOKUP(C76,[8]Sheet2!$C$1:$F$1223,4,0),"")</f>
        <v>삼성주류대전</v>
      </c>
      <c r="F76" s="2" t="s">
        <v>3084</v>
      </c>
      <c r="G76" s="3" t="s">
        <v>3217</v>
      </c>
      <c r="H76" s="4" t="s">
        <v>3167</v>
      </c>
      <c r="I76" s="4" t="s">
        <v>132</v>
      </c>
      <c r="J76" s="23" t="s">
        <v>3297</v>
      </c>
      <c r="K76" s="27"/>
      <c r="L76" s="28"/>
      <c r="M76" s="28"/>
      <c r="N76" s="28"/>
      <c r="O76" s="28"/>
      <c r="P76" s="28">
        <v>4</v>
      </c>
      <c r="Q76" s="28"/>
      <c r="R76" s="28"/>
      <c r="S76" s="28"/>
      <c r="T76" s="28"/>
      <c r="U76" s="28"/>
      <c r="V76" s="34"/>
      <c r="X76" s="31">
        <v>1</v>
      </c>
    </row>
    <row r="77" spans="2:25">
      <c r="B77" s="17" t="str">
        <f>IFERROR(VLOOKUP(C77,[8]Sheet2!$C$3:$F$1223,2,0),"")</f>
        <v>Daejeon</v>
      </c>
      <c r="C77" s="3">
        <v>33547</v>
      </c>
      <c r="D77" s="18" t="str">
        <f>IFERROR(VLOOKUP(C77,[8]Sheet2!$C$1:$F$1223,3,0),"")</f>
        <v>양찬모</v>
      </c>
      <c r="E77" s="18" t="str">
        <f>IFERROR(VLOOKUP(C77,[8]Sheet2!$C$1:$F$1223,4,0),"")</f>
        <v>청호주류합명회사</v>
      </c>
      <c r="F77" s="2" t="s">
        <v>3085</v>
      </c>
      <c r="G77" s="3" t="s">
        <v>3218</v>
      </c>
      <c r="H77" s="4" t="s">
        <v>564</v>
      </c>
      <c r="I77" s="4" t="s">
        <v>3205</v>
      </c>
      <c r="J77" s="23" t="s">
        <v>3298</v>
      </c>
      <c r="K77" s="27"/>
      <c r="L77" s="28"/>
      <c r="M77" s="28"/>
      <c r="N77" s="28"/>
      <c r="O77" s="28">
        <v>1</v>
      </c>
      <c r="P77" s="28"/>
      <c r="Q77" s="28"/>
      <c r="R77" s="28"/>
      <c r="S77" s="28"/>
      <c r="T77" s="28"/>
      <c r="U77" s="28"/>
      <c r="V77" s="34"/>
    </row>
    <row r="78" spans="2:25">
      <c r="B78" s="17" t="str">
        <f>IFERROR(VLOOKUP(C78,[8]Sheet2!$C$3:$F$1223,2,0),"")</f>
        <v>Daejeon</v>
      </c>
      <c r="C78" s="3">
        <v>33486</v>
      </c>
      <c r="D78" s="18" t="str">
        <f>IFERROR(VLOOKUP(C78,[8]Sheet2!$C$1:$F$1223,3,0),"")</f>
        <v>양찬모</v>
      </c>
      <c r="E78" s="18" t="str">
        <f>IFERROR(VLOOKUP(C78,[8]Sheet2!$C$1:$F$1223,4,0),"")</f>
        <v>유일상사(주)</v>
      </c>
      <c r="F78" s="2" t="s">
        <v>3086</v>
      </c>
      <c r="G78" s="3" t="s">
        <v>3217</v>
      </c>
      <c r="H78" s="4" t="s">
        <v>651</v>
      </c>
      <c r="I78" s="4" t="s">
        <v>914</v>
      </c>
      <c r="J78" s="23" t="s">
        <v>3299</v>
      </c>
      <c r="K78" s="27"/>
      <c r="L78" s="28"/>
      <c r="M78" s="28"/>
      <c r="N78" s="28"/>
      <c r="O78" s="28">
        <v>1</v>
      </c>
      <c r="P78" s="28"/>
      <c r="Q78" s="28">
        <v>4</v>
      </c>
      <c r="R78" s="28">
        <v>4</v>
      </c>
      <c r="S78" s="28">
        <v>4</v>
      </c>
      <c r="T78" s="28"/>
      <c r="U78" s="28">
        <v>2</v>
      </c>
      <c r="V78" s="34"/>
      <c r="X78" s="31">
        <v>3</v>
      </c>
      <c r="Y78" s="32">
        <v>4</v>
      </c>
    </row>
    <row r="79" spans="2:25">
      <c r="B79" s="17" t="str">
        <f>IFERROR(VLOOKUP(C79,[8]Sheet2!$C$3:$F$1223,2,0),"")</f>
        <v>Daejeon</v>
      </c>
      <c r="C79" s="3">
        <v>33486</v>
      </c>
      <c r="D79" s="18" t="str">
        <f>IFERROR(VLOOKUP(C79,[8]Sheet2!$C$1:$F$1223,3,0),"")</f>
        <v>양찬모</v>
      </c>
      <c r="E79" s="18" t="str">
        <f>IFERROR(VLOOKUP(C79,[8]Sheet2!$C$1:$F$1223,4,0),"")</f>
        <v>유일상사(주)</v>
      </c>
      <c r="F79" s="2" t="s">
        <v>3087</v>
      </c>
      <c r="G79" s="3" t="s">
        <v>3217</v>
      </c>
      <c r="H79" s="4" t="s">
        <v>651</v>
      </c>
      <c r="I79" s="4" t="s">
        <v>3300</v>
      </c>
      <c r="J79" s="23" t="s">
        <v>3301</v>
      </c>
      <c r="K79" s="27"/>
      <c r="L79" s="28"/>
      <c r="M79" s="28"/>
      <c r="N79" s="28"/>
      <c r="O79" s="28">
        <v>1</v>
      </c>
      <c r="P79" s="28"/>
      <c r="Q79" s="28">
        <v>2</v>
      </c>
      <c r="R79" s="28">
        <v>1</v>
      </c>
      <c r="S79" s="28">
        <v>1</v>
      </c>
      <c r="T79" s="28"/>
      <c r="U79" s="28">
        <v>1</v>
      </c>
      <c r="V79" s="34"/>
      <c r="X79" s="31">
        <v>2</v>
      </c>
      <c r="Y79" s="32">
        <v>2</v>
      </c>
    </row>
    <row r="80" spans="2:25">
      <c r="B80" s="17" t="str">
        <f>IFERROR(VLOOKUP(C80,[8]Sheet2!$C$3:$F$1223,2,0),"")</f>
        <v>Daejeon</v>
      </c>
      <c r="C80" s="3">
        <v>33581</v>
      </c>
      <c r="D80" s="18" t="str">
        <f>IFERROR(VLOOKUP(C80,[8]Sheet2!$C$1:$F$1223,3,0),"")</f>
        <v>양찬모</v>
      </c>
      <c r="E80" s="18" t="str">
        <f>IFERROR(VLOOKUP(C80,[8]Sheet2!$C$1:$F$1223,4,0),"")</f>
        <v>영신주류판매상사(유)</v>
      </c>
      <c r="F80" s="2" t="s">
        <v>3088</v>
      </c>
      <c r="G80" s="3" t="s">
        <v>3217</v>
      </c>
      <c r="H80" s="4" t="s">
        <v>3167</v>
      </c>
      <c r="I80" s="4" t="s">
        <v>132</v>
      </c>
      <c r="J80" s="23" t="s">
        <v>3302</v>
      </c>
      <c r="K80" s="27"/>
      <c r="L80" s="28"/>
      <c r="M80" s="28"/>
      <c r="N80" s="28"/>
      <c r="O80" s="28">
        <v>1</v>
      </c>
      <c r="P80" s="28"/>
      <c r="Q80" s="28"/>
      <c r="R80" s="28"/>
      <c r="S80" s="28"/>
      <c r="T80" s="28"/>
      <c r="U80" s="28"/>
      <c r="V80" s="34"/>
    </row>
    <row r="81" spans="2:25">
      <c r="B81" s="17" t="str">
        <f>IFERROR(VLOOKUP(C81,[8]Sheet2!$C$3:$F$1223,2,0),"")</f>
        <v>Daejeon</v>
      </c>
      <c r="C81" s="3">
        <v>33539</v>
      </c>
      <c r="D81" s="18" t="str">
        <f>IFERROR(VLOOKUP(C81,[8]Sheet2!$C$1:$F$1223,3,0),"")</f>
        <v>양찬모</v>
      </c>
      <c r="E81" s="18" t="str">
        <f>IFERROR(VLOOKUP(C81,[8]Sheet2!$C$1:$F$1223,4,0),"")</f>
        <v>우리주류상사(대전)</v>
      </c>
      <c r="F81" s="2" t="s">
        <v>3056</v>
      </c>
      <c r="G81" s="3" t="s">
        <v>3217</v>
      </c>
      <c r="H81" s="4" t="s">
        <v>3167</v>
      </c>
      <c r="I81" s="4" t="s">
        <v>3169</v>
      </c>
      <c r="J81" s="23" t="s">
        <v>3303</v>
      </c>
      <c r="K81" s="27"/>
      <c r="L81" s="28"/>
      <c r="M81" s="28"/>
      <c r="N81" s="28">
        <v>1</v>
      </c>
      <c r="O81" s="28">
        <v>3</v>
      </c>
      <c r="P81" s="28">
        <v>2</v>
      </c>
      <c r="Q81" s="28"/>
      <c r="R81" s="28"/>
      <c r="S81" s="28"/>
      <c r="T81" s="28"/>
      <c r="U81" s="28"/>
      <c r="V81" s="34"/>
    </row>
    <row r="82" spans="2:25">
      <c r="B82" s="17" t="str">
        <f>IFERROR(VLOOKUP(C82,[8]Sheet2!$C$3:$F$1223,2,0),"")</f>
        <v>Daejeon</v>
      </c>
      <c r="C82" s="3">
        <v>33539</v>
      </c>
      <c r="D82" s="18" t="str">
        <f>IFERROR(VLOOKUP(C82,[8]Sheet2!$C$1:$F$1223,3,0),"")</f>
        <v>양찬모</v>
      </c>
      <c r="E82" s="18" t="str">
        <f>IFERROR(VLOOKUP(C82,[8]Sheet2!$C$1:$F$1223,4,0),"")</f>
        <v>우리주류상사(대전)</v>
      </c>
      <c r="F82" s="2" t="s">
        <v>3089</v>
      </c>
      <c r="G82" s="3" t="s">
        <v>3217</v>
      </c>
      <c r="H82" s="4" t="s">
        <v>3167</v>
      </c>
      <c r="I82" s="4" t="s">
        <v>132</v>
      </c>
      <c r="J82" s="23" t="s">
        <v>3304</v>
      </c>
      <c r="K82" s="27"/>
      <c r="L82" s="28"/>
      <c r="M82" s="28"/>
      <c r="N82" s="28"/>
      <c r="O82" s="28">
        <v>1</v>
      </c>
      <c r="P82" s="28"/>
      <c r="Q82" s="28"/>
      <c r="R82" s="28"/>
      <c r="S82" s="28"/>
      <c r="T82" s="28"/>
      <c r="U82" s="28"/>
      <c r="V82" s="34"/>
    </row>
    <row r="83" spans="2:25">
      <c r="B83" s="17" t="str">
        <f>IFERROR(VLOOKUP(C83,[8]Sheet2!$C$3:$F$1223,2,0),"")</f>
        <v>Daejeon</v>
      </c>
      <c r="C83" s="3">
        <v>33528</v>
      </c>
      <c r="D83" s="18" t="str">
        <f>IFERROR(VLOOKUP(C83,[8]Sheet2!$C$1:$F$1223,3,0),"")</f>
        <v>양찬모</v>
      </c>
      <c r="E83" s="18" t="str">
        <f>IFERROR(VLOOKUP(C83,[8]Sheet2!$C$1:$F$1223,4,0),"")</f>
        <v>청원주류상사(합)</v>
      </c>
      <c r="F83" s="2" t="s">
        <v>3090</v>
      </c>
      <c r="G83" s="3" t="s">
        <v>3218</v>
      </c>
      <c r="H83" s="4" t="s">
        <v>3167</v>
      </c>
      <c r="I83" s="4" t="s">
        <v>878</v>
      </c>
      <c r="J83" s="23" t="s">
        <v>3305</v>
      </c>
      <c r="K83" s="27"/>
      <c r="L83" s="28"/>
      <c r="M83" s="28"/>
      <c r="N83" s="28"/>
      <c r="O83" s="28"/>
      <c r="P83" s="28">
        <v>8</v>
      </c>
      <c r="Q83" s="28">
        <v>14</v>
      </c>
      <c r="R83" s="28"/>
      <c r="S83" s="28">
        <v>10</v>
      </c>
      <c r="T83" s="28">
        <v>5</v>
      </c>
      <c r="U83" s="28">
        <v>4</v>
      </c>
      <c r="V83" s="34"/>
      <c r="Y83" s="32">
        <v>2</v>
      </c>
    </row>
    <row r="84" spans="2:25">
      <c r="B84" s="17" t="str">
        <f>IFERROR(VLOOKUP(C84,[8]Sheet2!$C$3:$F$1223,2,0),"")</f>
        <v>Daejeon</v>
      </c>
      <c r="C84" s="3">
        <v>33524</v>
      </c>
      <c r="D84" s="18" t="str">
        <f>IFERROR(VLOOKUP(C84,[8]Sheet2!$C$1:$F$1223,3,0),"")</f>
        <v>양찬모</v>
      </c>
      <c r="E84" s="18" t="str">
        <f>IFERROR(VLOOKUP(C84,[8]Sheet2!$C$1:$F$1223,4,0),"")</f>
        <v>대광상사(유)</v>
      </c>
      <c r="F84" s="2" t="s">
        <v>3091</v>
      </c>
      <c r="G84" s="3" t="s">
        <v>3218</v>
      </c>
      <c r="H84" s="4" t="s">
        <v>3185</v>
      </c>
      <c r="I84" s="4"/>
      <c r="J84" s="23" t="s">
        <v>3306</v>
      </c>
      <c r="K84" s="27"/>
      <c r="L84" s="28"/>
      <c r="M84" s="28"/>
      <c r="N84" s="28"/>
      <c r="O84" s="28"/>
      <c r="P84" s="28">
        <v>1</v>
      </c>
      <c r="Q84" s="28"/>
      <c r="R84" s="28"/>
      <c r="S84" s="28"/>
      <c r="T84" s="28">
        <v>1</v>
      </c>
      <c r="U84" s="28">
        <v>1</v>
      </c>
      <c r="V84" s="34"/>
      <c r="X84" s="31">
        <v>2</v>
      </c>
      <c r="Y84" s="32">
        <v>1</v>
      </c>
    </row>
    <row r="85" spans="2:25">
      <c r="B85" s="17" t="str">
        <f>IFERROR(VLOOKUP(C85,[8]Sheet2!$C$3:$F$1223,2,0),"")</f>
        <v>Daejeon</v>
      </c>
      <c r="C85" s="3">
        <v>33524</v>
      </c>
      <c r="D85" s="18" t="str">
        <f>IFERROR(VLOOKUP(C85,[8]Sheet2!$C$1:$F$1223,3,0),"")</f>
        <v>양찬모</v>
      </c>
      <c r="E85" s="18" t="str">
        <f>IFERROR(VLOOKUP(C85,[8]Sheet2!$C$1:$F$1223,4,0),"")</f>
        <v>대광상사(유)</v>
      </c>
      <c r="F85" s="2" t="s">
        <v>3092</v>
      </c>
      <c r="G85" s="3" t="s">
        <v>3217</v>
      </c>
      <c r="H85" s="4" t="s">
        <v>3167</v>
      </c>
      <c r="I85" s="4" t="s">
        <v>3169</v>
      </c>
      <c r="J85" s="23" t="s">
        <v>3307</v>
      </c>
      <c r="K85" s="27"/>
      <c r="L85" s="28"/>
      <c r="M85" s="28"/>
      <c r="N85" s="28"/>
      <c r="O85" s="28"/>
      <c r="P85" s="28">
        <v>1</v>
      </c>
      <c r="Q85" s="28">
        <v>1</v>
      </c>
      <c r="R85" s="28"/>
      <c r="S85" s="28">
        <v>1</v>
      </c>
      <c r="T85" s="28"/>
      <c r="U85" s="28">
        <v>1</v>
      </c>
      <c r="V85" s="34"/>
      <c r="Y85" s="32">
        <v>1</v>
      </c>
    </row>
    <row r="86" spans="2:25">
      <c r="B86" s="17" t="str">
        <f>IFERROR(VLOOKUP(C86,[8]Sheet2!$C$3:$F$1223,2,0),"")</f>
        <v>Daejeon</v>
      </c>
      <c r="C86" s="3">
        <v>33530</v>
      </c>
      <c r="D86" s="18" t="str">
        <f>IFERROR(VLOOKUP(C86,[8]Sheet2!$C$1:$F$1223,3,0),"")</f>
        <v>양찬모</v>
      </c>
      <c r="E86" s="18" t="str">
        <f>IFERROR(VLOOKUP(C86,[8]Sheet2!$C$1:$F$1223,4,0),"")</f>
        <v>삼성주류대전</v>
      </c>
      <c r="F86" s="2" t="s">
        <v>3093</v>
      </c>
      <c r="G86" s="3" t="s">
        <v>3217</v>
      </c>
      <c r="H86" s="4" t="s">
        <v>3167</v>
      </c>
      <c r="I86" s="4" t="s">
        <v>3169</v>
      </c>
      <c r="J86" s="23" t="s">
        <v>3308</v>
      </c>
      <c r="K86" s="27"/>
      <c r="L86" s="28"/>
      <c r="M86" s="28"/>
      <c r="N86" s="28"/>
      <c r="O86" s="28"/>
      <c r="P86" s="28">
        <v>2</v>
      </c>
      <c r="Q86" s="28"/>
      <c r="R86" s="28">
        <v>3</v>
      </c>
      <c r="S86" s="28">
        <v>3</v>
      </c>
      <c r="T86" s="28">
        <v>2</v>
      </c>
      <c r="U86" s="28">
        <v>1</v>
      </c>
      <c r="V86" s="34"/>
      <c r="X86" s="31">
        <v>1</v>
      </c>
      <c r="Y86" s="32">
        <v>1</v>
      </c>
    </row>
    <row r="87" spans="2:25">
      <c r="B87" s="17" t="str">
        <f>IFERROR(VLOOKUP(C87,[8]Sheet2!$C$3:$F$1223,2,0),"")</f>
        <v>Daejeon</v>
      </c>
      <c r="C87" s="3">
        <v>33526</v>
      </c>
      <c r="D87" s="18" t="str">
        <f>IFERROR(VLOOKUP(C87,[8]Sheet2!$C$1:$F$1223,3,0),"")</f>
        <v>양찬모</v>
      </c>
      <c r="E87" s="18" t="str">
        <f>IFERROR(VLOOKUP(C87,[8]Sheet2!$C$1:$F$1223,4,0),"")</f>
        <v>충청주류상사(주)</v>
      </c>
      <c r="F87" s="2" t="s">
        <v>3094</v>
      </c>
      <c r="G87" s="3" t="s">
        <v>3218</v>
      </c>
      <c r="H87" s="4" t="s">
        <v>3167</v>
      </c>
      <c r="I87" s="4" t="s">
        <v>3191</v>
      </c>
      <c r="J87" s="23" t="s">
        <v>3309</v>
      </c>
      <c r="K87" s="27"/>
      <c r="L87" s="28"/>
      <c r="M87" s="28"/>
      <c r="N87" s="28"/>
      <c r="O87" s="28"/>
      <c r="P87" s="28">
        <v>1</v>
      </c>
      <c r="Q87" s="28"/>
      <c r="R87" s="28">
        <v>1</v>
      </c>
      <c r="S87" s="28">
        <v>5</v>
      </c>
      <c r="T87" s="28"/>
      <c r="U87" s="28"/>
      <c r="V87" s="34"/>
    </row>
    <row r="88" spans="2:25">
      <c r="B88" s="17" t="str">
        <f>IFERROR(VLOOKUP(C88,[8]Sheet2!$C$3:$F$1223,2,0),"")</f>
        <v>Daejeon</v>
      </c>
      <c r="C88" s="3">
        <v>33528</v>
      </c>
      <c r="D88" s="18" t="str">
        <f>IFERROR(VLOOKUP(C88,[8]Sheet2!$C$1:$F$1223,3,0),"")</f>
        <v>양찬모</v>
      </c>
      <c r="E88" s="18" t="str">
        <f>IFERROR(VLOOKUP(C88,[8]Sheet2!$C$1:$F$1223,4,0),"")</f>
        <v>청원주류상사(합)</v>
      </c>
      <c r="F88" s="2" t="s">
        <v>3095</v>
      </c>
      <c r="G88" s="3" t="s">
        <v>3218</v>
      </c>
      <c r="H88" s="4" t="s">
        <v>3167</v>
      </c>
      <c r="I88" s="4" t="s">
        <v>3191</v>
      </c>
      <c r="J88" s="23" t="s">
        <v>3310</v>
      </c>
      <c r="K88" s="27"/>
      <c r="L88" s="28"/>
      <c r="M88" s="28"/>
      <c r="N88" s="28"/>
      <c r="O88" s="28"/>
      <c r="P88" s="28">
        <v>1</v>
      </c>
      <c r="Q88" s="28"/>
      <c r="R88" s="28"/>
      <c r="S88" s="28"/>
      <c r="T88" s="28"/>
      <c r="U88" s="28"/>
      <c r="V88" s="34"/>
    </row>
    <row r="89" spans="2:25">
      <c r="B89" s="17" t="str">
        <f>IFERROR(VLOOKUP(C89,[8]Sheet2!$C$3:$F$1223,2,0),"")</f>
        <v>Daejeon</v>
      </c>
      <c r="C89" s="3">
        <v>33529</v>
      </c>
      <c r="D89" s="18" t="str">
        <f>IFERROR(VLOOKUP(C89,[8]Sheet2!$C$1:$F$1223,3,0),"")</f>
        <v>양찬모</v>
      </c>
      <c r="E89" s="18" t="str">
        <f>IFERROR(VLOOKUP(C89,[8]Sheet2!$C$1:$F$1223,4,0),"")</f>
        <v>대전합동상사(주)</v>
      </c>
      <c r="F89" s="2" t="s">
        <v>3096</v>
      </c>
      <c r="G89" s="3" t="s">
        <v>3217</v>
      </c>
      <c r="H89" s="4" t="s">
        <v>3167</v>
      </c>
      <c r="I89" s="4" t="s">
        <v>3169</v>
      </c>
      <c r="J89" s="23" t="s">
        <v>3311</v>
      </c>
      <c r="K89" s="27"/>
      <c r="L89" s="28"/>
      <c r="M89" s="28"/>
      <c r="N89" s="28"/>
      <c r="O89" s="28"/>
      <c r="P89" s="28">
        <v>2</v>
      </c>
      <c r="Q89" s="28"/>
      <c r="R89" s="28">
        <v>1</v>
      </c>
      <c r="S89" s="28"/>
      <c r="T89" s="28">
        <v>1</v>
      </c>
      <c r="U89" s="28"/>
      <c r="V89" s="34"/>
    </row>
    <row r="90" spans="2:25">
      <c r="B90" s="17" t="str">
        <f>IFERROR(VLOOKUP(C90,[8]Sheet2!$C$3:$F$1223,2,0),"")</f>
        <v>Daejeon</v>
      </c>
      <c r="C90" s="3">
        <v>33510</v>
      </c>
      <c r="D90" s="18" t="str">
        <f>IFERROR(VLOOKUP(C90,[8]Sheet2!$C$1:$F$1223,3,0),"")</f>
        <v>양찬모</v>
      </c>
      <c r="E90" s="18" t="str">
        <f>IFERROR(VLOOKUP(C90,[8]Sheet2!$C$1:$F$1223,4,0),"")</f>
        <v>청마주류(주)</v>
      </c>
      <c r="F90" s="2" t="s">
        <v>3097</v>
      </c>
      <c r="G90" s="3" t="s">
        <v>3217</v>
      </c>
      <c r="H90" s="4" t="s">
        <v>651</v>
      </c>
      <c r="I90" s="4" t="s">
        <v>516</v>
      </c>
      <c r="J90" s="23" t="s">
        <v>3312</v>
      </c>
      <c r="K90" s="27"/>
      <c r="L90" s="28"/>
      <c r="M90" s="28"/>
      <c r="N90" s="28"/>
      <c r="O90" s="28"/>
      <c r="P90" s="28">
        <v>5</v>
      </c>
      <c r="Q90" s="28">
        <v>12</v>
      </c>
      <c r="R90" s="28">
        <v>4</v>
      </c>
      <c r="S90" s="28"/>
      <c r="T90" s="28"/>
      <c r="U90" s="28"/>
      <c r="V90" s="34"/>
    </row>
    <row r="91" spans="2:25">
      <c r="B91" s="17" t="str">
        <f>IFERROR(VLOOKUP(C91,[8]Sheet2!$C$3:$F$1223,2,0),"")</f>
        <v>Daejeon</v>
      </c>
      <c r="C91" s="3">
        <v>33528</v>
      </c>
      <c r="D91" s="18" t="str">
        <f>IFERROR(VLOOKUP(C91,[8]Sheet2!$C$1:$F$1223,3,0),"")</f>
        <v>양찬모</v>
      </c>
      <c r="E91" s="18" t="str">
        <f>IFERROR(VLOOKUP(C91,[8]Sheet2!$C$1:$F$1223,4,0),"")</f>
        <v>청원주류상사(합)</v>
      </c>
      <c r="F91" s="2" t="s">
        <v>3098</v>
      </c>
      <c r="G91" s="3" t="s">
        <v>3218</v>
      </c>
      <c r="H91" s="4" t="s">
        <v>3167</v>
      </c>
      <c r="I91" s="4" t="s">
        <v>878</v>
      </c>
      <c r="J91" s="23" t="s">
        <v>3313</v>
      </c>
      <c r="K91" s="27"/>
      <c r="L91" s="28"/>
      <c r="M91" s="28"/>
      <c r="N91" s="28"/>
      <c r="O91" s="28"/>
      <c r="P91" s="28">
        <v>1</v>
      </c>
      <c r="Q91" s="28">
        <v>1</v>
      </c>
      <c r="R91" s="28">
        <v>1</v>
      </c>
      <c r="S91" s="28"/>
      <c r="T91" s="28"/>
      <c r="U91" s="28"/>
      <c r="V91" s="34"/>
    </row>
    <row r="92" spans="2:25">
      <c r="B92" s="17" t="str">
        <f>IFERROR(VLOOKUP(C92,[8]Sheet2!$C$3:$F$1223,2,0),"")</f>
        <v>Daejeon</v>
      </c>
      <c r="C92" s="3">
        <v>33534</v>
      </c>
      <c r="D92" s="18" t="str">
        <f>IFERROR(VLOOKUP(C92,[8]Sheet2!$C$1:$F$1223,3,0),"")</f>
        <v>양찬모</v>
      </c>
      <c r="E92" s="18" t="str">
        <f>IFERROR(VLOOKUP(C92,[8]Sheet2!$C$1:$F$1223,4,0),"")</f>
        <v>현대주류주식회사</v>
      </c>
      <c r="F92" s="2" t="s">
        <v>3099</v>
      </c>
      <c r="G92" s="3" t="s">
        <v>3217</v>
      </c>
      <c r="H92" s="4" t="s">
        <v>651</v>
      </c>
      <c r="I92" s="4" t="s">
        <v>3314</v>
      </c>
      <c r="J92" s="23" t="s">
        <v>3315</v>
      </c>
      <c r="K92" s="27"/>
      <c r="L92" s="28"/>
      <c r="M92" s="28"/>
      <c r="N92" s="28"/>
      <c r="O92" s="28"/>
      <c r="P92" s="28"/>
      <c r="Q92" s="28">
        <v>1</v>
      </c>
      <c r="R92" s="28"/>
      <c r="S92" s="28"/>
      <c r="T92" s="28"/>
      <c r="U92" s="28"/>
      <c r="V92" s="34"/>
    </row>
    <row r="93" spans="2:25">
      <c r="B93" s="17" t="str">
        <f>IFERROR(VLOOKUP(C93,[8]Sheet2!$C$3:$F$1223,2,0),"")</f>
        <v>Daejeon</v>
      </c>
      <c r="C93" s="3">
        <v>33534</v>
      </c>
      <c r="D93" s="18" t="str">
        <f>IFERROR(VLOOKUP(C93,[8]Sheet2!$C$1:$F$1223,3,0),"")</f>
        <v>양찬모</v>
      </c>
      <c r="E93" s="18" t="str">
        <f>IFERROR(VLOOKUP(C93,[8]Sheet2!$C$1:$F$1223,4,0),"")</f>
        <v>현대주류주식회사</v>
      </c>
      <c r="F93" s="2" t="s">
        <v>3100</v>
      </c>
      <c r="G93" s="3" t="s">
        <v>3218</v>
      </c>
      <c r="H93" s="4" t="s">
        <v>877</v>
      </c>
      <c r="I93" s="4" t="s">
        <v>878</v>
      </c>
      <c r="J93" s="23" t="s">
        <v>3316</v>
      </c>
      <c r="K93" s="27"/>
      <c r="L93" s="28"/>
      <c r="M93" s="28"/>
      <c r="N93" s="28"/>
      <c r="O93" s="28"/>
      <c r="P93" s="28"/>
      <c r="Q93" s="28">
        <v>1</v>
      </c>
      <c r="R93" s="28"/>
      <c r="S93" s="28"/>
      <c r="T93" s="28"/>
      <c r="U93" s="28"/>
      <c r="V93" s="34"/>
    </row>
    <row r="94" spans="2:25">
      <c r="B94" s="17" t="str">
        <f>IFERROR(VLOOKUP(C94,[8]Sheet2!$C$3:$F$1223,2,0),"")</f>
        <v>Daejeon</v>
      </c>
      <c r="C94" s="3">
        <v>33524</v>
      </c>
      <c r="D94" s="18" t="str">
        <f>IFERROR(VLOOKUP(C94,[8]Sheet2!$C$1:$F$1223,3,0),"")</f>
        <v>양찬모</v>
      </c>
      <c r="E94" s="18" t="str">
        <f>IFERROR(VLOOKUP(C94,[8]Sheet2!$C$1:$F$1223,4,0),"")</f>
        <v>대광상사(유)</v>
      </c>
      <c r="F94" s="2" t="s">
        <v>3101</v>
      </c>
      <c r="G94" s="3" t="s">
        <v>3218</v>
      </c>
      <c r="H94" s="4" t="s">
        <v>3247</v>
      </c>
      <c r="I94" s="4"/>
      <c r="J94" s="23" t="s">
        <v>3317</v>
      </c>
      <c r="K94" s="27"/>
      <c r="L94" s="28"/>
      <c r="M94" s="28"/>
      <c r="N94" s="28"/>
      <c r="O94" s="28"/>
      <c r="P94" s="28"/>
      <c r="Q94" s="28">
        <v>1</v>
      </c>
      <c r="R94" s="28">
        <v>2</v>
      </c>
      <c r="S94" s="28"/>
      <c r="T94" s="28"/>
      <c r="U94" s="28"/>
      <c r="V94" s="34"/>
    </row>
    <row r="95" spans="2:25">
      <c r="B95" s="17" t="str">
        <f>IFERROR(VLOOKUP(C95,[8]Sheet2!$C$3:$F$1223,2,0),"")</f>
        <v>Daejeon</v>
      </c>
      <c r="C95" s="3">
        <v>33526</v>
      </c>
      <c r="D95" s="18" t="str">
        <f>IFERROR(VLOOKUP(C95,[8]Sheet2!$C$1:$F$1223,3,0),"")</f>
        <v>양찬모</v>
      </c>
      <c r="E95" s="18" t="str">
        <f>IFERROR(VLOOKUP(C95,[8]Sheet2!$C$1:$F$1223,4,0),"")</f>
        <v>충청주류상사(주)</v>
      </c>
      <c r="F95" s="2" t="s">
        <v>3102</v>
      </c>
      <c r="G95" s="3" t="s">
        <v>3217</v>
      </c>
      <c r="H95" s="4" t="s">
        <v>877</v>
      </c>
      <c r="I95" s="4" t="s">
        <v>3169</v>
      </c>
      <c r="J95" s="23" t="s">
        <v>3318</v>
      </c>
      <c r="K95" s="27"/>
      <c r="L95" s="28"/>
      <c r="M95" s="28"/>
      <c r="N95" s="28"/>
      <c r="O95" s="28"/>
      <c r="P95" s="28"/>
      <c r="Q95" s="28">
        <v>1</v>
      </c>
      <c r="R95" s="28"/>
      <c r="S95" s="28"/>
      <c r="T95" s="28"/>
      <c r="U95" s="28">
        <v>1</v>
      </c>
      <c r="V95" s="34"/>
    </row>
    <row r="96" spans="2:25">
      <c r="B96" s="17" t="str">
        <f>IFERROR(VLOOKUP(C96,[8]Sheet2!$C$3:$F$1223,2,0),"")</f>
        <v>Daejeon</v>
      </c>
      <c r="C96" s="3">
        <v>33533</v>
      </c>
      <c r="D96" s="18" t="str">
        <f>IFERROR(VLOOKUP(C96,[8]Sheet2!$C$1:$F$1223,3,0),"")</f>
        <v>양찬모</v>
      </c>
      <c r="E96" s="18" t="str">
        <f>IFERROR(VLOOKUP(C96,[8]Sheet2!$C$1:$F$1223,4,0),"")</f>
        <v>장천주류(주)</v>
      </c>
      <c r="F96" s="2" t="s">
        <v>3103</v>
      </c>
      <c r="G96" s="3" t="s">
        <v>3218</v>
      </c>
      <c r="H96" s="4" t="s">
        <v>877</v>
      </c>
      <c r="I96" s="4" t="s">
        <v>119</v>
      </c>
      <c r="J96" s="23" t="s">
        <v>3319</v>
      </c>
      <c r="K96" s="27"/>
      <c r="L96" s="28"/>
      <c r="M96" s="28"/>
      <c r="N96" s="28"/>
      <c r="O96" s="28"/>
      <c r="P96" s="28"/>
      <c r="Q96" s="28">
        <v>3</v>
      </c>
      <c r="R96" s="28">
        <v>6</v>
      </c>
      <c r="S96" s="28">
        <v>10</v>
      </c>
      <c r="T96" s="28">
        <v>8</v>
      </c>
      <c r="U96" s="28">
        <v>4</v>
      </c>
      <c r="V96" s="34"/>
      <c r="X96" s="31">
        <v>2</v>
      </c>
      <c r="Y96" s="32">
        <v>6</v>
      </c>
    </row>
    <row r="97" spans="2:25">
      <c r="B97" s="17" t="str">
        <f>IFERROR(VLOOKUP(C97,[8]Sheet2!$C$3:$F$1223,2,0),"")</f>
        <v>Daejeon</v>
      </c>
      <c r="C97" s="3">
        <v>33546</v>
      </c>
      <c r="D97" s="18" t="str">
        <f>IFERROR(VLOOKUP(C97,[8]Sheet2!$C$1:$F$1223,3,0),"")</f>
        <v>양찬모</v>
      </c>
      <c r="E97" s="18" t="str">
        <f>IFERROR(VLOOKUP(C97,[8]Sheet2!$C$1:$F$1223,4,0),"")</f>
        <v>동서주류상사(자)</v>
      </c>
      <c r="F97" s="2" t="s">
        <v>3104</v>
      </c>
      <c r="G97" s="3" t="s">
        <v>3217</v>
      </c>
      <c r="H97" s="4" t="s">
        <v>877</v>
      </c>
      <c r="I97" s="4" t="s">
        <v>132</v>
      </c>
      <c r="J97" s="23" t="s">
        <v>3320</v>
      </c>
      <c r="K97" s="27"/>
      <c r="L97" s="28"/>
      <c r="M97" s="28"/>
      <c r="N97" s="28"/>
      <c r="O97" s="28"/>
      <c r="P97" s="28"/>
      <c r="Q97" s="28">
        <v>3</v>
      </c>
      <c r="R97" s="28"/>
      <c r="S97" s="28">
        <v>6</v>
      </c>
      <c r="T97" s="28">
        <v>28</v>
      </c>
      <c r="U97" s="28">
        <v>5</v>
      </c>
      <c r="V97" s="34"/>
      <c r="X97" s="31">
        <v>5</v>
      </c>
      <c r="Y97" s="32">
        <v>7</v>
      </c>
    </row>
    <row r="98" spans="2:25">
      <c r="B98" s="17" t="str">
        <f>IFERROR(VLOOKUP(C98,[8]Sheet2!$C$3:$F$1223,2,0),"")</f>
        <v>Daejeon</v>
      </c>
      <c r="C98" s="3">
        <v>33533</v>
      </c>
      <c r="D98" s="18" t="str">
        <f>IFERROR(VLOOKUP(C98,[8]Sheet2!$C$1:$F$1223,3,0),"")</f>
        <v>양찬모</v>
      </c>
      <c r="E98" s="18" t="str">
        <f>IFERROR(VLOOKUP(C98,[8]Sheet2!$C$1:$F$1223,4,0),"")</f>
        <v>장천주류(주)</v>
      </c>
      <c r="F98" s="2" t="s">
        <v>3105</v>
      </c>
      <c r="G98" s="3" t="s">
        <v>3217</v>
      </c>
      <c r="H98" s="4" t="s">
        <v>877</v>
      </c>
      <c r="I98" s="4" t="s">
        <v>3169</v>
      </c>
      <c r="J98" s="23" t="s">
        <v>3321</v>
      </c>
      <c r="K98" s="27"/>
      <c r="L98" s="28"/>
      <c r="M98" s="28"/>
      <c r="N98" s="28"/>
      <c r="O98" s="28"/>
      <c r="P98" s="28"/>
      <c r="Q98" s="28">
        <v>3</v>
      </c>
      <c r="R98" s="28"/>
      <c r="S98" s="28">
        <v>2</v>
      </c>
      <c r="T98" s="28">
        <v>4</v>
      </c>
      <c r="U98" s="28">
        <v>4</v>
      </c>
      <c r="V98" s="34"/>
      <c r="X98" s="31">
        <v>3</v>
      </c>
      <c r="Y98" s="32">
        <v>4</v>
      </c>
    </row>
    <row r="99" spans="2:25">
      <c r="B99" s="17" t="str">
        <f>IFERROR(VLOOKUP(C99,[8]Sheet2!$C$3:$F$1223,2,0),"")</f>
        <v>Daejeon</v>
      </c>
      <c r="C99" s="3">
        <v>33486</v>
      </c>
      <c r="D99" s="18" t="str">
        <f>IFERROR(VLOOKUP(C99,[8]Sheet2!$C$1:$F$1223,3,0),"")</f>
        <v>양찬모</v>
      </c>
      <c r="E99" s="18" t="str">
        <f>IFERROR(VLOOKUP(C99,[8]Sheet2!$C$1:$F$1223,4,0),"")</f>
        <v>유일상사(주)</v>
      </c>
      <c r="F99" s="2" t="s">
        <v>3106</v>
      </c>
      <c r="G99" s="3" t="s">
        <v>3217</v>
      </c>
      <c r="H99" s="4" t="s">
        <v>651</v>
      </c>
      <c r="I99" s="4" t="s">
        <v>1146</v>
      </c>
      <c r="J99" s="23" t="s">
        <v>3322</v>
      </c>
      <c r="K99" s="27"/>
      <c r="L99" s="28"/>
      <c r="M99" s="28"/>
      <c r="N99" s="28"/>
      <c r="O99" s="28"/>
      <c r="P99" s="28">
        <v>5</v>
      </c>
      <c r="Q99" s="28"/>
      <c r="R99" s="28"/>
      <c r="S99" s="28"/>
      <c r="T99" s="28"/>
      <c r="U99" s="28"/>
      <c r="V99" s="34"/>
    </row>
    <row r="100" spans="2:25">
      <c r="B100" s="17" t="str">
        <f>IFERROR(VLOOKUP(C100,[8]Sheet2!$C$3:$F$1223,2,0),"")</f>
        <v>Daejeon</v>
      </c>
      <c r="C100" s="3">
        <v>33566</v>
      </c>
      <c r="D100" s="18" t="str">
        <f>IFERROR(VLOOKUP(C100,[8]Sheet2!$C$1:$F$1223,3,0),"")</f>
        <v>양찬모</v>
      </c>
      <c r="E100" s="18" t="str">
        <f>IFERROR(VLOOKUP(C100,[8]Sheet2!$C$1:$F$1223,4,0),"")</f>
        <v>대성종합주류(유)</v>
      </c>
      <c r="F100" s="2" t="s">
        <v>3107</v>
      </c>
      <c r="G100" s="3" t="s">
        <v>3218</v>
      </c>
      <c r="H100" s="4" t="s">
        <v>564</v>
      </c>
      <c r="I100" s="4" t="s">
        <v>902</v>
      </c>
      <c r="J100" s="23" t="s">
        <v>3323</v>
      </c>
      <c r="K100" s="27"/>
      <c r="L100" s="28"/>
      <c r="M100" s="28"/>
      <c r="N100" s="28"/>
      <c r="O100" s="28"/>
      <c r="P100" s="28"/>
      <c r="Q100" s="28">
        <v>1</v>
      </c>
      <c r="R100" s="28">
        <v>2</v>
      </c>
      <c r="S100" s="28">
        <v>1</v>
      </c>
      <c r="T100" s="28">
        <v>2</v>
      </c>
      <c r="U100" s="28">
        <v>2</v>
      </c>
      <c r="V100" s="34"/>
      <c r="X100" s="31">
        <v>3</v>
      </c>
      <c r="Y100" s="32">
        <v>2</v>
      </c>
    </row>
    <row r="101" spans="2:25">
      <c r="B101" s="17" t="str">
        <f>IFERROR(VLOOKUP(C101,[8]Sheet2!$C$3:$F$1223,2,0),"")</f>
        <v>Daejeon</v>
      </c>
      <c r="C101" s="3">
        <v>33581</v>
      </c>
      <c r="D101" s="18" t="str">
        <f>IFERROR(VLOOKUP(C101,[8]Sheet2!$C$1:$F$1223,3,0),"")</f>
        <v>양찬모</v>
      </c>
      <c r="E101" s="18" t="str">
        <f>IFERROR(VLOOKUP(C101,[8]Sheet2!$C$1:$F$1223,4,0),"")</f>
        <v>영신주류판매상사(유)</v>
      </c>
      <c r="F101" s="2" t="s">
        <v>3108</v>
      </c>
      <c r="G101" s="3" t="s">
        <v>3218</v>
      </c>
      <c r="H101" s="4" t="s">
        <v>3167</v>
      </c>
      <c r="I101" s="4" t="s">
        <v>878</v>
      </c>
      <c r="J101" s="23" t="s">
        <v>3324</v>
      </c>
      <c r="K101" s="27"/>
      <c r="L101" s="28"/>
      <c r="M101" s="28"/>
      <c r="N101" s="28"/>
      <c r="O101" s="28"/>
      <c r="P101" s="28">
        <v>1</v>
      </c>
      <c r="Q101" s="28"/>
      <c r="R101" s="28"/>
      <c r="S101" s="28"/>
      <c r="T101" s="28"/>
      <c r="U101" s="28"/>
      <c r="V101" s="34"/>
    </row>
    <row r="102" spans="2:25">
      <c r="B102" s="17" t="str">
        <f>IFERROR(VLOOKUP(C102,[8]Sheet2!$C$3:$F$1223,2,0),"")</f>
        <v>Daejeon</v>
      </c>
      <c r="C102" s="3">
        <v>33581</v>
      </c>
      <c r="D102" s="18" t="str">
        <f>IFERROR(VLOOKUP(C102,[8]Sheet2!$C$1:$F$1223,3,0),"")</f>
        <v>양찬모</v>
      </c>
      <c r="E102" s="18" t="str">
        <f>IFERROR(VLOOKUP(C102,[8]Sheet2!$C$1:$F$1223,4,0),"")</f>
        <v>영신주류판매상사(유)</v>
      </c>
      <c r="F102" s="2" t="s">
        <v>3109</v>
      </c>
      <c r="G102" s="3" t="s">
        <v>3217</v>
      </c>
      <c r="H102" s="4" t="s">
        <v>3167</v>
      </c>
      <c r="I102" s="4" t="s">
        <v>132</v>
      </c>
      <c r="J102" s="23" t="s">
        <v>3325</v>
      </c>
      <c r="K102" s="27"/>
      <c r="L102" s="28"/>
      <c r="M102" s="28"/>
      <c r="N102" s="28"/>
      <c r="O102" s="28"/>
      <c r="P102" s="28"/>
      <c r="Q102" s="28">
        <v>1</v>
      </c>
      <c r="R102" s="28">
        <v>4</v>
      </c>
      <c r="S102" s="28"/>
      <c r="T102" s="28"/>
      <c r="U102" s="28"/>
      <c r="V102" s="34"/>
    </row>
    <row r="103" spans="2:25">
      <c r="B103" s="17" t="str">
        <f>IFERROR(VLOOKUP(C103,[8]Sheet2!$C$3:$F$1223,2,0),"")</f>
        <v>Daejeon</v>
      </c>
      <c r="C103" s="3">
        <v>33536</v>
      </c>
      <c r="D103" s="18" t="str">
        <f>IFERROR(VLOOKUP(C103,[8]Sheet2!$C$1:$F$1223,3,0),"")</f>
        <v>양찬모</v>
      </c>
      <c r="E103" s="18" t="str">
        <f>IFERROR(VLOOKUP(C103,[8]Sheet2!$C$1:$F$1223,4,0),"")</f>
        <v>한밭상사(주)</v>
      </c>
      <c r="F103" s="2" t="s">
        <v>3110</v>
      </c>
      <c r="G103" s="3" t="s">
        <v>3217</v>
      </c>
      <c r="H103" s="4" t="s">
        <v>3167</v>
      </c>
      <c r="I103" s="4" t="s">
        <v>3169</v>
      </c>
      <c r="J103" s="23" t="s">
        <v>3326</v>
      </c>
      <c r="K103" s="27"/>
      <c r="L103" s="28"/>
      <c r="M103" s="28"/>
      <c r="N103" s="28"/>
      <c r="O103" s="28"/>
      <c r="P103" s="28"/>
      <c r="Q103" s="28">
        <v>2</v>
      </c>
      <c r="R103" s="28"/>
      <c r="S103" s="28"/>
      <c r="T103" s="28"/>
      <c r="U103" s="28"/>
      <c r="V103" s="34"/>
    </row>
    <row r="104" spans="2:25">
      <c r="B104" s="17" t="str">
        <f>IFERROR(VLOOKUP(C104,[8]Sheet2!$C$3:$F$1223,2,0),"")</f>
        <v>Daejeon</v>
      </c>
      <c r="C104" s="3">
        <v>33536</v>
      </c>
      <c r="D104" s="18" t="str">
        <f>IFERROR(VLOOKUP(C104,[8]Sheet2!$C$1:$F$1223,3,0),"")</f>
        <v>양찬모</v>
      </c>
      <c r="E104" s="18" t="str">
        <f>IFERROR(VLOOKUP(C104,[8]Sheet2!$C$1:$F$1223,4,0),"")</f>
        <v>한밭상사(주)</v>
      </c>
      <c r="F104" s="2" t="s">
        <v>3111</v>
      </c>
      <c r="G104" s="3" t="s">
        <v>3218</v>
      </c>
      <c r="H104" s="4" t="s">
        <v>3167</v>
      </c>
      <c r="I104" s="4" t="s">
        <v>119</v>
      </c>
      <c r="J104" s="23" t="s">
        <v>3327</v>
      </c>
      <c r="K104" s="27"/>
      <c r="L104" s="28"/>
      <c r="M104" s="28"/>
      <c r="N104" s="28"/>
      <c r="O104" s="28"/>
      <c r="P104" s="28"/>
      <c r="Q104" s="28">
        <v>3</v>
      </c>
      <c r="R104" s="28"/>
      <c r="S104" s="28">
        <v>3</v>
      </c>
      <c r="T104" s="28"/>
      <c r="U104" s="28"/>
      <c r="V104" s="34"/>
    </row>
    <row r="105" spans="2:25">
      <c r="B105" s="17" t="str">
        <f>IFERROR(VLOOKUP(C105,[8]Sheet2!$C$3:$F$1223,2,0),"")</f>
        <v>Daejeon</v>
      </c>
      <c r="C105" s="3">
        <v>33536</v>
      </c>
      <c r="D105" s="18" t="str">
        <f>IFERROR(VLOOKUP(C105,[8]Sheet2!$C$1:$F$1223,3,0),"")</f>
        <v>양찬모</v>
      </c>
      <c r="E105" s="18" t="str">
        <f>IFERROR(VLOOKUP(C105,[8]Sheet2!$C$1:$F$1223,4,0),"")</f>
        <v>한밭상사(주)</v>
      </c>
      <c r="F105" s="2" t="s">
        <v>3112</v>
      </c>
      <c r="G105" s="3" t="s">
        <v>3217</v>
      </c>
      <c r="H105" s="4" t="s">
        <v>3167</v>
      </c>
      <c r="I105" s="4" t="s">
        <v>132</v>
      </c>
      <c r="J105" s="23" t="s">
        <v>3328</v>
      </c>
      <c r="K105" s="27"/>
      <c r="L105" s="28"/>
      <c r="M105" s="28"/>
      <c r="N105" s="28"/>
      <c r="O105" s="28"/>
      <c r="P105" s="28"/>
      <c r="Q105" s="28">
        <v>1</v>
      </c>
      <c r="R105" s="28">
        <v>3</v>
      </c>
      <c r="S105" s="28">
        <v>5</v>
      </c>
      <c r="T105" s="28"/>
      <c r="U105" s="28">
        <v>4</v>
      </c>
      <c r="V105" s="34"/>
      <c r="Y105" s="32">
        <v>4</v>
      </c>
    </row>
    <row r="106" spans="2:25">
      <c r="B106" s="17" t="str">
        <f>IFERROR(VLOOKUP(C106,[8]Sheet2!$C$3:$F$1223,2,0),"")</f>
        <v>Daejeon</v>
      </c>
      <c r="C106" s="3">
        <v>33581</v>
      </c>
      <c r="D106" s="18" t="str">
        <f>IFERROR(VLOOKUP(C106,[8]Sheet2!$C$1:$F$1223,3,0),"")</f>
        <v>양찬모</v>
      </c>
      <c r="E106" s="18" t="str">
        <f>IFERROR(VLOOKUP(C106,[8]Sheet2!$C$1:$F$1223,4,0),"")</f>
        <v>영신주류판매상사(유)</v>
      </c>
      <c r="F106" s="2" t="s">
        <v>3113</v>
      </c>
      <c r="G106" s="3" t="s">
        <v>3217</v>
      </c>
      <c r="H106" s="4" t="s">
        <v>3167</v>
      </c>
      <c r="I106" s="4" t="s">
        <v>132</v>
      </c>
      <c r="J106" s="23" t="s">
        <v>3329</v>
      </c>
      <c r="K106" s="27"/>
      <c r="L106" s="28"/>
      <c r="M106" s="28"/>
      <c r="N106" s="28"/>
      <c r="O106" s="28"/>
      <c r="P106" s="28"/>
      <c r="Q106" s="28">
        <v>1</v>
      </c>
      <c r="R106" s="28"/>
      <c r="S106" s="28"/>
      <c r="T106" s="28"/>
      <c r="U106" s="28"/>
      <c r="V106" s="34"/>
    </row>
    <row r="107" spans="2:25">
      <c r="B107" s="17" t="str">
        <f>IFERROR(VLOOKUP(C107,[8]Sheet2!$C$3:$F$1223,2,0),"")</f>
        <v>Daejeon</v>
      </c>
      <c r="C107" s="3">
        <v>33581</v>
      </c>
      <c r="D107" s="18" t="str">
        <f>IFERROR(VLOOKUP(C107,[8]Sheet2!$C$1:$F$1223,3,0),"")</f>
        <v>양찬모</v>
      </c>
      <c r="E107" s="18" t="str">
        <f>IFERROR(VLOOKUP(C107,[8]Sheet2!$C$1:$F$1223,4,0),"")</f>
        <v>영신주류판매상사(유)</v>
      </c>
      <c r="F107" s="2" t="s">
        <v>3114</v>
      </c>
      <c r="G107" s="3" t="s">
        <v>3218</v>
      </c>
      <c r="H107" s="4" t="s">
        <v>3185</v>
      </c>
      <c r="I107" s="4"/>
      <c r="J107" s="23" t="s">
        <v>3330</v>
      </c>
      <c r="K107" s="27"/>
      <c r="L107" s="28"/>
      <c r="M107" s="28"/>
      <c r="N107" s="28"/>
      <c r="O107" s="28"/>
      <c r="P107" s="28"/>
      <c r="Q107" s="28">
        <v>1</v>
      </c>
      <c r="R107" s="28"/>
      <c r="S107" s="28"/>
      <c r="T107" s="28"/>
      <c r="U107" s="28"/>
      <c r="V107" s="34"/>
    </row>
    <row r="108" spans="2:25">
      <c r="B108" s="17" t="str">
        <f>IFERROR(VLOOKUP(C108,[8]Sheet2!$C$3:$F$1223,2,0),"")</f>
        <v>Daejeon</v>
      </c>
      <c r="C108" s="3">
        <v>33531</v>
      </c>
      <c r="D108" s="18" t="str">
        <f>IFERROR(VLOOKUP(C108,[8]Sheet2!$C$1:$F$1223,3,0),"")</f>
        <v>양찬모</v>
      </c>
      <c r="E108" s="18" t="str">
        <f>IFERROR(VLOOKUP(C108,[8]Sheet2!$C$1:$F$1223,4,0),"")</f>
        <v>대덕주류(유)서구</v>
      </c>
      <c r="F108" s="2" t="s">
        <v>3115</v>
      </c>
      <c r="G108" s="3" t="s">
        <v>3217</v>
      </c>
      <c r="H108" s="4" t="s">
        <v>3167</v>
      </c>
      <c r="I108" s="4" t="s">
        <v>132</v>
      </c>
      <c r="J108" s="23" t="s">
        <v>3331</v>
      </c>
      <c r="K108" s="27"/>
      <c r="L108" s="28"/>
      <c r="M108" s="28"/>
      <c r="N108" s="28"/>
      <c r="O108" s="28"/>
      <c r="P108" s="28"/>
      <c r="Q108" s="28">
        <v>1</v>
      </c>
      <c r="R108" s="28">
        <v>2</v>
      </c>
      <c r="S108" s="28">
        <v>4</v>
      </c>
      <c r="T108" s="28">
        <v>1</v>
      </c>
      <c r="U108" s="28"/>
      <c r="V108" s="34"/>
      <c r="X108" s="31">
        <v>2</v>
      </c>
      <c r="Y108" s="32">
        <v>2</v>
      </c>
    </row>
    <row r="109" spans="2:25">
      <c r="B109" s="17" t="str">
        <f>IFERROR(VLOOKUP(C109,[8]Sheet2!$C$3:$F$1223,2,0),"")</f>
        <v>Daejeon</v>
      </c>
      <c r="C109" s="3">
        <v>33510</v>
      </c>
      <c r="D109" s="18" t="str">
        <f>IFERROR(VLOOKUP(C109,[8]Sheet2!$C$1:$F$1223,3,0),"")</f>
        <v>양찬모</v>
      </c>
      <c r="E109" s="18" t="str">
        <f>IFERROR(VLOOKUP(C109,[8]Sheet2!$C$1:$F$1223,4,0),"")</f>
        <v>청마주류(주)</v>
      </c>
      <c r="F109" s="2" t="s">
        <v>3116</v>
      </c>
      <c r="G109" s="3" t="s">
        <v>3218</v>
      </c>
      <c r="H109" s="4" t="s">
        <v>3167</v>
      </c>
      <c r="I109" s="4" t="s">
        <v>3191</v>
      </c>
      <c r="J109" s="23" t="s">
        <v>3332</v>
      </c>
      <c r="K109" s="27"/>
      <c r="L109" s="28"/>
      <c r="M109" s="28"/>
      <c r="N109" s="28"/>
      <c r="O109" s="28"/>
      <c r="P109" s="28"/>
      <c r="Q109" s="28">
        <v>2</v>
      </c>
      <c r="R109" s="28"/>
      <c r="S109" s="28"/>
      <c r="T109" s="28"/>
      <c r="U109" s="28"/>
      <c r="V109" s="34"/>
    </row>
    <row r="110" spans="2:25">
      <c r="B110" s="17" t="str">
        <f>IFERROR(VLOOKUP(C110,[8]Sheet2!$C$3:$F$1223,2,0),"")</f>
        <v>Daejeon</v>
      </c>
      <c r="C110" s="3">
        <v>33520</v>
      </c>
      <c r="D110" s="18" t="str">
        <f>IFERROR(VLOOKUP(C110,[8]Sheet2!$C$1:$F$1223,3,0),"")</f>
        <v>양찬모</v>
      </c>
      <c r="E110" s="18" t="str">
        <f>IFERROR(VLOOKUP(C110,[8]Sheet2!$C$1:$F$1223,4,0),"")</f>
        <v>아성주류상사㈜</v>
      </c>
      <c r="F110" s="2" t="s">
        <v>3117</v>
      </c>
      <c r="G110" s="3" t="s">
        <v>3218</v>
      </c>
      <c r="H110" s="4" t="s">
        <v>3167</v>
      </c>
      <c r="I110" s="4" t="s">
        <v>3191</v>
      </c>
      <c r="J110" s="23" t="s">
        <v>3333</v>
      </c>
      <c r="K110" s="27"/>
      <c r="L110" s="28"/>
      <c r="M110" s="28"/>
      <c r="N110" s="28"/>
      <c r="O110" s="28"/>
      <c r="P110" s="28"/>
      <c r="Q110" s="28">
        <v>1</v>
      </c>
      <c r="R110" s="28"/>
      <c r="S110" s="28"/>
      <c r="T110" s="28"/>
      <c r="U110" s="28"/>
      <c r="V110" s="34"/>
    </row>
    <row r="111" spans="2:25">
      <c r="B111" s="17" t="str">
        <f>IFERROR(VLOOKUP(C111,[8]Sheet2!$C$3:$F$1223,2,0),"")</f>
        <v>Daejeon</v>
      </c>
      <c r="C111" s="3">
        <v>33520</v>
      </c>
      <c r="D111" s="18" t="str">
        <f>IFERROR(VLOOKUP(C111,[8]Sheet2!$C$1:$F$1223,3,0),"")</f>
        <v>양찬모</v>
      </c>
      <c r="E111" s="18" t="str">
        <f>IFERROR(VLOOKUP(C111,[8]Sheet2!$C$1:$F$1223,4,0),"")</f>
        <v>아성주류상사㈜</v>
      </c>
      <c r="F111" s="2" t="s">
        <v>3118</v>
      </c>
      <c r="G111" s="3" t="s">
        <v>3218</v>
      </c>
      <c r="H111" s="4" t="s">
        <v>3167</v>
      </c>
      <c r="I111" s="4" t="s">
        <v>878</v>
      </c>
      <c r="J111" s="23" t="s">
        <v>3334</v>
      </c>
      <c r="K111" s="27"/>
      <c r="L111" s="28"/>
      <c r="M111" s="28"/>
      <c r="N111" s="28"/>
      <c r="O111" s="28"/>
      <c r="P111" s="28"/>
      <c r="Q111" s="28">
        <v>3</v>
      </c>
      <c r="R111" s="28">
        <v>4</v>
      </c>
      <c r="S111" s="28">
        <v>3</v>
      </c>
      <c r="T111" s="28">
        <v>4</v>
      </c>
      <c r="U111" s="28">
        <v>1</v>
      </c>
      <c r="V111" s="34"/>
    </row>
    <row r="112" spans="2:25">
      <c r="B112" s="17" t="str">
        <f>IFERROR(VLOOKUP(C112,[8]Sheet2!$C$3:$F$1223,2,0),"")</f>
        <v>Daejeon</v>
      </c>
      <c r="C112" s="3">
        <v>33536</v>
      </c>
      <c r="D112" s="18" t="str">
        <f>IFERROR(VLOOKUP(C112,[8]Sheet2!$C$1:$F$1223,3,0),"")</f>
        <v>양찬모</v>
      </c>
      <c r="E112" s="18" t="str">
        <f>IFERROR(VLOOKUP(C112,[8]Sheet2!$C$1:$F$1223,4,0),"")</f>
        <v>한밭상사(주)</v>
      </c>
      <c r="F112" s="2" t="s">
        <v>3119</v>
      </c>
      <c r="G112" s="3" t="s">
        <v>3217</v>
      </c>
      <c r="H112" s="4" t="s">
        <v>3167</v>
      </c>
      <c r="I112" s="4" t="s">
        <v>132</v>
      </c>
      <c r="J112" s="23" t="s">
        <v>3335</v>
      </c>
      <c r="K112" s="27"/>
      <c r="L112" s="28"/>
      <c r="M112" s="28"/>
      <c r="N112" s="28"/>
      <c r="O112" s="28"/>
      <c r="P112" s="28"/>
      <c r="Q112" s="28"/>
      <c r="R112" s="28">
        <v>3</v>
      </c>
      <c r="S112" s="28">
        <v>3</v>
      </c>
      <c r="T112" s="28">
        <v>8</v>
      </c>
      <c r="U112" s="28">
        <v>2</v>
      </c>
      <c r="V112" s="34"/>
      <c r="Y112" s="32">
        <v>1</v>
      </c>
    </row>
    <row r="113" spans="2:25">
      <c r="B113" s="17" t="str">
        <f>IFERROR(VLOOKUP(C113,[8]Sheet2!$C$3:$F$1223,2,0),"")</f>
        <v>Daejeon</v>
      </c>
      <c r="C113" s="3">
        <v>33529</v>
      </c>
      <c r="D113" s="18" t="str">
        <f>IFERROR(VLOOKUP(C113,[8]Sheet2!$C$1:$F$1223,3,0),"")</f>
        <v>양찬모</v>
      </c>
      <c r="E113" s="18" t="str">
        <f>IFERROR(VLOOKUP(C113,[8]Sheet2!$C$1:$F$1223,4,0),"")</f>
        <v>대전합동상사(주)</v>
      </c>
      <c r="F113" s="2" t="s">
        <v>3120</v>
      </c>
      <c r="G113" s="3" t="s">
        <v>3218</v>
      </c>
      <c r="H113" s="4" t="s">
        <v>3167</v>
      </c>
      <c r="I113" s="4" t="s">
        <v>878</v>
      </c>
      <c r="J113" s="23" t="s">
        <v>3336</v>
      </c>
      <c r="K113" s="27"/>
      <c r="L113" s="28"/>
      <c r="M113" s="28"/>
      <c r="N113" s="28"/>
      <c r="O113" s="28"/>
      <c r="P113" s="28"/>
      <c r="Q113" s="28"/>
      <c r="R113" s="28">
        <v>10</v>
      </c>
      <c r="S113" s="28"/>
      <c r="T113" s="28">
        <v>1</v>
      </c>
      <c r="U113" s="28">
        <v>1</v>
      </c>
      <c r="V113" s="34"/>
      <c r="Y113" s="32">
        <v>1</v>
      </c>
    </row>
    <row r="114" spans="2:25">
      <c r="B114" s="17" t="str">
        <f>IFERROR(VLOOKUP(C114,[8]Sheet2!$C$3:$F$1223,2,0),"")</f>
        <v>Daejeon</v>
      </c>
      <c r="C114" s="3">
        <v>33552</v>
      </c>
      <c r="D114" s="18" t="str">
        <f>IFERROR(VLOOKUP(C114,[8]Sheet2!$C$1:$F$1223,3,0),"")</f>
        <v>양찬모</v>
      </c>
      <c r="E114" s="18" t="str">
        <f>IFERROR(VLOOKUP(C114,[8]Sheet2!$C$1:$F$1223,4,0),"")</f>
        <v>청남주류(자)</v>
      </c>
      <c r="F114" s="2" t="s">
        <v>3121</v>
      </c>
      <c r="G114" s="3" t="s">
        <v>3218</v>
      </c>
      <c r="H114" s="4" t="s">
        <v>902</v>
      </c>
      <c r="I114" s="4" t="s">
        <v>3225</v>
      </c>
      <c r="J114" s="23" t="s">
        <v>3337</v>
      </c>
      <c r="K114" s="27"/>
      <c r="L114" s="28"/>
      <c r="M114" s="28"/>
      <c r="N114" s="28"/>
      <c r="O114" s="28"/>
      <c r="P114" s="28"/>
      <c r="Q114" s="28"/>
      <c r="R114" s="28">
        <v>1</v>
      </c>
      <c r="S114" s="28"/>
      <c r="T114" s="28"/>
      <c r="U114" s="28"/>
      <c r="V114" s="34"/>
    </row>
    <row r="115" spans="2:25">
      <c r="B115" s="17" t="str">
        <f>IFERROR(VLOOKUP(C115,[8]Sheet2!$C$3:$F$1223,2,0),"")</f>
        <v>Daejeon</v>
      </c>
      <c r="C115" s="3">
        <v>33520</v>
      </c>
      <c r="D115" s="18" t="str">
        <f>IFERROR(VLOOKUP(C115,[8]Sheet2!$C$1:$F$1223,3,0),"")</f>
        <v>양찬모</v>
      </c>
      <c r="E115" s="18" t="str">
        <f>IFERROR(VLOOKUP(C115,[8]Sheet2!$C$1:$F$1223,4,0),"")</f>
        <v>아성주류상사㈜</v>
      </c>
      <c r="F115" s="2" t="s">
        <v>3122</v>
      </c>
      <c r="G115" s="3" t="s">
        <v>3218</v>
      </c>
      <c r="H115" s="4" t="s">
        <v>3167</v>
      </c>
      <c r="I115" s="4" t="s">
        <v>3191</v>
      </c>
      <c r="J115" s="23" t="s">
        <v>3338</v>
      </c>
      <c r="K115" s="27"/>
      <c r="L115" s="28"/>
      <c r="M115" s="28"/>
      <c r="N115" s="28"/>
      <c r="O115" s="28"/>
      <c r="P115" s="28"/>
      <c r="Q115" s="28"/>
      <c r="R115" s="28">
        <v>1</v>
      </c>
      <c r="S115" s="28">
        <v>2</v>
      </c>
      <c r="T115" s="28">
        <v>1</v>
      </c>
      <c r="U115" s="28">
        <v>1</v>
      </c>
      <c r="V115" s="34"/>
    </row>
    <row r="116" spans="2:25">
      <c r="B116" s="17" t="str">
        <f>IFERROR(VLOOKUP(C116,[8]Sheet2!$C$3:$F$1223,2,0),"")</f>
        <v>Daejeon</v>
      </c>
      <c r="C116" s="3">
        <v>33520</v>
      </c>
      <c r="D116" s="18" t="str">
        <f>IFERROR(VLOOKUP(C116,[8]Sheet2!$C$1:$F$1223,3,0),"")</f>
        <v>양찬모</v>
      </c>
      <c r="E116" s="18" t="str">
        <f>IFERROR(VLOOKUP(C116,[8]Sheet2!$C$1:$F$1223,4,0),"")</f>
        <v>아성주류상사㈜</v>
      </c>
      <c r="F116" s="2" t="s">
        <v>3123</v>
      </c>
      <c r="G116" s="3" t="s">
        <v>3218</v>
      </c>
      <c r="H116" s="4" t="s">
        <v>3167</v>
      </c>
      <c r="I116" s="4" t="s">
        <v>878</v>
      </c>
      <c r="J116" s="23" t="s">
        <v>3168</v>
      </c>
      <c r="K116" s="27"/>
      <c r="L116" s="28"/>
      <c r="M116" s="28"/>
      <c r="N116" s="28"/>
      <c r="O116" s="28"/>
      <c r="P116" s="28"/>
      <c r="Q116" s="28"/>
      <c r="R116" s="28">
        <v>1</v>
      </c>
      <c r="S116" s="28"/>
      <c r="T116" s="28">
        <v>1</v>
      </c>
      <c r="U116" s="28"/>
      <c r="V116" s="34"/>
    </row>
    <row r="117" spans="2:25">
      <c r="B117" s="17" t="str">
        <f>IFERROR(VLOOKUP(C117,[8]Sheet2!$C$3:$F$1223,2,0),"")</f>
        <v>Daejeon</v>
      </c>
      <c r="C117" s="3">
        <v>33526</v>
      </c>
      <c r="D117" s="18" t="str">
        <f>IFERROR(VLOOKUP(C117,[8]Sheet2!$C$1:$F$1223,3,0),"")</f>
        <v>양찬모</v>
      </c>
      <c r="E117" s="18" t="str">
        <f>IFERROR(VLOOKUP(C117,[8]Sheet2!$C$1:$F$1223,4,0),"")</f>
        <v>충청주류상사(주)</v>
      </c>
      <c r="F117" s="2" t="s">
        <v>3124</v>
      </c>
      <c r="G117" s="3" t="s">
        <v>3217</v>
      </c>
      <c r="H117" s="4" t="s">
        <v>3167</v>
      </c>
      <c r="I117" s="4" t="s">
        <v>3169</v>
      </c>
      <c r="J117" s="23" t="s">
        <v>3170</v>
      </c>
      <c r="K117" s="27"/>
      <c r="L117" s="28"/>
      <c r="M117" s="28"/>
      <c r="N117" s="28"/>
      <c r="O117" s="28"/>
      <c r="P117" s="28"/>
      <c r="Q117" s="28"/>
      <c r="R117" s="28">
        <v>1</v>
      </c>
      <c r="S117" s="28"/>
      <c r="T117" s="28">
        <v>3</v>
      </c>
      <c r="U117" s="28"/>
      <c r="V117" s="34"/>
      <c r="X117" s="31">
        <v>4</v>
      </c>
      <c r="Y117" s="32">
        <v>3</v>
      </c>
    </row>
    <row r="118" spans="2:25">
      <c r="B118" s="17" t="str">
        <f>IFERROR(VLOOKUP(C118,[8]Sheet2!$C$3:$F$1223,2,0),"")</f>
        <v>Daejeon</v>
      </c>
      <c r="C118" s="3">
        <v>33526</v>
      </c>
      <c r="D118" s="18" t="str">
        <f>IFERROR(VLOOKUP(C118,[8]Sheet2!$C$1:$F$1223,3,0),"")</f>
        <v>양찬모</v>
      </c>
      <c r="E118" s="18" t="str">
        <f>IFERROR(VLOOKUP(C118,[8]Sheet2!$C$1:$F$1223,4,0),"")</f>
        <v>충청주류상사(주)</v>
      </c>
      <c r="F118" s="2" t="s">
        <v>3125</v>
      </c>
      <c r="G118" s="3" t="s">
        <v>3218</v>
      </c>
      <c r="H118" s="4" t="s">
        <v>3167</v>
      </c>
      <c r="I118" s="4" t="s">
        <v>119</v>
      </c>
      <c r="J118" s="23" t="s">
        <v>3171</v>
      </c>
      <c r="K118" s="27"/>
      <c r="L118" s="28"/>
      <c r="M118" s="28"/>
      <c r="N118" s="28"/>
      <c r="O118" s="28"/>
      <c r="P118" s="28"/>
      <c r="Q118" s="28"/>
      <c r="R118" s="28">
        <v>5</v>
      </c>
      <c r="S118" s="28">
        <v>1</v>
      </c>
      <c r="T118" s="28">
        <v>1</v>
      </c>
      <c r="U118" s="28">
        <v>2</v>
      </c>
      <c r="V118" s="34"/>
    </row>
    <row r="119" spans="2:25">
      <c r="B119" s="17" t="str">
        <f>IFERROR(VLOOKUP(C119,[8]Sheet2!$C$3:$F$1223,2,0),"")</f>
        <v>Daejeon</v>
      </c>
      <c r="C119" s="3">
        <v>33535</v>
      </c>
      <c r="D119" s="18" t="str">
        <f>IFERROR(VLOOKUP(C119,[8]Sheet2!$C$1:$F$1223,3,0),"")</f>
        <v>양찬모</v>
      </c>
      <c r="E119" s="18" t="str">
        <f>IFERROR(VLOOKUP(C119,[8]Sheet2!$C$1:$F$1223,4,0),"")</f>
        <v>대덕상사(주)</v>
      </c>
      <c r="F119" s="2" t="s">
        <v>3126</v>
      </c>
      <c r="G119" s="3" t="s">
        <v>3217</v>
      </c>
      <c r="H119" s="4" t="s">
        <v>3167</v>
      </c>
      <c r="I119" s="4" t="s">
        <v>3169</v>
      </c>
      <c r="J119" s="23" t="s">
        <v>3172</v>
      </c>
      <c r="K119" s="27"/>
      <c r="L119" s="28"/>
      <c r="M119" s="28"/>
      <c r="N119" s="28"/>
      <c r="O119" s="28"/>
      <c r="P119" s="28"/>
      <c r="Q119" s="28"/>
      <c r="R119" s="28">
        <v>10</v>
      </c>
      <c r="S119" s="28"/>
      <c r="T119" s="28"/>
      <c r="U119" s="28"/>
      <c r="V119" s="34"/>
    </row>
    <row r="120" spans="2:25">
      <c r="B120" s="17" t="str">
        <f>IFERROR(VLOOKUP(C120,[8]Sheet2!$C$3:$F$1223,2,0),"")</f>
        <v>Daejeon</v>
      </c>
      <c r="C120" s="3">
        <v>33536</v>
      </c>
      <c r="D120" s="18" t="str">
        <f>IFERROR(VLOOKUP(C120,[8]Sheet2!$C$1:$F$1223,3,0),"")</f>
        <v>양찬모</v>
      </c>
      <c r="E120" s="18" t="str">
        <f>IFERROR(VLOOKUP(C120,[8]Sheet2!$C$1:$F$1223,4,0),"")</f>
        <v>한밭상사(주)</v>
      </c>
      <c r="F120" s="2" t="s">
        <v>3127</v>
      </c>
      <c r="G120" s="3" t="s">
        <v>3218</v>
      </c>
      <c r="H120" s="4" t="s">
        <v>3167</v>
      </c>
      <c r="I120" s="4" t="s">
        <v>119</v>
      </c>
      <c r="J120" s="23" t="s">
        <v>3173</v>
      </c>
      <c r="K120" s="27"/>
      <c r="L120" s="28"/>
      <c r="M120" s="28"/>
      <c r="N120" s="28"/>
      <c r="O120" s="28"/>
      <c r="P120" s="28"/>
      <c r="Q120" s="28"/>
      <c r="R120" s="28">
        <v>1</v>
      </c>
      <c r="S120" s="28"/>
      <c r="T120" s="28"/>
      <c r="U120" s="28"/>
      <c r="V120" s="34"/>
    </row>
    <row r="121" spans="2:25">
      <c r="B121" s="17" t="str">
        <f>IFERROR(VLOOKUP(C121,[8]Sheet2!$C$3:$F$1223,2,0),"")</f>
        <v>Daejeon</v>
      </c>
      <c r="C121" s="3">
        <v>33486</v>
      </c>
      <c r="D121" s="18" t="str">
        <f>IFERROR(VLOOKUP(C121,[8]Sheet2!$C$1:$F$1223,3,0),"")</f>
        <v>양찬모</v>
      </c>
      <c r="E121" s="18" t="str">
        <f>IFERROR(VLOOKUP(C121,[8]Sheet2!$C$1:$F$1223,4,0),"")</f>
        <v>유일상사(주)</v>
      </c>
      <c r="F121" s="2" t="s">
        <v>3128</v>
      </c>
      <c r="G121" s="3" t="s">
        <v>3217</v>
      </c>
      <c r="H121" s="4" t="s">
        <v>651</v>
      </c>
      <c r="I121" s="4" t="s">
        <v>1146</v>
      </c>
      <c r="J121" s="23" t="s">
        <v>3174</v>
      </c>
      <c r="K121" s="27"/>
      <c r="L121" s="28"/>
      <c r="M121" s="28"/>
      <c r="N121" s="28"/>
      <c r="O121" s="28"/>
      <c r="P121" s="28"/>
      <c r="Q121" s="28">
        <v>5</v>
      </c>
      <c r="R121" s="28"/>
      <c r="S121" s="28">
        <v>5</v>
      </c>
      <c r="T121" s="28"/>
      <c r="U121" s="28"/>
      <c r="V121" s="34"/>
    </row>
    <row r="122" spans="2:25">
      <c r="B122" s="17" t="str">
        <f>IFERROR(VLOOKUP(C122,[8]Sheet2!$C$3:$F$1223,2,0),"")</f>
        <v>Daejeon</v>
      </c>
      <c r="C122" s="3">
        <v>33526</v>
      </c>
      <c r="D122" s="18" t="str">
        <f>IFERROR(VLOOKUP(C122,[8]Sheet2!$C$1:$F$1223,3,0),"")</f>
        <v>양찬모</v>
      </c>
      <c r="E122" s="18" t="str">
        <f>IFERROR(VLOOKUP(C122,[8]Sheet2!$C$1:$F$1223,4,0),"")</f>
        <v>충청주류상사(주)</v>
      </c>
      <c r="F122" s="2" t="s">
        <v>3129</v>
      </c>
      <c r="G122" s="3" t="s">
        <v>3217</v>
      </c>
      <c r="H122" s="4" t="s">
        <v>3167</v>
      </c>
      <c r="I122" s="4" t="s">
        <v>3169</v>
      </c>
      <c r="J122" s="23" t="s">
        <v>3175</v>
      </c>
      <c r="K122" s="27"/>
      <c r="L122" s="28"/>
      <c r="M122" s="28"/>
      <c r="N122" s="28"/>
      <c r="O122" s="28"/>
      <c r="P122" s="28"/>
      <c r="Q122" s="28">
        <v>2</v>
      </c>
      <c r="R122" s="28"/>
      <c r="S122" s="28"/>
      <c r="T122" s="28"/>
      <c r="U122" s="28"/>
      <c r="V122" s="34"/>
    </row>
    <row r="123" spans="2:25">
      <c r="B123" s="17" t="str">
        <f>IFERROR(VLOOKUP(C123,[8]Sheet2!$C$3:$F$1223,2,0),"")</f>
        <v>Daejeon</v>
      </c>
      <c r="C123" s="3">
        <v>33510</v>
      </c>
      <c r="D123" s="18" t="str">
        <f>IFERROR(VLOOKUP(C123,[8]Sheet2!$C$1:$F$1223,3,0),"")</f>
        <v>양찬모</v>
      </c>
      <c r="E123" s="18" t="str">
        <f>IFERROR(VLOOKUP(C123,[8]Sheet2!$C$1:$F$1223,4,0),"")</f>
        <v>청마주류(주)</v>
      </c>
      <c r="F123" s="2" t="s">
        <v>3130</v>
      </c>
      <c r="G123" s="3" t="s">
        <v>3217</v>
      </c>
      <c r="H123" s="4" t="s">
        <v>651</v>
      </c>
      <c r="I123" s="4" t="s">
        <v>516</v>
      </c>
      <c r="J123" s="23" t="s">
        <v>3176</v>
      </c>
      <c r="K123" s="27"/>
      <c r="L123" s="28"/>
      <c r="M123" s="28"/>
      <c r="N123" s="28"/>
      <c r="O123" s="28"/>
      <c r="P123" s="28"/>
      <c r="Q123" s="28">
        <v>2</v>
      </c>
      <c r="R123" s="28">
        <v>1</v>
      </c>
      <c r="S123" s="28"/>
      <c r="T123" s="28">
        <v>1</v>
      </c>
      <c r="U123" s="28">
        <v>3</v>
      </c>
      <c r="V123" s="34"/>
      <c r="X123" s="31">
        <v>2</v>
      </c>
      <c r="Y123" s="32">
        <v>2</v>
      </c>
    </row>
    <row r="124" spans="2:25">
      <c r="B124" s="17" t="str">
        <f>IFERROR(VLOOKUP(C124,[8]Sheet2!$C$3:$F$1223,2,0),"")</f>
        <v>Daejeon</v>
      </c>
      <c r="C124" s="3">
        <v>33486</v>
      </c>
      <c r="D124" s="18" t="str">
        <f>IFERROR(VLOOKUP(C124,[8]Sheet2!$C$1:$F$1223,3,0),"")</f>
        <v>양찬모</v>
      </c>
      <c r="E124" s="18" t="str">
        <f>IFERROR(VLOOKUP(C124,[8]Sheet2!$C$1:$F$1223,4,0),"")</f>
        <v>유일상사(주)</v>
      </c>
      <c r="F124" s="2" t="s">
        <v>3131</v>
      </c>
      <c r="G124" s="3" t="s">
        <v>3217</v>
      </c>
      <c r="H124" s="4" t="s">
        <v>651</v>
      </c>
      <c r="I124" s="4" t="s">
        <v>1146</v>
      </c>
      <c r="J124" s="23" t="s">
        <v>3177</v>
      </c>
      <c r="K124" s="27"/>
      <c r="L124" s="28"/>
      <c r="M124" s="28"/>
      <c r="N124" s="28"/>
      <c r="O124" s="28"/>
      <c r="P124" s="28"/>
      <c r="Q124" s="28">
        <v>3</v>
      </c>
      <c r="R124" s="28">
        <v>1</v>
      </c>
      <c r="S124" s="28"/>
      <c r="T124" s="28"/>
      <c r="U124" s="28">
        <v>3</v>
      </c>
      <c r="V124" s="34"/>
      <c r="X124" s="31">
        <v>2</v>
      </c>
      <c r="Y124" s="32">
        <v>2</v>
      </c>
    </row>
    <row r="125" spans="2:25">
      <c r="B125" s="17" t="str">
        <f>IFERROR(VLOOKUP(C125,[8]Sheet2!$C$3:$F$1223,2,0),"")</f>
        <v>Daejeon</v>
      </c>
      <c r="C125" s="3">
        <v>35112</v>
      </c>
      <c r="D125" s="18" t="str">
        <f>IFERROR(VLOOKUP(C125,[8]Sheet2!$C$1:$F$1223,3,0),"")</f>
        <v>양찬모</v>
      </c>
      <c r="E125" s="18" t="str">
        <f>IFERROR(VLOOKUP(C125,[8]Sheet2!$C$1:$F$1223,4,0),"")</f>
        <v>보은주류합동(자)</v>
      </c>
      <c r="F125" s="2" t="s">
        <v>3132</v>
      </c>
      <c r="G125" s="3" t="s">
        <v>3218</v>
      </c>
      <c r="H125" s="4" t="s">
        <v>564</v>
      </c>
      <c r="I125" s="4" t="s">
        <v>902</v>
      </c>
      <c r="J125" s="23" t="s">
        <v>3178</v>
      </c>
      <c r="K125" s="27"/>
      <c r="L125" s="28"/>
      <c r="M125" s="28"/>
      <c r="N125" s="28"/>
      <c r="O125" s="28"/>
      <c r="P125" s="28"/>
      <c r="Q125" s="28"/>
      <c r="R125" s="28">
        <v>1</v>
      </c>
      <c r="S125" s="28"/>
      <c r="T125" s="28"/>
      <c r="U125" s="28"/>
      <c r="V125" s="34"/>
    </row>
    <row r="126" spans="2:25">
      <c r="B126" s="17" t="str">
        <f>IFERROR(VLOOKUP(C126,[8]Sheet2!$C$3:$F$1223,2,0),"")</f>
        <v>Daejeon</v>
      </c>
      <c r="C126" s="3">
        <v>33581</v>
      </c>
      <c r="D126" s="18" t="str">
        <f>IFERROR(VLOOKUP(C126,[8]Sheet2!$C$1:$F$1223,3,0),"")</f>
        <v>양찬모</v>
      </c>
      <c r="E126" s="18" t="str">
        <f>IFERROR(VLOOKUP(C126,[8]Sheet2!$C$1:$F$1223,4,0),"")</f>
        <v>영신주류판매상사(유)</v>
      </c>
      <c r="F126" s="2" t="s">
        <v>3133</v>
      </c>
      <c r="G126" s="3" t="s">
        <v>3217</v>
      </c>
      <c r="H126" s="4" t="s">
        <v>3167</v>
      </c>
      <c r="I126" s="4" t="s">
        <v>3169</v>
      </c>
      <c r="J126" s="23" t="s">
        <v>3179</v>
      </c>
      <c r="K126" s="27"/>
      <c r="L126" s="28"/>
      <c r="M126" s="28"/>
      <c r="N126" s="28"/>
      <c r="O126" s="28"/>
      <c r="P126" s="28"/>
      <c r="Q126" s="28"/>
      <c r="R126" s="28">
        <v>1</v>
      </c>
      <c r="S126" s="28"/>
      <c r="T126" s="28"/>
      <c r="U126" s="28"/>
      <c r="V126" s="34"/>
    </row>
    <row r="127" spans="2:25">
      <c r="B127" s="17" t="str">
        <f>IFERROR(VLOOKUP(C127,[8]Sheet2!$C$3:$F$1223,2,0),"")</f>
        <v>Daejeon</v>
      </c>
      <c r="C127" s="3">
        <v>33579</v>
      </c>
      <c r="D127" s="18" t="str">
        <f>IFERROR(VLOOKUP(C127,[8]Sheet2!$C$1:$F$1223,3,0),"")</f>
        <v>양찬모</v>
      </c>
      <c r="E127" s="18" t="str">
        <f>IFERROR(VLOOKUP(C127,[8]Sheet2!$C$1:$F$1223,4,0),"")</f>
        <v>남부상사(유)</v>
      </c>
      <c r="F127" s="2" t="s">
        <v>3134</v>
      </c>
      <c r="G127" s="3" t="s">
        <v>3218</v>
      </c>
      <c r="H127" s="4" t="s">
        <v>3167</v>
      </c>
      <c r="I127" s="4" t="s">
        <v>878</v>
      </c>
      <c r="J127" s="23" t="s">
        <v>3180</v>
      </c>
      <c r="K127" s="27"/>
      <c r="L127" s="28"/>
      <c r="M127" s="28"/>
      <c r="N127" s="28"/>
      <c r="O127" s="28"/>
      <c r="P127" s="28"/>
      <c r="Q127" s="28"/>
      <c r="R127" s="28">
        <v>2</v>
      </c>
      <c r="S127" s="28"/>
      <c r="T127" s="28"/>
      <c r="U127" s="28"/>
      <c r="V127" s="34"/>
    </row>
    <row r="128" spans="2:25">
      <c r="B128" s="17" t="str">
        <f>IFERROR(VLOOKUP(C128,[8]Sheet2!$C$3:$F$1223,2,0),"")</f>
        <v>Daejeon</v>
      </c>
      <c r="C128" s="3">
        <v>33515</v>
      </c>
      <c r="D128" s="18" t="str">
        <f>IFERROR(VLOOKUP(C128,[8]Sheet2!$C$1:$F$1223,3,0),"")</f>
        <v>양찬모</v>
      </c>
      <c r="E128" s="18" t="str">
        <f>IFERROR(VLOOKUP(C128,[8]Sheet2!$C$1:$F$1223,4,0),"")</f>
        <v>남부주류상사(합)</v>
      </c>
      <c r="F128" s="2" t="s">
        <v>3135</v>
      </c>
      <c r="G128" s="3" t="s">
        <v>3217</v>
      </c>
      <c r="H128" s="4" t="s">
        <v>651</v>
      </c>
      <c r="I128" s="4" t="s">
        <v>914</v>
      </c>
      <c r="J128" s="23" t="s">
        <v>3181</v>
      </c>
      <c r="K128" s="27"/>
      <c r="L128" s="28"/>
      <c r="M128" s="28"/>
      <c r="N128" s="28"/>
      <c r="O128" s="28"/>
      <c r="P128" s="28"/>
      <c r="Q128" s="28"/>
      <c r="R128" s="28"/>
      <c r="S128" s="28">
        <v>2</v>
      </c>
      <c r="T128" s="28"/>
      <c r="U128" s="28"/>
      <c r="V128" s="34"/>
    </row>
    <row r="129" spans="2:25">
      <c r="B129" s="17" t="str">
        <f>IFERROR(VLOOKUP(C129,[8]Sheet2!$C$3:$F$1223,2,0),"")</f>
        <v>Daejeon</v>
      </c>
      <c r="C129" s="3">
        <v>33579</v>
      </c>
      <c r="D129" s="18" t="str">
        <f>IFERROR(VLOOKUP(C129,[8]Sheet2!$C$1:$F$1223,3,0),"")</f>
        <v>양찬모</v>
      </c>
      <c r="E129" s="18" t="str">
        <f>IFERROR(VLOOKUP(C129,[8]Sheet2!$C$1:$F$1223,4,0),"")</f>
        <v>남부상사(유)</v>
      </c>
      <c r="F129" s="2" t="s">
        <v>3136</v>
      </c>
      <c r="G129" s="3" t="s">
        <v>3218</v>
      </c>
      <c r="H129" s="4" t="s">
        <v>564</v>
      </c>
      <c r="I129" s="4" t="s">
        <v>3182</v>
      </c>
      <c r="J129" s="23" t="s">
        <v>3183</v>
      </c>
      <c r="K129" s="27"/>
      <c r="L129" s="28"/>
      <c r="M129" s="28"/>
      <c r="N129" s="28"/>
      <c r="O129" s="28"/>
      <c r="P129" s="28"/>
      <c r="Q129" s="28"/>
      <c r="R129" s="28">
        <v>2</v>
      </c>
      <c r="S129" s="28"/>
      <c r="T129" s="28"/>
      <c r="U129" s="28"/>
      <c r="V129" s="34"/>
    </row>
    <row r="130" spans="2:25">
      <c r="B130" s="17" t="str">
        <f>IFERROR(VLOOKUP(C130,[8]Sheet2!$C$3:$F$1223,2,0),"")</f>
        <v>Daejeon</v>
      </c>
      <c r="C130" s="3">
        <v>83636</v>
      </c>
      <c r="D130" s="18" t="str">
        <f>IFERROR(VLOOKUP(C130,[8]Sheet2!$C$1:$F$1223,3,0),"")</f>
        <v>양찬모</v>
      </c>
      <c r="E130" s="18" t="str">
        <f>IFERROR(VLOOKUP(C130,[8]Sheet2!$C$1:$F$1223,4,0),"")</f>
        <v>(유)세종주류</v>
      </c>
      <c r="F130" s="2" t="s">
        <v>3137</v>
      </c>
      <c r="G130" s="3" t="s">
        <v>3218</v>
      </c>
      <c r="H130" s="4" t="s">
        <v>564</v>
      </c>
      <c r="I130" s="4" t="s">
        <v>902</v>
      </c>
      <c r="J130" s="23" t="s">
        <v>3184</v>
      </c>
      <c r="K130" s="27"/>
      <c r="L130" s="28"/>
      <c r="M130" s="28"/>
      <c r="N130" s="28"/>
      <c r="O130" s="28"/>
      <c r="P130" s="28"/>
      <c r="Q130" s="28"/>
      <c r="R130" s="28">
        <v>1</v>
      </c>
      <c r="S130" s="28">
        <v>2</v>
      </c>
      <c r="T130" s="28"/>
      <c r="U130" s="28"/>
      <c r="V130" s="34"/>
    </row>
    <row r="131" spans="2:25">
      <c r="B131" s="17" t="str">
        <f>IFERROR(VLOOKUP(C131,[8]Sheet2!$C$3:$F$1223,2,0),"")</f>
        <v>Daejeon</v>
      </c>
      <c r="C131" s="3">
        <v>33501</v>
      </c>
      <c r="D131" s="18" t="str">
        <f>IFERROR(VLOOKUP(C131,[8]Sheet2!$C$1:$F$1223,3,0),"")</f>
        <v>양찬모</v>
      </c>
      <c r="E131" s="18" t="str">
        <f>IFERROR(VLOOKUP(C131,[8]Sheet2!$C$1:$F$1223,4,0),"")</f>
        <v>대명주류상사(유)</v>
      </c>
      <c r="F131" s="2" t="s">
        <v>3138</v>
      </c>
      <c r="G131" s="3" t="s">
        <v>3218</v>
      </c>
      <c r="H131" s="4" t="s">
        <v>3185</v>
      </c>
      <c r="I131" s="4"/>
      <c r="J131" s="23" t="s">
        <v>3186</v>
      </c>
      <c r="K131" s="27"/>
      <c r="L131" s="28"/>
      <c r="M131" s="28"/>
      <c r="N131" s="28"/>
      <c r="O131" s="28"/>
      <c r="P131" s="28"/>
      <c r="Q131" s="28"/>
      <c r="R131" s="28"/>
      <c r="S131" s="28">
        <v>5</v>
      </c>
      <c r="T131" s="28"/>
      <c r="U131" s="28"/>
      <c r="V131" s="34"/>
    </row>
    <row r="132" spans="2:25">
      <c r="B132" s="17" t="str">
        <f>IFERROR(VLOOKUP(C132,[8]Sheet2!$C$3:$F$1223,2,0),"")</f>
        <v>Daejeon</v>
      </c>
      <c r="C132" s="3">
        <v>33524</v>
      </c>
      <c r="D132" s="18" t="str">
        <f>IFERROR(VLOOKUP(C132,[8]Sheet2!$C$1:$F$1223,3,0),"")</f>
        <v>양찬모</v>
      </c>
      <c r="E132" s="18" t="str">
        <f>IFERROR(VLOOKUP(C132,[8]Sheet2!$C$1:$F$1223,4,0),"")</f>
        <v>대광상사(유)</v>
      </c>
      <c r="F132" s="2" t="s">
        <v>3139</v>
      </c>
      <c r="G132" s="3" t="s">
        <v>3217</v>
      </c>
      <c r="H132" s="4" t="s">
        <v>3167</v>
      </c>
      <c r="I132" s="4" t="s">
        <v>3169</v>
      </c>
      <c r="J132" s="23" t="s">
        <v>3187</v>
      </c>
      <c r="K132" s="27"/>
      <c r="L132" s="28"/>
      <c r="M132" s="28"/>
      <c r="N132" s="28"/>
      <c r="O132" s="28"/>
      <c r="P132" s="28"/>
      <c r="Q132" s="28"/>
      <c r="R132" s="28"/>
      <c r="S132" s="28">
        <v>2</v>
      </c>
      <c r="T132" s="28">
        <v>2</v>
      </c>
      <c r="U132" s="28">
        <v>6</v>
      </c>
      <c r="V132" s="34"/>
    </row>
    <row r="133" spans="2:25">
      <c r="B133" s="17" t="str">
        <f>IFERROR(VLOOKUP(C133,[8]Sheet2!$C$3:$F$1223,2,0),"")</f>
        <v>Daejeon</v>
      </c>
      <c r="C133" s="3">
        <v>33566</v>
      </c>
      <c r="D133" s="18" t="str">
        <f>IFERROR(VLOOKUP(C133,[8]Sheet2!$C$1:$F$1223,3,0),"")</f>
        <v>양찬모</v>
      </c>
      <c r="E133" s="18" t="str">
        <f>IFERROR(VLOOKUP(C133,[8]Sheet2!$C$1:$F$1223,4,0),"")</f>
        <v>대성종합주류(유)</v>
      </c>
      <c r="F133" s="2" t="s">
        <v>3140</v>
      </c>
      <c r="G133" s="3" t="s">
        <v>3218</v>
      </c>
      <c r="H133" s="4"/>
      <c r="I133" s="4"/>
      <c r="J133" s="23"/>
      <c r="K133" s="27"/>
      <c r="L133" s="28"/>
      <c r="M133" s="28"/>
      <c r="N133" s="28"/>
      <c r="O133" s="28"/>
      <c r="P133" s="28"/>
      <c r="Q133" s="28"/>
      <c r="R133" s="28"/>
      <c r="S133" s="28">
        <v>1</v>
      </c>
      <c r="T133" s="28"/>
      <c r="U133" s="28"/>
      <c r="V133" s="34"/>
    </row>
    <row r="134" spans="2:25">
      <c r="B134" s="17" t="str">
        <f>IFERROR(VLOOKUP(C134,[8]Sheet2!$C$3:$F$1223,2,0),"")</f>
        <v>Daejeon</v>
      </c>
      <c r="C134" s="3">
        <v>33566</v>
      </c>
      <c r="D134" s="18" t="str">
        <f>IFERROR(VLOOKUP(C134,[8]Sheet2!$C$1:$F$1223,3,0),"")</f>
        <v>양찬모</v>
      </c>
      <c r="E134" s="18" t="str">
        <f>IFERROR(VLOOKUP(C134,[8]Sheet2!$C$1:$F$1223,4,0),"")</f>
        <v>대성종합주류(유)</v>
      </c>
      <c r="F134" s="2" t="s">
        <v>3141</v>
      </c>
      <c r="G134" s="3" t="s">
        <v>3218</v>
      </c>
      <c r="H134" s="4"/>
      <c r="I134" s="4"/>
      <c r="J134" s="23"/>
      <c r="K134" s="27"/>
      <c r="L134" s="28"/>
      <c r="M134" s="28"/>
      <c r="N134" s="28"/>
      <c r="O134" s="28"/>
      <c r="P134" s="28"/>
      <c r="Q134" s="28"/>
      <c r="R134" s="28"/>
      <c r="S134" s="28">
        <v>1</v>
      </c>
      <c r="T134" s="28"/>
      <c r="U134" s="28"/>
      <c r="V134" s="34"/>
    </row>
    <row r="135" spans="2:25">
      <c r="B135" s="17" t="str">
        <f>IFERROR(VLOOKUP(C135,[8]Sheet2!$C$3:$F$1223,2,0),"")</f>
        <v>Daejeon</v>
      </c>
      <c r="C135" s="3">
        <v>33566</v>
      </c>
      <c r="D135" s="18" t="str">
        <f>IFERROR(VLOOKUP(C135,[8]Sheet2!$C$1:$F$1223,3,0),"")</f>
        <v>양찬모</v>
      </c>
      <c r="E135" s="18" t="str">
        <f>IFERROR(VLOOKUP(C135,[8]Sheet2!$C$1:$F$1223,4,0),"")</f>
        <v>대성종합주류(유)</v>
      </c>
      <c r="F135" s="2" t="s">
        <v>3142</v>
      </c>
      <c r="G135" s="3" t="s">
        <v>3218</v>
      </c>
      <c r="H135" s="4"/>
      <c r="I135" s="4"/>
      <c r="J135" s="23"/>
      <c r="K135" s="27"/>
      <c r="L135" s="28"/>
      <c r="M135" s="28"/>
      <c r="N135" s="28"/>
      <c r="O135" s="28"/>
      <c r="P135" s="28"/>
      <c r="Q135" s="28"/>
      <c r="R135" s="28"/>
      <c r="S135" s="28">
        <v>3</v>
      </c>
      <c r="T135" s="28">
        <v>4</v>
      </c>
      <c r="U135" s="28">
        <v>3</v>
      </c>
      <c r="V135" s="34"/>
      <c r="Y135" s="32">
        <v>14</v>
      </c>
    </row>
    <row r="136" spans="2:25">
      <c r="B136" s="17" t="str">
        <f>IFERROR(VLOOKUP(C136,[8]Sheet2!$C$3:$F$1223,2,0),"")</f>
        <v>Daejeon</v>
      </c>
      <c r="C136" s="3">
        <v>33535</v>
      </c>
      <c r="D136" s="18" t="str">
        <f>IFERROR(VLOOKUP(C136,[8]Sheet2!$C$1:$F$1223,3,0),"")</f>
        <v>양찬모</v>
      </c>
      <c r="E136" s="18" t="str">
        <f>IFERROR(VLOOKUP(C136,[8]Sheet2!$C$1:$F$1223,4,0),"")</f>
        <v>대덕상사(주)</v>
      </c>
      <c r="F136" s="2" t="s">
        <v>3126</v>
      </c>
      <c r="G136" s="3" t="s">
        <v>3217</v>
      </c>
      <c r="H136" s="4" t="s">
        <v>3167</v>
      </c>
      <c r="I136" s="4" t="s">
        <v>3169</v>
      </c>
      <c r="J136" s="23" t="s">
        <v>3172</v>
      </c>
      <c r="K136" s="27"/>
      <c r="L136" s="28"/>
      <c r="M136" s="28"/>
      <c r="N136" s="28"/>
      <c r="O136" s="28"/>
      <c r="P136" s="28"/>
      <c r="Q136" s="28"/>
      <c r="R136" s="28">
        <v>10</v>
      </c>
      <c r="S136" s="28">
        <v>10</v>
      </c>
      <c r="T136" s="28"/>
      <c r="U136" s="28"/>
      <c r="V136" s="34"/>
    </row>
    <row r="137" spans="2:25">
      <c r="B137" s="17" t="str">
        <f>IFERROR(VLOOKUP(C137,[8]Sheet2!$C$3:$F$1223,2,0),"")</f>
        <v>Daejeon</v>
      </c>
      <c r="C137" s="3">
        <v>33517</v>
      </c>
      <c r="D137" s="18" t="str">
        <f>IFERROR(VLOOKUP(C137,[8]Sheet2!$C$1:$F$1223,3,0),"")</f>
        <v>양찬모</v>
      </c>
      <c r="E137" s="18" t="str">
        <f>IFERROR(VLOOKUP(C137,[8]Sheet2!$C$1:$F$1223,4,0),"")</f>
        <v>아성주류 주식회사</v>
      </c>
      <c r="F137" s="2" t="s">
        <v>3143</v>
      </c>
      <c r="G137" s="3" t="s">
        <v>3217</v>
      </c>
      <c r="H137" s="4" t="s">
        <v>651</v>
      </c>
      <c r="I137" s="4" t="s">
        <v>1146</v>
      </c>
      <c r="J137" s="23" t="s">
        <v>3188</v>
      </c>
      <c r="K137" s="27"/>
      <c r="L137" s="28"/>
      <c r="M137" s="28"/>
      <c r="N137" s="28"/>
      <c r="O137" s="28"/>
      <c r="P137" s="28"/>
      <c r="Q137" s="28"/>
      <c r="R137" s="28"/>
      <c r="S137" s="28">
        <v>1</v>
      </c>
      <c r="T137" s="28"/>
      <c r="U137" s="28"/>
      <c r="V137" s="34"/>
    </row>
    <row r="138" spans="2:25">
      <c r="B138" s="17" t="str">
        <f>IFERROR(VLOOKUP(C138,[8]Sheet2!$C$3:$F$1223,2,0),"")</f>
        <v>Daejeon</v>
      </c>
      <c r="C138" s="3">
        <v>33572</v>
      </c>
      <c r="D138" s="18" t="str">
        <f>IFERROR(VLOOKUP(C138,[8]Sheet2!$C$1:$F$1223,3,0),"")</f>
        <v>양찬모</v>
      </c>
      <c r="E138" s="18" t="str">
        <f>IFERROR(VLOOKUP(C138,[8]Sheet2!$C$1:$F$1223,4,0),"")</f>
        <v>서원주류상사(유)</v>
      </c>
      <c r="F138" s="2" t="s">
        <v>3144</v>
      </c>
      <c r="G138" s="3" t="s">
        <v>3218</v>
      </c>
      <c r="H138" s="4" t="s">
        <v>564</v>
      </c>
      <c r="I138" s="4" t="s">
        <v>902</v>
      </c>
      <c r="J138" s="23" t="s">
        <v>3189</v>
      </c>
      <c r="K138" s="27"/>
      <c r="L138" s="28"/>
      <c r="M138" s="28"/>
      <c r="N138" s="28"/>
      <c r="O138" s="28"/>
      <c r="P138" s="28"/>
      <c r="Q138" s="28"/>
      <c r="R138" s="28"/>
      <c r="S138" s="28">
        <v>5</v>
      </c>
      <c r="T138" s="28"/>
      <c r="U138" s="28"/>
      <c r="V138" s="34"/>
      <c r="X138" s="31">
        <v>1</v>
      </c>
    </row>
    <row r="139" spans="2:25">
      <c r="B139" s="17" t="str">
        <f>IFERROR(VLOOKUP(C139,[8]Sheet2!$C$3:$F$1223,2,0),"")</f>
        <v>Daejeon</v>
      </c>
      <c r="C139" s="3">
        <v>33526</v>
      </c>
      <c r="D139" s="18" t="str">
        <f>IFERROR(VLOOKUP(C139,[8]Sheet2!$C$1:$F$1223,3,0),"")</f>
        <v>양찬모</v>
      </c>
      <c r="E139" s="18" t="str">
        <f>IFERROR(VLOOKUP(C139,[8]Sheet2!$C$1:$F$1223,4,0),"")</f>
        <v>충청주류상사(주)</v>
      </c>
      <c r="F139" s="2" t="s">
        <v>3145</v>
      </c>
      <c r="G139" s="3" t="s">
        <v>3218</v>
      </c>
      <c r="H139" s="4" t="s">
        <v>564</v>
      </c>
      <c r="I139" s="4" t="s">
        <v>902</v>
      </c>
      <c r="J139" s="23" t="s">
        <v>3190</v>
      </c>
      <c r="K139" s="27"/>
      <c r="L139" s="28"/>
      <c r="M139" s="28"/>
      <c r="N139" s="28"/>
      <c r="O139" s="28"/>
      <c r="P139" s="28"/>
      <c r="Q139" s="28"/>
      <c r="R139" s="28"/>
      <c r="S139" s="28">
        <v>1</v>
      </c>
      <c r="T139" s="28"/>
      <c r="U139" s="28"/>
      <c r="V139" s="34"/>
    </row>
    <row r="140" spans="2:25">
      <c r="B140" s="17" t="str">
        <f>IFERROR(VLOOKUP(C140,[8]Sheet2!$C$3:$F$1223,2,0),"")</f>
        <v>Daejeon</v>
      </c>
      <c r="C140" s="3">
        <v>33581</v>
      </c>
      <c r="D140" s="18" t="str">
        <f>IFERROR(VLOOKUP(C140,[8]Sheet2!$C$1:$F$1223,3,0),"")</f>
        <v>양찬모</v>
      </c>
      <c r="E140" s="18" t="str">
        <f>IFERROR(VLOOKUP(C140,[8]Sheet2!$C$1:$F$1223,4,0),"")</f>
        <v>영신주류판매상사(유)</v>
      </c>
      <c r="F140" s="2" t="s">
        <v>3146</v>
      </c>
      <c r="G140" s="3" t="s">
        <v>3218</v>
      </c>
      <c r="H140" s="4" t="s">
        <v>3167</v>
      </c>
      <c r="I140" s="4" t="s">
        <v>3191</v>
      </c>
      <c r="J140" s="23" t="s">
        <v>3192</v>
      </c>
      <c r="K140" s="27"/>
      <c r="L140" s="28"/>
      <c r="M140" s="28"/>
      <c r="N140" s="28"/>
      <c r="O140" s="28"/>
      <c r="P140" s="28"/>
      <c r="Q140" s="28"/>
      <c r="R140" s="28"/>
      <c r="S140" s="28">
        <v>1</v>
      </c>
      <c r="T140" s="28"/>
      <c r="U140" s="28"/>
      <c r="V140" s="34"/>
    </row>
    <row r="141" spans="2:25">
      <c r="B141" s="17" t="str">
        <f>IFERROR(VLOOKUP(C141,[8]Sheet2!$C$3:$F$1223,2,0),"")</f>
        <v>Daejeon</v>
      </c>
      <c r="C141" s="3">
        <v>33531</v>
      </c>
      <c r="D141" s="18" t="str">
        <f>IFERROR(VLOOKUP(C141,[8]Sheet2!$C$1:$F$1223,3,0),"")</f>
        <v>양찬모</v>
      </c>
      <c r="E141" s="18" t="str">
        <f>IFERROR(VLOOKUP(C141,[8]Sheet2!$C$1:$F$1223,4,0),"")</f>
        <v>대덕주류(유)서구</v>
      </c>
      <c r="F141" s="2" t="s">
        <v>3147</v>
      </c>
      <c r="G141" s="3" t="s">
        <v>3217</v>
      </c>
      <c r="H141" s="4" t="s">
        <v>3167</v>
      </c>
      <c r="I141" s="4" t="s">
        <v>132</v>
      </c>
      <c r="J141" s="23" t="s">
        <v>3193</v>
      </c>
      <c r="K141" s="27"/>
      <c r="L141" s="28"/>
      <c r="M141" s="28"/>
      <c r="N141" s="28"/>
      <c r="O141" s="28"/>
      <c r="P141" s="28"/>
      <c r="Q141" s="28"/>
      <c r="R141" s="28"/>
      <c r="S141" s="28">
        <v>4</v>
      </c>
      <c r="T141" s="28">
        <v>1</v>
      </c>
      <c r="U141" s="28"/>
      <c r="V141" s="34"/>
      <c r="X141" s="31">
        <v>1</v>
      </c>
      <c r="Y141" s="32">
        <v>3</v>
      </c>
    </row>
    <row r="142" spans="2:25">
      <c r="B142" s="17" t="str">
        <f>IFERROR(VLOOKUP(C142,[8]Sheet2!$C$3:$F$1223,2,0),"")</f>
        <v>Daejeon</v>
      </c>
      <c r="C142" s="3">
        <v>33555</v>
      </c>
      <c r="D142" s="18" t="str">
        <f>IFERROR(VLOOKUP(C142,[8]Sheet2!$C$1:$F$1223,3,0),"")</f>
        <v>양찬모</v>
      </c>
      <c r="E142" s="18" t="str">
        <f>IFERROR(VLOOKUP(C142,[8]Sheet2!$C$1:$F$1223,4,0),"")</f>
        <v>새한물산(주)</v>
      </c>
      <c r="F142" s="2" t="s">
        <v>3148</v>
      </c>
      <c r="G142" s="3" t="s">
        <v>3218</v>
      </c>
      <c r="H142" s="4" t="s">
        <v>564</v>
      </c>
      <c r="I142" s="4" t="s">
        <v>3194</v>
      </c>
      <c r="J142" s="23" t="s">
        <v>3195</v>
      </c>
      <c r="K142" s="27"/>
      <c r="L142" s="28"/>
      <c r="M142" s="28"/>
      <c r="N142" s="28"/>
      <c r="O142" s="28"/>
      <c r="P142" s="28"/>
      <c r="Q142" s="28"/>
      <c r="R142" s="28"/>
      <c r="S142" s="28"/>
      <c r="T142" s="28">
        <v>1</v>
      </c>
      <c r="U142" s="28"/>
      <c r="V142" s="34"/>
    </row>
    <row r="143" spans="2:25">
      <c r="B143" s="17" t="str">
        <f>IFERROR(VLOOKUP(C143,[8]Sheet2!$C$3:$F$1223,2,0),"")</f>
        <v>Daejeon</v>
      </c>
      <c r="C143" s="3">
        <v>33501</v>
      </c>
      <c r="D143" s="18" t="str">
        <f>IFERROR(VLOOKUP(C143,[8]Sheet2!$C$1:$F$1223,3,0),"")</f>
        <v>양찬모</v>
      </c>
      <c r="E143" s="18" t="str">
        <f>IFERROR(VLOOKUP(C143,[8]Sheet2!$C$1:$F$1223,4,0),"")</f>
        <v>대명주류상사(유)</v>
      </c>
      <c r="F143" s="2" t="s">
        <v>3149</v>
      </c>
      <c r="G143" s="3" t="s">
        <v>3218</v>
      </c>
      <c r="H143" s="4" t="s">
        <v>3185</v>
      </c>
      <c r="I143" s="4"/>
      <c r="J143" s="23" t="s">
        <v>3196</v>
      </c>
      <c r="K143" s="27"/>
      <c r="L143" s="28"/>
      <c r="M143" s="28"/>
      <c r="N143" s="28"/>
      <c r="O143" s="28"/>
      <c r="P143" s="28"/>
      <c r="Q143" s="28"/>
      <c r="R143" s="28"/>
      <c r="S143" s="28">
        <v>3</v>
      </c>
      <c r="T143" s="28"/>
      <c r="U143" s="28"/>
      <c r="V143" s="34"/>
    </row>
    <row r="144" spans="2:25">
      <c r="B144" s="17" t="str">
        <f>IFERROR(VLOOKUP(C144,[8]Sheet2!$C$3:$F$1223,2,0),"")</f>
        <v>Daejeon</v>
      </c>
      <c r="C144" s="3">
        <v>33533</v>
      </c>
      <c r="D144" s="18" t="str">
        <f>IFERROR(VLOOKUP(C144,[8]Sheet2!$C$1:$F$1223,3,0),"")</f>
        <v>양찬모</v>
      </c>
      <c r="E144" s="18" t="str">
        <f>IFERROR(VLOOKUP(C144,[8]Sheet2!$C$1:$F$1223,4,0),"")</f>
        <v>장천주류(주)</v>
      </c>
      <c r="F144" s="2" t="s">
        <v>3150</v>
      </c>
      <c r="G144" s="3" t="s">
        <v>3217</v>
      </c>
      <c r="H144" s="4" t="s">
        <v>3167</v>
      </c>
      <c r="I144" s="4" t="s">
        <v>3169</v>
      </c>
      <c r="J144" s="23" t="s">
        <v>3197</v>
      </c>
      <c r="K144" s="27"/>
      <c r="L144" s="28"/>
      <c r="M144" s="28"/>
      <c r="N144" s="28"/>
      <c r="O144" s="28"/>
      <c r="P144" s="28"/>
      <c r="Q144" s="28"/>
      <c r="R144" s="28"/>
      <c r="S144" s="28">
        <v>3</v>
      </c>
      <c r="T144" s="28"/>
      <c r="U144" s="28"/>
      <c r="V144" s="34"/>
    </row>
    <row r="145" spans="2:25">
      <c r="B145" s="17" t="str">
        <f>IFERROR(VLOOKUP(C145,[8]Sheet2!$C$3:$F$1223,2,0),"")</f>
        <v>Daejeon</v>
      </c>
      <c r="C145" s="3">
        <v>33534</v>
      </c>
      <c r="D145" s="18" t="str">
        <f>IFERROR(VLOOKUP(C145,[8]Sheet2!$C$1:$F$1223,3,0),"")</f>
        <v>양찬모</v>
      </c>
      <c r="E145" s="18" t="str">
        <f>IFERROR(VLOOKUP(C145,[8]Sheet2!$C$1:$F$1223,4,0),"")</f>
        <v>현대주류주식회사</v>
      </c>
      <c r="F145" s="2" t="s">
        <v>3151</v>
      </c>
      <c r="G145" s="3" t="s">
        <v>3218</v>
      </c>
      <c r="H145" s="4" t="s">
        <v>3167</v>
      </c>
      <c r="I145" s="4" t="s">
        <v>119</v>
      </c>
      <c r="J145" s="23" t="s">
        <v>3198</v>
      </c>
      <c r="K145" s="27"/>
      <c r="L145" s="28"/>
      <c r="M145" s="28"/>
      <c r="N145" s="28"/>
      <c r="O145" s="28"/>
      <c r="P145" s="28"/>
      <c r="Q145" s="28"/>
      <c r="R145" s="28"/>
      <c r="S145" s="28">
        <v>2</v>
      </c>
      <c r="T145" s="28"/>
      <c r="U145" s="28"/>
      <c r="V145" s="34"/>
    </row>
    <row r="146" spans="2:25">
      <c r="B146" s="17" t="str">
        <f>IFERROR(VLOOKUP(C146,[8]Sheet2!$C$3:$F$1223,2,0),"")</f>
        <v>Daejeon</v>
      </c>
      <c r="C146" s="3">
        <v>33520</v>
      </c>
      <c r="D146" s="18" t="str">
        <f>IFERROR(VLOOKUP(C146,[8]Sheet2!$C$1:$F$1223,3,0),"")</f>
        <v>양찬모</v>
      </c>
      <c r="E146" s="18" t="str">
        <f>IFERROR(VLOOKUP(C146,[8]Sheet2!$C$1:$F$1223,4,0),"")</f>
        <v>아성주류상사㈜</v>
      </c>
      <c r="F146" s="2" t="s">
        <v>3123</v>
      </c>
      <c r="G146" s="3" t="s">
        <v>3218</v>
      </c>
      <c r="H146" s="4"/>
      <c r="I146" s="4"/>
      <c r="J146" s="23"/>
      <c r="K146" s="27"/>
      <c r="L146" s="28"/>
      <c r="M146" s="28"/>
      <c r="N146" s="28"/>
      <c r="O146" s="28"/>
      <c r="P146" s="28"/>
      <c r="Q146" s="28"/>
      <c r="R146" s="28"/>
      <c r="S146" s="28"/>
      <c r="T146" s="28">
        <v>1</v>
      </c>
      <c r="U146" s="28"/>
      <c r="V146" s="34"/>
    </row>
    <row r="147" spans="2:25">
      <c r="B147" s="17" t="str">
        <f>IFERROR(VLOOKUP(C147,[8]Sheet2!$C$3:$F$1223,2,0),"")</f>
        <v>Daejeon</v>
      </c>
      <c r="C147" s="3">
        <v>33549</v>
      </c>
      <c r="D147" s="18" t="str">
        <f>IFERROR(VLOOKUP(C147,[8]Sheet2!$C$1:$F$1223,3,0),"")</f>
        <v>양찬모</v>
      </c>
      <c r="E147" s="18" t="str">
        <f>IFERROR(VLOOKUP(C147,[8]Sheet2!$C$1:$F$1223,4,0),"")</f>
        <v>하나종합주류주식회사</v>
      </c>
      <c r="F147" s="2" t="s">
        <v>3152</v>
      </c>
      <c r="G147" s="3" t="s">
        <v>3218</v>
      </c>
      <c r="H147" s="4" t="s">
        <v>902</v>
      </c>
      <c r="I147" s="4" t="s">
        <v>3199</v>
      </c>
      <c r="J147" s="23" t="s">
        <v>3200</v>
      </c>
      <c r="K147" s="27"/>
      <c r="L147" s="28"/>
      <c r="M147" s="28"/>
      <c r="N147" s="28"/>
      <c r="O147" s="28"/>
      <c r="P147" s="28"/>
      <c r="Q147" s="28"/>
      <c r="R147" s="28"/>
      <c r="S147" s="28">
        <v>1</v>
      </c>
      <c r="T147" s="28">
        <v>1</v>
      </c>
      <c r="U147" s="28"/>
      <c r="V147" s="34"/>
    </row>
    <row r="148" spans="2:25">
      <c r="B148" s="17" t="str">
        <f>IFERROR(VLOOKUP(C148,[8]Sheet2!$C$3:$F$1223,2,0),"")</f>
        <v>Daejeon</v>
      </c>
      <c r="C148" s="3">
        <v>33531</v>
      </c>
      <c r="D148" s="18" t="str">
        <f>IFERROR(VLOOKUP(C148,[8]Sheet2!$C$1:$F$1223,3,0),"")</f>
        <v>양찬모</v>
      </c>
      <c r="E148" s="18" t="str">
        <f>IFERROR(VLOOKUP(C148,[8]Sheet2!$C$1:$F$1223,4,0),"")</f>
        <v>대덕주류(유)서구</v>
      </c>
      <c r="F148" s="2" t="s">
        <v>3153</v>
      </c>
      <c r="G148" s="3" t="s">
        <v>3217</v>
      </c>
      <c r="H148" s="4" t="s">
        <v>3167</v>
      </c>
      <c r="I148" s="4" t="s">
        <v>132</v>
      </c>
      <c r="J148" s="23" t="s">
        <v>3201</v>
      </c>
      <c r="K148" s="27"/>
      <c r="L148" s="28"/>
      <c r="M148" s="28"/>
      <c r="N148" s="28"/>
      <c r="O148" s="28"/>
      <c r="P148" s="28"/>
      <c r="Q148" s="28"/>
      <c r="R148" s="28"/>
      <c r="S148" s="28"/>
      <c r="T148" s="28"/>
      <c r="U148" s="28">
        <v>1</v>
      </c>
      <c r="V148" s="34"/>
      <c r="Y148" s="32">
        <v>1</v>
      </c>
    </row>
    <row r="149" spans="2:25">
      <c r="B149" s="17" t="str">
        <f>IFERROR(VLOOKUP(C149,[8]Sheet2!$C$3:$F$1223,2,0),"")</f>
        <v>Daejeon</v>
      </c>
      <c r="C149" s="3">
        <v>33546</v>
      </c>
      <c r="D149" s="18" t="str">
        <f>IFERROR(VLOOKUP(C149,[8]Sheet2!$C$1:$F$1223,3,0),"")</f>
        <v>양찬모</v>
      </c>
      <c r="E149" s="18" t="str">
        <f>IFERROR(VLOOKUP(C149,[8]Sheet2!$C$1:$F$1223,4,0),"")</f>
        <v>동서주류상사(자)</v>
      </c>
      <c r="F149" s="2" t="s">
        <v>3154</v>
      </c>
      <c r="G149" s="3" t="s">
        <v>3217</v>
      </c>
      <c r="H149" s="4" t="s">
        <v>3167</v>
      </c>
      <c r="I149" s="4" t="s">
        <v>132</v>
      </c>
      <c r="J149" s="23" t="s">
        <v>3202</v>
      </c>
      <c r="K149" s="27"/>
      <c r="L149" s="28"/>
      <c r="M149" s="28"/>
      <c r="N149" s="28"/>
      <c r="O149" s="28"/>
      <c r="P149" s="28"/>
      <c r="Q149" s="28"/>
      <c r="R149" s="28"/>
      <c r="S149" s="28"/>
      <c r="T149" s="28"/>
      <c r="U149" s="28">
        <v>2</v>
      </c>
      <c r="V149" s="34"/>
      <c r="X149" s="31">
        <v>15</v>
      </c>
    </row>
    <row r="150" spans="2:25">
      <c r="B150" s="17" t="str">
        <f>IFERROR(VLOOKUP(C150,[8]Sheet2!$C$3:$F$1223,2,0),"")</f>
        <v>Daejeon</v>
      </c>
      <c r="C150" s="3">
        <v>33521</v>
      </c>
      <c r="D150" s="18" t="str">
        <f>IFERROR(VLOOKUP(C150,[8]Sheet2!$C$1:$F$1223,3,0),"")</f>
        <v>양찬모</v>
      </c>
      <c r="E150" s="18" t="str">
        <f>IFERROR(VLOOKUP(C150,[8]Sheet2!$C$1:$F$1223,4,0),"")</f>
        <v>삼사주류(주)</v>
      </c>
      <c r="F150" s="2" t="s">
        <v>3155</v>
      </c>
      <c r="G150" s="3" t="s">
        <v>3217</v>
      </c>
      <c r="H150" s="4" t="s">
        <v>3167</v>
      </c>
      <c r="I150" s="4" t="s">
        <v>132</v>
      </c>
      <c r="J150" s="23" t="s">
        <v>3203</v>
      </c>
      <c r="K150" s="27"/>
      <c r="L150" s="28"/>
      <c r="M150" s="28"/>
      <c r="N150" s="28"/>
      <c r="O150" s="28"/>
      <c r="P150" s="28"/>
      <c r="Q150" s="28"/>
      <c r="R150" s="28"/>
      <c r="S150" s="28"/>
      <c r="T150" s="28"/>
      <c r="U150" s="28">
        <v>1</v>
      </c>
      <c r="V150" s="34"/>
    </row>
    <row r="151" spans="2:25">
      <c r="B151" s="17" t="str">
        <f>IFERROR(VLOOKUP(C151,[8]Sheet2!$C$3:$F$1223,2,0),"")</f>
        <v>Daejeon</v>
      </c>
      <c r="C151" s="3">
        <v>33536</v>
      </c>
      <c r="D151" s="18" t="str">
        <f>IFERROR(VLOOKUP(C151,[8]Sheet2!$C$1:$F$1223,3,0),"")</f>
        <v>양찬모</v>
      </c>
      <c r="E151" s="18" t="str">
        <f>IFERROR(VLOOKUP(C151,[8]Sheet2!$C$1:$F$1223,4,0),"")</f>
        <v>한밭상사(주)</v>
      </c>
      <c r="F151" s="2" t="s">
        <v>3156</v>
      </c>
      <c r="G151" s="3" t="s">
        <v>3217</v>
      </c>
      <c r="H151" s="4" t="s">
        <v>3167</v>
      </c>
      <c r="I151" s="4" t="s">
        <v>132</v>
      </c>
      <c r="J151" s="23" t="s">
        <v>3204</v>
      </c>
      <c r="K151" s="27"/>
      <c r="L151" s="28"/>
      <c r="M151" s="28"/>
      <c r="N151" s="28"/>
      <c r="O151" s="28"/>
      <c r="P151" s="28"/>
      <c r="Q151" s="28"/>
      <c r="R151" s="28"/>
      <c r="S151" s="28"/>
      <c r="T151" s="28"/>
      <c r="U151" s="28">
        <v>2</v>
      </c>
      <c r="V151" s="34"/>
    </row>
    <row r="152" spans="2:25">
      <c r="B152" s="17" t="str">
        <f>IFERROR(VLOOKUP(C152,[8]Sheet2!$C$3:$F$1223,2,0),"")</f>
        <v>Daejeon</v>
      </c>
      <c r="C152" s="3">
        <v>33547</v>
      </c>
      <c r="D152" s="18" t="str">
        <f>IFERROR(VLOOKUP(C152,[8]Sheet2!$C$1:$F$1223,3,0),"")</f>
        <v>양찬모</v>
      </c>
      <c r="E152" s="18" t="str">
        <f>IFERROR(VLOOKUP(C152,[8]Sheet2!$C$1:$F$1223,4,0),"")</f>
        <v>청호주류합명회사</v>
      </c>
      <c r="F152" s="2" t="s">
        <v>3157</v>
      </c>
      <c r="G152" s="3" t="s">
        <v>3218</v>
      </c>
      <c r="H152" s="4" t="s">
        <v>564</v>
      </c>
      <c r="I152" s="4" t="s">
        <v>3205</v>
      </c>
      <c r="J152" s="23" t="s">
        <v>3206</v>
      </c>
      <c r="K152" s="27"/>
      <c r="L152" s="28"/>
      <c r="M152" s="28"/>
      <c r="N152" s="28"/>
      <c r="O152" s="28"/>
      <c r="P152" s="28"/>
      <c r="Q152" s="28"/>
      <c r="R152" s="28"/>
      <c r="S152" s="28"/>
      <c r="T152" s="28">
        <v>1</v>
      </c>
      <c r="U152" s="28"/>
      <c r="V152" s="34"/>
    </row>
    <row r="153" spans="2:25">
      <c r="B153" s="17" t="str">
        <f>IFERROR(VLOOKUP(C153,[8]Sheet2!$C$3:$F$1223,2,0),"")</f>
        <v>Daejeon</v>
      </c>
      <c r="C153" s="3">
        <v>33547</v>
      </c>
      <c r="D153" s="18" t="str">
        <f>IFERROR(VLOOKUP(C153,[8]Sheet2!$C$1:$F$1223,3,0),"")</f>
        <v>양찬모</v>
      </c>
      <c r="E153" s="18" t="str">
        <f>IFERROR(VLOOKUP(C153,[8]Sheet2!$C$1:$F$1223,4,0),"")</f>
        <v>청호주류합명회사</v>
      </c>
      <c r="F153" s="2" t="s">
        <v>3158</v>
      </c>
      <c r="G153" s="3" t="s">
        <v>3218</v>
      </c>
      <c r="H153" s="4" t="s">
        <v>564</v>
      </c>
      <c r="I153" s="4" t="s">
        <v>3205</v>
      </c>
      <c r="J153" s="23" t="s">
        <v>3207</v>
      </c>
      <c r="K153" s="27"/>
      <c r="L153" s="28"/>
      <c r="M153" s="28"/>
      <c r="N153" s="28"/>
      <c r="O153" s="28"/>
      <c r="P153" s="28"/>
      <c r="Q153" s="28"/>
      <c r="R153" s="28"/>
      <c r="S153" s="28"/>
      <c r="T153" s="28">
        <v>1</v>
      </c>
      <c r="U153" s="28"/>
      <c r="V153" s="34"/>
    </row>
    <row r="154" spans="2:25">
      <c r="B154" s="17" t="str">
        <f>IFERROR(VLOOKUP(C154,[8]Sheet2!$C$3:$F$1223,2,0),"")</f>
        <v>Daejeon</v>
      </c>
      <c r="C154" s="3">
        <v>33547</v>
      </c>
      <c r="D154" s="18" t="str">
        <f>IFERROR(VLOOKUP(C154,[8]Sheet2!$C$1:$F$1223,3,0),"")</f>
        <v>양찬모</v>
      </c>
      <c r="E154" s="18" t="str">
        <f>IFERROR(VLOOKUP(C154,[8]Sheet2!$C$1:$F$1223,4,0),"")</f>
        <v>청호주류합명회사</v>
      </c>
      <c r="F154" s="2" t="s">
        <v>3159</v>
      </c>
      <c r="G154" s="3" t="s">
        <v>3218</v>
      </c>
      <c r="H154" s="4" t="s">
        <v>564</v>
      </c>
      <c r="I154" s="4" t="s">
        <v>3205</v>
      </c>
      <c r="J154" s="23" t="s">
        <v>3208</v>
      </c>
      <c r="K154" s="27"/>
      <c r="L154" s="28"/>
      <c r="M154" s="28"/>
      <c r="N154" s="28"/>
      <c r="O154" s="28"/>
      <c r="P154" s="28"/>
      <c r="Q154" s="28"/>
      <c r="R154" s="28"/>
      <c r="S154" s="28"/>
      <c r="T154" s="28">
        <v>1</v>
      </c>
      <c r="U154" s="28"/>
      <c r="V154" s="34"/>
    </row>
    <row r="155" spans="2:25">
      <c r="B155" s="17" t="str">
        <f>IFERROR(VLOOKUP(C155,[8]Sheet2!$C$3:$F$1223,2,0),"")</f>
        <v>Daejeon</v>
      </c>
      <c r="C155" s="3">
        <v>33547</v>
      </c>
      <c r="D155" s="18" t="str">
        <f>IFERROR(VLOOKUP(C155,[8]Sheet2!$C$1:$F$1223,3,0),"")</f>
        <v>양찬모</v>
      </c>
      <c r="E155" s="18" t="str">
        <f>IFERROR(VLOOKUP(C155,[8]Sheet2!$C$1:$F$1223,4,0),"")</f>
        <v>청호주류합명회사</v>
      </c>
      <c r="F155" s="2" t="s">
        <v>3160</v>
      </c>
      <c r="G155" s="3" t="s">
        <v>3218</v>
      </c>
      <c r="H155" s="4" t="s">
        <v>564</v>
      </c>
      <c r="I155" s="4" t="s">
        <v>3205</v>
      </c>
      <c r="J155" s="23" t="s">
        <v>3209</v>
      </c>
      <c r="K155" s="27"/>
      <c r="L155" s="28"/>
      <c r="M155" s="28"/>
      <c r="N155" s="28"/>
      <c r="O155" s="28"/>
      <c r="P155" s="28"/>
      <c r="Q155" s="28"/>
      <c r="R155" s="28"/>
      <c r="S155" s="28"/>
      <c r="T155" s="28">
        <v>1</v>
      </c>
      <c r="U155" s="28"/>
      <c r="V155" s="34"/>
    </row>
    <row r="156" spans="2:25">
      <c r="B156" s="17" t="str">
        <f>IFERROR(VLOOKUP(C156,[8]Sheet2!$C$3:$F$1223,2,0),"")</f>
        <v>Daejeon</v>
      </c>
      <c r="C156" s="3">
        <v>33547</v>
      </c>
      <c r="D156" s="18" t="str">
        <f>IFERROR(VLOOKUP(C156,[8]Sheet2!$C$1:$F$1223,3,0),"")</f>
        <v>양찬모</v>
      </c>
      <c r="E156" s="18" t="str">
        <f>IFERROR(VLOOKUP(C156,[8]Sheet2!$C$1:$F$1223,4,0),"")</f>
        <v>청호주류합명회사</v>
      </c>
      <c r="F156" s="2" t="s">
        <v>3161</v>
      </c>
      <c r="G156" s="3" t="s">
        <v>3218</v>
      </c>
      <c r="H156" s="4" t="s">
        <v>564</v>
      </c>
      <c r="I156" s="4" t="s">
        <v>3205</v>
      </c>
      <c r="J156" s="23" t="s">
        <v>3210</v>
      </c>
      <c r="K156" s="27"/>
      <c r="L156" s="28"/>
      <c r="M156" s="28"/>
      <c r="N156" s="28"/>
      <c r="O156" s="28"/>
      <c r="P156" s="28"/>
      <c r="Q156" s="28"/>
      <c r="R156" s="28"/>
      <c r="S156" s="28"/>
      <c r="T156" s="28">
        <v>1</v>
      </c>
      <c r="U156" s="28"/>
      <c r="V156" s="34"/>
    </row>
    <row r="157" spans="2:25">
      <c r="B157" s="17" t="str">
        <f>IFERROR(VLOOKUP(C157,[8]Sheet2!$C$3:$F$1223,2,0),"")</f>
        <v>Daejeon</v>
      </c>
      <c r="C157" s="3">
        <v>33547</v>
      </c>
      <c r="D157" s="18" t="str">
        <f>IFERROR(VLOOKUP(C157,[8]Sheet2!$C$1:$F$1223,3,0),"")</f>
        <v>양찬모</v>
      </c>
      <c r="E157" s="18" t="str">
        <f>IFERROR(VLOOKUP(C157,[8]Sheet2!$C$1:$F$1223,4,0),"")</f>
        <v>청호주류합명회사</v>
      </c>
      <c r="F157" s="2" t="s">
        <v>3162</v>
      </c>
      <c r="G157" s="3" t="s">
        <v>3218</v>
      </c>
      <c r="H157" s="4" t="s">
        <v>564</v>
      </c>
      <c r="I157" s="4" t="s">
        <v>3205</v>
      </c>
      <c r="J157" s="23" t="s">
        <v>3211</v>
      </c>
      <c r="K157" s="27"/>
      <c r="L157" s="28"/>
      <c r="M157" s="28"/>
      <c r="N157" s="28"/>
      <c r="O157" s="28"/>
      <c r="P157" s="28"/>
      <c r="Q157" s="28"/>
      <c r="R157" s="28"/>
      <c r="S157" s="28"/>
      <c r="T157" s="28">
        <v>1</v>
      </c>
      <c r="U157" s="28"/>
      <c r="V157" s="34"/>
    </row>
    <row r="158" spans="2:25">
      <c r="B158" s="17" t="str">
        <f>IFERROR(VLOOKUP(C158,[8]Sheet2!$C$3:$F$1223,2,0),"")</f>
        <v>Daejeon</v>
      </c>
      <c r="C158" s="3">
        <v>33526</v>
      </c>
      <c r="D158" s="18" t="str">
        <f>IFERROR(VLOOKUP(C158,[8]Sheet2!$C$1:$F$1223,3,0),"")</f>
        <v>양찬모</v>
      </c>
      <c r="E158" s="18" t="str">
        <f>IFERROR(VLOOKUP(C158,[8]Sheet2!$C$1:$F$1223,4,0),"")</f>
        <v>충청주류상사(주)</v>
      </c>
      <c r="F158" s="2" t="s">
        <v>3163</v>
      </c>
      <c r="G158" s="3" t="s">
        <v>3218</v>
      </c>
      <c r="H158" s="4" t="s">
        <v>3167</v>
      </c>
      <c r="I158" s="4" t="s">
        <v>3191</v>
      </c>
      <c r="J158" s="23" t="s">
        <v>3212</v>
      </c>
      <c r="K158" s="27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34">
        <v>4</v>
      </c>
    </row>
    <row r="159" spans="2:25">
      <c r="B159" s="17" t="str">
        <f>IFERROR(VLOOKUP(C159,[8]Sheet2!$C$3:$F$1223,2,0),"")</f>
        <v>Daejeon</v>
      </c>
      <c r="C159" s="3">
        <v>33486</v>
      </c>
      <c r="D159" s="18" t="str">
        <f>IFERROR(VLOOKUP(C159,[8]Sheet2!$C$1:$F$1223,3,0),"")</f>
        <v>양찬모</v>
      </c>
      <c r="E159" s="18" t="str">
        <f>IFERROR(VLOOKUP(C159,[8]Sheet2!$C$1:$F$1223,4,0),"")</f>
        <v>유일상사(주)</v>
      </c>
      <c r="F159" s="2" t="s">
        <v>3164</v>
      </c>
      <c r="G159" s="3" t="s">
        <v>3217</v>
      </c>
      <c r="H159" s="4" t="s">
        <v>651</v>
      </c>
      <c r="I159" s="4" t="s">
        <v>1146</v>
      </c>
      <c r="J159" s="23" t="s">
        <v>3213</v>
      </c>
      <c r="K159" s="27"/>
      <c r="L159" s="28"/>
      <c r="M159" s="28"/>
      <c r="N159" s="28"/>
      <c r="O159" s="28"/>
      <c r="P159" s="28"/>
      <c r="Q159" s="28"/>
      <c r="R159" s="28"/>
      <c r="S159" s="28"/>
      <c r="T159" s="28"/>
      <c r="U159" s="28">
        <v>1</v>
      </c>
      <c r="V159" s="34"/>
    </row>
    <row r="160" spans="2:25">
      <c r="B160" s="17" t="str">
        <f>IFERROR(VLOOKUP(C160,[8]Sheet2!$C$3:$F$1223,2,0),"")</f>
        <v>Daejeon</v>
      </c>
      <c r="C160" s="3">
        <v>33486</v>
      </c>
      <c r="D160" s="18" t="str">
        <f>IFERROR(VLOOKUP(C160,[8]Sheet2!$C$1:$F$1223,3,0),"")</f>
        <v>양찬모</v>
      </c>
      <c r="E160" s="18" t="str">
        <f>IFERROR(VLOOKUP(C160,[8]Sheet2!$C$1:$F$1223,4,0),"")</f>
        <v>유일상사(주)</v>
      </c>
      <c r="F160" s="2" t="s">
        <v>3165</v>
      </c>
      <c r="G160" s="3" t="s">
        <v>3218</v>
      </c>
      <c r="H160" s="4" t="s">
        <v>564</v>
      </c>
      <c r="I160" s="4" t="s">
        <v>3214</v>
      </c>
      <c r="J160" s="23" t="s">
        <v>3215</v>
      </c>
      <c r="K160" s="27"/>
      <c r="L160" s="28"/>
      <c r="M160" s="28"/>
      <c r="N160" s="28"/>
      <c r="O160" s="28"/>
      <c r="P160" s="28"/>
      <c r="Q160" s="28"/>
      <c r="R160" s="28"/>
      <c r="S160" s="28"/>
      <c r="T160" s="28"/>
      <c r="U160" s="28">
        <v>2</v>
      </c>
      <c r="V160" s="34"/>
    </row>
    <row r="161" spans="2:26">
      <c r="B161" s="17" t="str">
        <f>IFERROR(VLOOKUP(C161,[8]Sheet2!$C$3:$F$1223,2,0),"")</f>
        <v>Daejeon</v>
      </c>
      <c r="C161" s="3">
        <v>33519</v>
      </c>
      <c r="D161" s="18" t="str">
        <f>IFERROR(VLOOKUP(C161,[8]Sheet2!$C$1:$F$1223,3,0),"")</f>
        <v>양찬모</v>
      </c>
      <c r="E161" s="18" t="str">
        <f>IFERROR(VLOOKUP(C161,[8]Sheet2!$C$1:$F$1223,4,0),"")</f>
        <v>계룡주류상사(주)</v>
      </c>
      <c r="F161" s="2" t="s">
        <v>3166</v>
      </c>
      <c r="G161" s="3" t="s">
        <v>3217</v>
      </c>
      <c r="H161" s="4" t="s">
        <v>3167</v>
      </c>
      <c r="I161" s="4" t="s">
        <v>3169</v>
      </c>
      <c r="J161" s="23" t="s">
        <v>3216</v>
      </c>
      <c r="K161" s="27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34">
        <v>2</v>
      </c>
      <c r="Z161" s="32">
        <v>1</v>
      </c>
    </row>
    <row r="162" spans="2:26">
      <c r="B162" s="17" t="str">
        <f>IFERROR(VLOOKUP(C162,[8]Sheet2!$C$3:$F$1223,2,0),"")</f>
        <v>Daejeon</v>
      </c>
      <c r="C162" s="3">
        <v>33510</v>
      </c>
      <c r="D162" s="18" t="str">
        <f>IFERROR(VLOOKUP(C162,[8]Sheet2!$C$1:$F$1223,3,0),"")</f>
        <v>양찬모</v>
      </c>
      <c r="E162" s="18" t="str">
        <f>IFERROR(VLOOKUP(C162,[8]Sheet2!$C$1:$F$1223,4,0),"")</f>
        <v>청마주류(주)</v>
      </c>
      <c r="F162" s="2" t="s">
        <v>3767</v>
      </c>
      <c r="G162" s="3" t="s">
        <v>3217</v>
      </c>
      <c r="H162" s="4" t="s">
        <v>651</v>
      </c>
      <c r="I162" s="4" t="s">
        <v>516</v>
      </c>
      <c r="J162" s="23" t="s">
        <v>3768</v>
      </c>
      <c r="K162" s="27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34"/>
      <c r="Z162" s="32">
        <v>1</v>
      </c>
    </row>
    <row r="163" spans="2:26">
      <c r="B163" s="17" t="str">
        <f>IFERROR(VLOOKUP(C163,[8]Sheet2!$C$3:$F$1223,2,0),"")</f>
        <v>Daejeon</v>
      </c>
      <c r="C163" s="3">
        <v>33529</v>
      </c>
      <c r="D163" s="18" t="str">
        <f>IFERROR(VLOOKUP(C163,[8]Sheet2!$C$1:$F$1223,3,0),"")</f>
        <v>양찬모</v>
      </c>
      <c r="E163" s="18" t="str">
        <f>IFERROR(VLOOKUP(C163,[8]Sheet2!$C$1:$F$1223,4,0),"")</f>
        <v>대전합동상사(주)</v>
      </c>
      <c r="F163" s="2" t="s">
        <v>3769</v>
      </c>
      <c r="G163" s="3" t="s">
        <v>3218</v>
      </c>
      <c r="H163" s="4" t="s">
        <v>3167</v>
      </c>
      <c r="I163" s="4" t="s">
        <v>878</v>
      </c>
      <c r="J163" s="23" t="s">
        <v>3770</v>
      </c>
      <c r="K163" s="27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34"/>
      <c r="Z163" s="32">
        <v>1</v>
      </c>
    </row>
    <row r="164" spans="2:26">
      <c r="B164" s="17" t="str">
        <f>IFERROR(VLOOKUP(C164,[8]Sheet2!$C$3:$F$1223,2,0),"")</f>
        <v>Daejeon</v>
      </c>
      <c r="C164" s="3">
        <v>33504</v>
      </c>
      <c r="D164" s="18" t="str">
        <f>IFERROR(VLOOKUP(C164,[8]Sheet2!$C$1:$F$1223,3,0),"")</f>
        <v>양찬모</v>
      </c>
      <c r="E164" s="18" t="str">
        <f>IFERROR(VLOOKUP(C164,[8]Sheet2!$C$1:$F$1223,4,0),"")</f>
        <v>온양상사(주)</v>
      </c>
      <c r="F164" s="2" t="s">
        <v>3771</v>
      </c>
      <c r="G164" s="3" t="s">
        <v>3217</v>
      </c>
      <c r="H164" s="4" t="s">
        <v>651</v>
      </c>
      <c r="I164" s="4" t="s">
        <v>516</v>
      </c>
      <c r="J164" s="23" t="s">
        <v>3772</v>
      </c>
      <c r="K164" s="27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34"/>
      <c r="Z164" s="32">
        <v>3</v>
      </c>
    </row>
    <row r="165" spans="2:26">
      <c r="B165" s="17" t="str">
        <f>IFERROR(VLOOKUP(C165,[8]Sheet2!$C$3:$F$1223,2,0),"")</f>
        <v>Daejeon</v>
      </c>
      <c r="C165" s="3">
        <v>33526</v>
      </c>
      <c r="D165" s="18" t="str">
        <f>IFERROR(VLOOKUP(C165,[8]Sheet2!$C$1:$F$1223,3,0),"")</f>
        <v>양찬모</v>
      </c>
      <c r="E165" s="18" t="str">
        <f>IFERROR(VLOOKUP(C165,[8]Sheet2!$C$1:$F$1223,4,0),"")</f>
        <v>충청주류상사(주)</v>
      </c>
      <c r="F165" s="2" t="s">
        <v>979</v>
      </c>
      <c r="G165" s="3" t="s">
        <v>3217</v>
      </c>
      <c r="H165" s="4" t="s">
        <v>651</v>
      </c>
      <c r="I165" s="4" t="s">
        <v>3300</v>
      </c>
      <c r="J165" s="23" t="s">
        <v>3773</v>
      </c>
      <c r="K165" s="27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34"/>
      <c r="X165" s="31">
        <v>1</v>
      </c>
      <c r="Y165" s="32">
        <v>1</v>
      </c>
    </row>
    <row r="166" spans="2:26">
      <c r="B166" s="17" t="str">
        <f>IFERROR(VLOOKUP(C166,[8]Sheet2!$C$3:$F$1223,2,0),"")</f>
        <v>Daejeon</v>
      </c>
      <c r="C166" s="3">
        <v>33526</v>
      </c>
      <c r="D166" s="18" t="str">
        <f>IFERROR(VLOOKUP(C166,[8]Sheet2!$C$1:$F$1223,3,0),"")</f>
        <v>양찬모</v>
      </c>
      <c r="E166" s="18" t="str">
        <f>IFERROR(VLOOKUP(C166,[8]Sheet2!$C$1:$F$1223,4,0),"")</f>
        <v>충청주류상사(주)</v>
      </c>
      <c r="F166" s="3" t="s">
        <v>3774</v>
      </c>
      <c r="G166" s="3" t="s">
        <v>3218</v>
      </c>
      <c r="H166" s="4" t="s">
        <v>3167</v>
      </c>
      <c r="I166" s="4" t="s">
        <v>119</v>
      </c>
      <c r="J166" s="23" t="s">
        <v>3775</v>
      </c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29"/>
      <c r="X166" s="31">
        <v>1</v>
      </c>
    </row>
    <row r="167" spans="2:26">
      <c r="B167" s="17" t="str">
        <f>IFERROR(VLOOKUP(C167,[8]Sheet2!$C$3:$F$1223,2,0),"")</f>
        <v>Daejeon</v>
      </c>
      <c r="C167" s="20">
        <v>33536</v>
      </c>
      <c r="D167" s="18" t="str">
        <f>IFERROR(VLOOKUP(C167,[8]Sheet2!$C$1:$F$1223,3,0),"")</f>
        <v>양찬모</v>
      </c>
      <c r="E167" s="18" t="str">
        <f>IFERROR(VLOOKUP(C167,[8]Sheet2!$C$1:$F$1223,4,0),"")</f>
        <v>한밭상사(주)</v>
      </c>
      <c r="F167" s="39" t="s">
        <v>3776</v>
      </c>
      <c r="G167" s="39" t="s">
        <v>3217</v>
      </c>
      <c r="H167" s="20" t="s">
        <v>3167</v>
      </c>
      <c r="I167" s="20" t="s">
        <v>3169</v>
      </c>
      <c r="J167" s="20" t="s">
        <v>3777</v>
      </c>
      <c r="X167" s="31">
        <v>1</v>
      </c>
    </row>
    <row r="168" spans="2:26">
      <c r="B168" s="17" t="str">
        <f>IFERROR(VLOOKUP(C168,[8]Sheet2!$C$3:$F$1223,2,0),"")</f>
        <v>Daejeon</v>
      </c>
      <c r="C168" s="20">
        <v>33524</v>
      </c>
      <c r="D168" s="18" t="str">
        <f>IFERROR(VLOOKUP(C168,[8]Sheet2!$C$1:$F$1223,3,0),"")</f>
        <v>양찬모</v>
      </c>
      <c r="E168" s="18" t="str">
        <f>IFERROR(VLOOKUP(C168,[8]Sheet2!$C$1:$F$1223,4,0),"")</f>
        <v>대광상사(유)</v>
      </c>
      <c r="F168" s="39" t="s">
        <v>3778</v>
      </c>
      <c r="G168" s="39" t="s">
        <v>3217</v>
      </c>
      <c r="H168" s="20" t="s">
        <v>3167</v>
      </c>
      <c r="I168" s="20" t="s">
        <v>132</v>
      </c>
      <c r="J168" s="20" t="s">
        <v>3779</v>
      </c>
      <c r="X168" s="31">
        <v>1</v>
      </c>
      <c r="Y168" s="32">
        <v>1</v>
      </c>
    </row>
    <row r="169" spans="2:26">
      <c r="B169" s="17" t="str">
        <f>IFERROR(VLOOKUP(C169,[9]Sheet2!$C$3:$F$1223,2,0),"")</f>
        <v>Daejeon</v>
      </c>
      <c r="C169" s="3">
        <v>33533</v>
      </c>
      <c r="D169" s="18" t="str">
        <f>IFERROR(VLOOKUP(C169,[9]Sheet2!$C$1:$F$1223,3,0),"")</f>
        <v>양찬모</v>
      </c>
      <c r="E169" s="18" t="str">
        <f>IFERROR(VLOOKUP(C169,[9]Sheet2!$C$1:$F$1223,4,0),"")</f>
        <v>장천주류(주)</v>
      </c>
      <c r="F169" s="81" t="s">
        <v>3931</v>
      </c>
      <c r="G169" s="83" t="s">
        <v>3217</v>
      </c>
      <c r="H169" s="98" t="s">
        <v>3167</v>
      </c>
      <c r="I169" s="98" t="s">
        <v>132</v>
      </c>
      <c r="J169" s="98" t="s">
        <v>3932</v>
      </c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7"/>
      <c r="W169" s="40"/>
      <c r="X169" s="41"/>
      <c r="Y169" s="42"/>
      <c r="Z169" s="42">
        <v>1</v>
      </c>
    </row>
    <row r="170" spans="2:26">
      <c r="B170" s="17" t="str">
        <f>IFERROR(VLOOKUP(C170,[9]Sheet2!$C$3:$F$1223,2,0),"")</f>
        <v>Daejeon</v>
      </c>
      <c r="C170" s="3">
        <v>33553</v>
      </c>
      <c r="D170" s="18" t="str">
        <f>IFERROR(VLOOKUP(C170,[9]Sheet2!$C$1:$F$1223,3,0),"")</f>
        <v>양찬모</v>
      </c>
      <c r="E170" s="18" t="str">
        <f>IFERROR(VLOOKUP(C170,[9]Sheet2!$C$1:$F$1223,4,0),"")</f>
        <v>제일상사(유)(청주)</v>
      </c>
      <c r="F170" s="81" t="s">
        <v>3933</v>
      </c>
      <c r="G170" s="83" t="s">
        <v>3218</v>
      </c>
      <c r="H170" s="98" t="s">
        <v>564</v>
      </c>
      <c r="I170" s="98" t="s">
        <v>902</v>
      </c>
      <c r="J170" s="98" t="s">
        <v>3934</v>
      </c>
      <c r="Z170" s="32">
        <v>1</v>
      </c>
    </row>
    <row r="171" spans="2:26">
      <c r="B171" s="17" t="str">
        <f>IFERROR(VLOOKUP(C171,[9]Sheet2!$C$3:$F$1223,2,0),"")</f>
        <v>Daejeon</v>
      </c>
      <c r="C171" s="3">
        <v>33533</v>
      </c>
      <c r="D171" s="18" t="str">
        <f>IFERROR(VLOOKUP(C171,[9]Sheet2!$C$1:$F$1223,3,0),"")</f>
        <v>양찬모</v>
      </c>
      <c r="E171" s="18" t="str">
        <f>IFERROR(VLOOKUP(C171,[9]Sheet2!$C$1:$F$1223,4,0),"")</f>
        <v>장천주류(주)</v>
      </c>
      <c r="F171" s="81" t="s">
        <v>3935</v>
      </c>
      <c r="G171" s="83" t="s">
        <v>3218</v>
      </c>
      <c r="H171" s="98" t="s">
        <v>3167</v>
      </c>
      <c r="I171" s="98" t="s">
        <v>3191</v>
      </c>
      <c r="J171" s="98" t="s">
        <v>3936</v>
      </c>
      <c r="Z171" s="32">
        <v>1</v>
      </c>
    </row>
    <row r="172" spans="2:26">
      <c r="B172" s="17" t="str">
        <f>IFERROR(VLOOKUP(C172,[8]Sheet2!$C$3:$F$1223,2,0),"")</f>
        <v/>
      </c>
      <c r="D172" s="18" t="str">
        <f>IFERROR(VLOOKUP(C172,[8]Sheet2!$C$1:$F$1223,3,0),"")</f>
        <v/>
      </c>
      <c r="E172" s="18" t="str">
        <f>IFERROR(VLOOKUP(C172,[8]Sheet2!$C$1:$F$1223,4,0),"")</f>
        <v/>
      </c>
    </row>
    <row r="173" spans="2:26">
      <c r="B173" s="17" t="str">
        <f>IFERROR(VLOOKUP(C173,[8]Sheet2!$C$3:$F$1223,2,0),"")</f>
        <v/>
      </c>
      <c r="D173" s="18" t="str">
        <f>IFERROR(VLOOKUP(C173,[8]Sheet2!$C$1:$F$1223,3,0),"")</f>
        <v/>
      </c>
      <c r="E173" s="18" t="str">
        <f>IFERROR(VLOOKUP(C173,[8]Sheet2!$C$1:$F$1223,4,0),"")</f>
        <v/>
      </c>
    </row>
    <row r="174" spans="2:26">
      <c r="B174" s="17" t="str">
        <f>IFERROR(VLOOKUP(C174,[8]Sheet2!$C$3:$F$1223,2,0),"")</f>
        <v/>
      </c>
      <c r="D174" s="18" t="str">
        <f>IFERROR(VLOOKUP(C174,[8]Sheet2!$C$1:$F$1223,3,0),"")</f>
        <v/>
      </c>
      <c r="E174" s="18" t="str">
        <f>IFERROR(VLOOKUP(C174,[8]Sheet2!$C$1:$F$1223,4,0),"")</f>
        <v/>
      </c>
    </row>
    <row r="175" spans="2:26">
      <c r="B175" s="17" t="str">
        <f>IFERROR(VLOOKUP(C175,[8]Sheet2!$C$3:$F$1223,2,0),"")</f>
        <v/>
      </c>
      <c r="D175" s="18" t="str">
        <f>IFERROR(VLOOKUP(C175,[8]Sheet2!$C$1:$F$1223,3,0),"")</f>
        <v/>
      </c>
      <c r="E175" s="18" t="str">
        <f>IFERROR(VLOOKUP(C175,[8]Sheet2!$C$1:$F$1223,4,0),"")</f>
        <v/>
      </c>
    </row>
    <row r="176" spans="2:26">
      <c r="B176" s="17" t="str">
        <f>IFERROR(VLOOKUP(C176,[8]Sheet2!$C$3:$F$1223,2,0),"")</f>
        <v/>
      </c>
      <c r="D176" s="18" t="str">
        <f>IFERROR(VLOOKUP(C176,[8]Sheet2!$C$1:$F$1223,3,0),"")</f>
        <v/>
      </c>
      <c r="E176" s="18" t="str">
        <f>IFERROR(VLOOKUP(C176,[8]Sheet2!$C$1:$F$1223,4,0),"")</f>
        <v/>
      </c>
    </row>
    <row r="177" spans="2:5">
      <c r="B177" s="17" t="str">
        <f>IFERROR(VLOOKUP(C177,[8]Sheet2!$C$3:$F$1223,2,0),"")</f>
        <v/>
      </c>
      <c r="D177" s="18" t="str">
        <f>IFERROR(VLOOKUP(C177,[8]Sheet2!$C$1:$F$1223,3,0),"")</f>
        <v/>
      </c>
      <c r="E177" s="18" t="str">
        <f>IFERROR(VLOOKUP(C177,[8]Sheet2!$C$1:$F$1223,4,0),"")</f>
        <v/>
      </c>
    </row>
    <row r="178" spans="2:5">
      <c r="B178" s="17" t="str">
        <f>IFERROR(VLOOKUP(C178,[8]Sheet2!$C$3:$F$1223,2,0),"")</f>
        <v/>
      </c>
      <c r="D178" s="18" t="str">
        <f>IFERROR(VLOOKUP(C178,[8]Sheet2!$C$1:$F$1223,3,0),"")</f>
        <v/>
      </c>
      <c r="E178" s="18" t="str">
        <f>IFERROR(VLOOKUP(C178,[8]Sheet2!$C$1:$F$1223,4,0),"")</f>
        <v/>
      </c>
    </row>
    <row r="179" spans="2:5">
      <c r="B179" s="17" t="str">
        <f>IFERROR(VLOOKUP(C179,[8]Sheet2!$C$3:$F$1223,2,0),"")</f>
        <v/>
      </c>
      <c r="D179" s="18" t="str">
        <f>IFERROR(VLOOKUP(C179,[8]Sheet2!$C$1:$F$1223,3,0),"")</f>
        <v/>
      </c>
      <c r="E179" s="18" t="str">
        <f>IFERROR(VLOOKUP(C179,[8]Sheet2!$C$1:$F$1223,4,0),"")</f>
        <v/>
      </c>
    </row>
    <row r="180" spans="2:5">
      <c r="B180" s="17" t="str">
        <f>IFERROR(VLOOKUP(C180,[8]Sheet2!$C$3:$F$1223,2,0),"")</f>
        <v/>
      </c>
      <c r="D180" s="18" t="str">
        <f>IFERROR(VLOOKUP(C180,[8]Sheet2!$C$1:$F$1223,3,0),"")</f>
        <v/>
      </c>
      <c r="E180" s="18" t="str">
        <f>IFERROR(VLOOKUP(C180,[8]Sheet2!$C$1:$F$1223,4,0),"")</f>
        <v/>
      </c>
    </row>
    <row r="181" spans="2:5">
      <c r="B181" s="17" t="str">
        <f>IFERROR(VLOOKUP(C181,[8]Sheet2!$C$3:$F$1223,2,0),"")</f>
        <v/>
      </c>
      <c r="D181" s="18" t="str">
        <f>IFERROR(VLOOKUP(C181,[8]Sheet2!$C$1:$F$1223,3,0),"")</f>
        <v/>
      </c>
      <c r="E181" s="18" t="str">
        <f>IFERROR(VLOOKUP(C181,[8]Sheet2!$C$1:$F$1223,4,0),"")</f>
        <v/>
      </c>
    </row>
    <row r="182" spans="2:5">
      <c r="B182" s="17" t="str">
        <f>IFERROR(VLOOKUP(C182,[8]Sheet2!$C$3:$F$1223,2,0),"")</f>
        <v/>
      </c>
      <c r="D182" s="18" t="str">
        <f>IFERROR(VLOOKUP(C182,[8]Sheet2!$C$1:$F$1223,3,0),"")</f>
        <v/>
      </c>
      <c r="E182" s="18" t="str">
        <f>IFERROR(VLOOKUP(C182,[8]Sheet2!$C$1:$F$1223,4,0),"")</f>
        <v/>
      </c>
    </row>
    <row r="183" spans="2:5">
      <c r="B183" s="17" t="str">
        <f>IFERROR(VLOOKUP(C183,[8]Sheet2!$C$3:$F$1223,2,0),"")</f>
        <v/>
      </c>
      <c r="D183" s="18" t="str">
        <f>IFERROR(VLOOKUP(C183,[8]Sheet2!$C$1:$F$1223,3,0),"")</f>
        <v/>
      </c>
      <c r="E183" s="18" t="str">
        <f>IFERROR(VLOOKUP(C183,[8]Sheet2!$C$1:$F$1223,4,0),"")</f>
        <v/>
      </c>
    </row>
    <row r="184" spans="2:5">
      <c r="B184" s="17" t="str">
        <f>IFERROR(VLOOKUP(C184,[8]Sheet2!$C$3:$F$1223,2,0),"")</f>
        <v/>
      </c>
      <c r="D184" s="18" t="str">
        <f>IFERROR(VLOOKUP(C184,[8]Sheet2!$C$1:$F$1223,3,0),"")</f>
        <v/>
      </c>
      <c r="E184" s="18" t="str">
        <f>IFERROR(VLOOKUP(C184,[8]Sheet2!$C$1:$F$1223,4,0),"")</f>
        <v/>
      </c>
    </row>
    <row r="185" spans="2:5">
      <c r="B185" s="17" t="str">
        <f>IFERROR(VLOOKUP(C185,[8]Sheet2!$C$3:$F$1223,2,0),"")</f>
        <v/>
      </c>
      <c r="D185" s="18" t="str">
        <f>IFERROR(VLOOKUP(C185,[8]Sheet2!$C$1:$F$1223,3,0),"")</f>
        <v/>
      </c>
      <c r="E185" s="18" t="str">
        <f>IFERROR(VLOOKUP(C185,[8]Sheet2!$C$1:$F$1223,4,0),"")</f>
        <v/>
      </c>
    </row>
    <row r="186" spans="2:5">
      <c r="B186" s="17" t="str">
        <f>IFERROR(VLOOKUP(C186,[8]Sheet2!$C$3:$F$1223,2,0),"")</f>
        <v/>
      </c>
      <c r="D186" s="18" t="str">
        <f>IFERROR(VLOOKUP(C186,[8]Sheet2!$C$1:$F$1223,3,0),"")</f>
        <v/>
      </c>
      <c r="E186" s="18" t="str">
        <f>IFERROR(VLOOKUP(C186,[8]Sheet2!$C$1:$F$1223,4,0),"")</f>
        <v/>
      </c>
    </row>
    <row r="187" spans="2:5">
      <c r="B187" s="17" t="str">
        <f>IFERROR(VLOOKUP(C187,[8]Sheet2!$C$3:$F$1223,2,0),"")</f>
        <v/>
      </c>
      <c r="D187" s="18" t="str">
        <f>IFERROR(VLOOKUP(C187,[8]Sheet2!$C$1:$F$1223,3,0),"")</f>
        <v/>
      </c>
      <c r="E187" s="18" t="str">
        <f>IFERROR(VLOOKUP(C187,[8]Sheet2!$C$1:$F$1223,4,0),"")</f>
        <v/>
      </c>
    </row>
    <row r="188" spans="2:5">
      <c r="B188" s="17" t="str">
        <f>IFERROR(VLOOKUP(C188,[8]Sheet2!$C$3:$F$1223,2,0),"")</f>
        <v/>
      </c>
      <c r="D188" s="18" t="str">
        <f>IFERROR(VLOOKUP(C188,[8]Sheet2!$C$1:$F$1223,3,0),"")</f>
        <v/>
      </c>
      <c r="E188" s="18" t="str">
        <f>IFERROR(VLOOKUP(C188,[8]Sheet2!$C$1:$F$1223,4,0),"")</f>
        <v/>
      </c>
    </row>
    <row r="189" spans="2:5">
      <c r="B189" s="17" t="str">
        <f>IFERROR(VLOOKUP(C189,[8]Sheet2!$C$3:$F$1223,2,0),"")</f>
        <v/>
      </c>
      <c r="D189" s="18" t="str">
        <f>IFERROR(VLOOKUP(C189,[8]Sheet2!$C$1:$F$1223,3,0),"")</f>
        <v/>
      </c>
      <c r="E189" s="18" t="str">
        <f>IFERROR(VLOOKUP(C189,[8]Sheet2!$C$1:$F$1223,4,0),"")</f>
        <v/>
      </c>
    </row>
    <row r="190" spans="2:5">
      <c r="B190" s="17" t="str">
        <f>IFERROR(VLOOKUP(C190,[8]Sheet2!$C$3:$F$1223,2,0),"")</f>
        <v/>
      </c>
      <c r="D190" s="18" t="str">
        <f>IFERROR(VLOOKUP(C190,[8]Sheet2!$C$1:$F$1223,3,0),"")</f>
        <v/>
      </c>
      <c r="E190" s="18" t="str">
        <f>IFERROR(VLOOKUP(C190,[8]Sheet2!$C$1:$F$1223,4,0),"")</f>
        <v/>
      </c>
    </row>
    <row r="191" spans="2:5">
      <c r="B191" s="17" t="str">
        <f>IFERROR(VLOOKUP(C191,[8]Sheet2!$C$3:$F$1223,2,0),"")</f>
        <v/>
      </c>
      <c r="D191" s="18" t="str">
        <f>IFERROR(VLOOKUP(C191,[8]Sheet2!$C$1:$F$1223,3,0),"")</f>
        <v/>
      </c>
      <c r="E191" s="18" t="str">
        <f>IFERROR(VLOOKUP(C191,[8]Sheet2!$C$1:$F$1223,4,0),"")</f>
        <v/>
      </c>
    </row>
    <row r="192" spans="2:5">
      <c r="B192" s="17" t="str">
        <f>IFERROR(VLOOKUP(C192,[8]Sheet2!$C$3:$F$1223,2,0),"")</f>
        <v/>
      </c>
      <c r="D192" s="18" t="str">
        <f>IFERROR(VLOOKUP(C192,[8]Sheet2!$C$1:$F$1223,3,0),"")</f>
        <v/>
      </c>
      <c r="E192" s="18" t="str">
        <f>IFERROR(VLOOKUP(C192,[8]Sheet2!$C$1:$F$1223,4,0),"")</f>
        <v/>
      </c>
    </row>
    <row r="193" spans="2:5">
      <c r="B193" s="17" t="str">
        <f>IFERROR(VLOOKUP(C193,[8]Sheet2!$C$3:$F$1223,2,0),"")</f>
        <v/>
      </c>
      <c r="D193" s="18" t="str">
        <f>IFERROR(VLOOKUP(C193,[8]Sheet2!$C$1:$F$1223,3,0),"")</f>
        <v/>
      </c>
      <c r="E193" s="18" t="str">
        <f>IFERROR(VLOOKUP(C193,[8]Sheet2!$C$1:$F$1223,4,0),"")</f>
        <v/>
      </c>
    </row>
    <row r="194" spans="2:5">
      <c r="B194" s="17" t="str">
        <f>IFERROR(VLOOKUP(C194,[8]Sheet2!$C$3:$F$1223,2,0),"")</f>
        <v/>
      </c>
      <c r="D194" s="18" t="str">
        <f>IFERROR(VLOOKUP(C194,[8]Sheet2!$C$1:$F$1223,3,0),"")</f>
        <v/>
      </c>
      <c r="E194" s="18" t="str">
        <f>IFERROR(VLOOKUP(C194,[8]Sheet2!$C$1:$F$1223,4,0),"")</f>
        <v/>
      </c>
    </row>
    <row r="195" spans="2:5">
      <c r="B195" s="17" t="str">
        <f>IFERROR(VLOOKUP(C195,[8]Sheet2!$C$3:$F$1223,2,0),"")</f>
        <v/>
      </c>
      <c r="D195" s="18" t="str">
        <f>IFERROR(VLOOKUP(C195,[8]Sheet2!$C$1:$F$1223,3,0),"")</f>
        <v/>
      </c>
      <c r="E195" s="18" t="str">
        <f>IFERROR(VLOOKUP(C195,[8]Sheet2!$C$1:$F$1223,4,0),"")</f>
        <v/>
      </c>
    </row>
    <row r="196" spans="2:5">
      <c r="B196" s="17" t="str">
        <f>IFERROR(VLOOKUP(C196,[8]Sheet2!$C$3:$F$1223,2,0),"")</f>
        <v/>
      </c>
      <c r="D196" s="18" t="str">
        <f>IFERROR(VLOOKUP(C196,[8]Sheet2!$C$1:$F$1223,3,0),"")</f>
        <v/>
      </c>
      <c r="E196" s="18" t="str">
        <f>IFERROR(VLOOKUP(C196,[8]Sheet2!$C$1:$F$1223,4,0),"")</f>
        <v/>
      </c>
    </row>
    <row r="197" spans="2:5">
      <c r="B197" s="17" t="str">
        <f>IFERROR(VLOOKUP(C197,[8]Sheet2!$C$3:$F$1223,2,0),"")</f>
        <v/>
      </c>
      <c r="D197" s="18" t="str">
        <f>IFERROR(VLOOKUP(C197,[8]Sheet2!$C$1:$F$1223,3,0),"")</f>
        <v/>
      </c>
      <c r="E197" s="18" t="str">
        <f>IFERROR(VLOOKUP(C197,[8]Sheet2!$C$1:$F$1223,4,0),"")</f>
        <v/>
      </c>
    </row>
    <row r="198" spans="2:5">
      <c r="B198" s="17" t="str">
        <f>IFERROR(VLOOKUP(C198,[8]Sheet2!$C$3:$F$1223,2,0),"")</f>
        <v/>
      </c>
      <c r="D198" s="18" t="str">
        <f>IFERROR(VLOOKUP(C198,[8]Sheet2!$C$1:$F$1223,3,0),"")</f>
        <v/>
      </c>
      <c r="E198" s="18" t="str">
        <f>IFERROR(VLOOKUP(C198,[8]Sheet2!$C$1:$F$1223,4,0),"")</f>
        <v/>
      </c>
    </row>
    <row r="199" spans="2:5">
      <c r="B199" s="17" t="str">
        <f>IFERROR(VLOOKUP(C199,[8]Sheet2!$C$3:$F$1223,2,0),"")</f>
        <v/>
      </c>
      <c r="D199" s="18" t="str">
        <f>IFERROR(VLOOKUP(C199,[8]Sheet2!$C$1:$F$1223,3,0),"")</f>
        <v/>
      </c>
      <c r="E199" s="18" t="str">
        <f>IFERROR(VLOOKUP(C199,[8]Sheet2!$C$1:$F$1223,4,0),"")</f>
        <v/>
      </c>
    </row>
    <row r="200" spans="2:5">
      <c r="B200" s="17" t="str">
        <f>IFERROR(VLOOKUP(C200,[8]Sheet2!$C$3:$F$1223,2,0),"")</f>
        <v/>
      </c>
      <c r="D200" s="18" t="str">
        <f>IFERROR(VLOOKUP(C200,[8]Sheet2!$C$1:$F$1223,3,0),"")</f>
        <v/>
      </c>
      <c r="E200" s="18" t="str">
        <f>IFERROR(VLOOKUP(C200,[8]Sheet2!$C$1:$F$1223,4,0),"")</f>
        <v/>
      </c>
    </row>
    <row r="201" spans="2:5">
      <c r="B201" s="17" t="str">
        <f>IFERROR(VLOOKUP(C201,[8]Sheet2!$C$3:$F$1223,2,0),"")</f>
        <v/>
      </c>
      <c r="D201" s="18" t="str">
        <f>IFERROR(VLOOKUP(C201,[8]Sheet2!$C$1:$F$1223,3,0),"")</f>
        <v/>
      </c>
      <c r="E201" s="18" t="str">
        <f>IFERROR(VLOOKUP(C201,[8]Sheet2!$C$1:$F$1223,4,0),"")</f>
        <v/>
      </c>
    </row>
    <row r="202" spans="2:5">
      <c r="B202" s="17" t="str">
        <f>IFERROR(VLOOKUP(C202,[8]Sheet2!$C$3:$F$1223,2,0),"")</f>
        <v/>
      </c>
      <c r="D202" s="18" t="str">
        <f>IFERROR(VLOOKUP(C202,[8]Sheet2!$C$1:$F$1223,3,0),"")</f>
        <v/>
      </c>
      <c r="E202" s="18" t="str">
        <f>IFERROR(VLOOKUP(C202,[8]Sheet2!$C$1:$F$1223,4,0),"")</f>
        <v/>
      </c>
    </row>
    <row r="203" spans="2:5">
      <c r="B203" s="17" t="str">
        <f>IFERROR(VLOOKUP(C203,[8]Sheet2!$C$3:$F$1223,2,0),"")</f>
        <v/>
      </c>
      <c r="D203" s="18" t="str">
        <f>IFERROR(VLOOKUP(C203,[8]Sheet2!$C$1:$F$1223,3,0),"")</f>
        <v/>
      </c>
      <c r="E203" s="18" t="str">
        <f>IFERROR(VLOOKUP(C203,[8]Sheet2!$C$1:$F$1223,4,0),"")</f>
        <v/>
      </c>
    </row>
    <row r="204" spans="2:5">
      <c r="B204" s="17" t="str">
        <f>IFERROR(VLOOKUP(C204,[8]Sheet2!$C$3:$F$1223,2,0),"")</f>
        <v/>
      </c>
      <c r="D204" s="18" t="str">
        <f>IFERROR(VLOOKUP(C204,[8]Sheet2!$C$1:$F$1223,3,0),"")</f>
        <v/>
      </c>
      <c r="E204" s="18" t="str">
        <f>IFERROR(VLOOKUP(C204,[8]Sheet2!$C$1:$F$1223,4,0),"")</f>
        <v/>
      </c>
    </row>
    <row r="205" spans="2:5">
      <c r="B205" s="17" t="str">
        <f>IFERROR(VLOOKUP(C205,[8]Sheet2!$C$3:$F$1223,2,0),"")</f>
        <v/>
      </c>
      <c r="D205" s="18" t="str">
        <f>IFERROR(VLOOKUP(C205,[8]Sheet2!$C$1:$F$1223,3,0),"")</f>
        <v/>
      </c>
      <c r="E205" s="18" t="str">
        <f>IFERROR(VLOOKUP(C205,[8]Sheet2!$C$1:$F$1223,4,0),"")</f>
        <v/>
      </c>
    </row>
    <row r="206" spans="2:5">
      <c r="B206" s="17" t="str">
        <f>IFERROR(VLOOKUP(C206,[8]Sheet2!$C$3:$F$1223,2,0),"")</f>
        <v/>
      </c>
      <c r="D206" s="18" t="str">
        <f>IFERROR(VLOOKUP(C206,[8]Sheet2!$C$1:$F$1223,3,0),"")</f>
        <v/>
      </c>
      <c r="E206" s="18" t="str">
        <f>IFERROR(VLOOKUP(C206,[8]Sheet2!$C$1:$F$1223,4,0),"")</f>
        <v/>
      </c>
    </row>
    <row r="207" spans="2:5">
      <c r="B207" s="17" t="str">
        <f>IFERROR(VLOOKUP(C207,[8]Sheet2!$C$3:$F$1223,2,0),"")</f>
        <v/>
      </c>
      <c r="D207" s="18" t="str">
        <f>IFERROR(VLOOKUP(C207,[8]Sheet2!$C$1:$F$1223,3,0),"")</f>
        <v/>
      </c>
      <c r="E207" s="18" t="str">
        <f>IFERROR(VLOOKUP(C207,[8]Sheet2!$C$1:$F$1223,4,0),"")</f>
        <v/>
      </c>
    </row>
    <row r="208" spans="2:5">
      <c r="B208" s="17" t="str">
        <f>IFERROR(VLOOKUP(C208,[8]Sheet2!$C$3:$F$1223,2,0),"")</f>
        <v/>
      </c>
      <c r="D208" s="18" t="str">
        <f>IFERROR(VLOOKUP(C208,[8]Sheet2!$C$1:$F$1223,3,0),"")</f>
        <v/>
      </c>
      <c r="E208" s="18" t="str">
        <f>IFERROR(VLOOKUP(C208,[8]Sheet2!$C$1:$F$1223,4,0),"")</f>
        <v/>
      </c>
    </row>
    <row r="209" spans="2:5">
      <c r="B209" s="17" t="str">
        <f>IFERROR(VLOOKUP(C209,[8]Sheet2!$C$3:$F$1223,2,0),"")</f>
        <v/>
      </c>
      <c r="D209" s="18" t="str">
        <f>IFERROR(VLOOKUP(C209,[8]Sheet2!$C$1:$F$1223,3,0),"")</f>
        <v/>
      </c>
      <c r="E209" s="18" t="str">
        <f>IFERROR(VLOOKUP(C209,[8]Sheet2!$C$1:$F$1223,4,0),"")</f>
        <v/>
      </c>
    </row>
    <row r="210" spans="2:5">
      <c r="B210" s="17" t="str">
        <f>IFERROR(VLOOKUP(C210,[8]Sheet2!$C$3:$F$1223,2,0),"")</f>
        <v/>
      </c>
      <c r="D210" s="18" t="str">
        <f>IFERROR(VLOOKUP(C210,[8]Sheet2!$C$1:$F$1223,3,0),"")</f>
        <v/>
      </c>
      <c r="E210" s="18" t="str">
        <f>IFERROR(VLOOKUP(C210,[8]Sheet2!$C$1:$F$1223,4,0),"")</f>
        <v/>
      </c>
    </row>
    <row r="211" spans="2:5">
      <c r="B211" s="17" t="str">
        <f>IFERROR(VLOOKUP(C211,[8]Sheet2!$C$3:$F$1223,2,0),"")</f>
        <v/>
      </c>
      <c r="D211" s="18" t="str">
        <f>IFERROR(VLOOKUP(C211,[8]Sheet2!$C$1:$F$1223,3,0),"")</f>
        <v/>
      </c>
      <c r="E211" s="18" t="str">
        <f>IFERROR(VLOOKUP(C211,[8]Sheet2!$C$1:$F$1223,4,0),"")</f>
        <v/>
      </c>
    </row>
    <row r="212" spans="2:5">
      <c r="B212" s="17" t="str">
        <f>IFERROR(VLOOKUP(C212,[8]Sheet2!$C$3:$F$1223,2,0),"")</f>
        <v/>
      </c>
      <c r="D212" s="18" t="str">
        <f>IFERROR(VLOOKUP(C212,[8]Sheet2!$C$1:$F$1223,3,0),"")</f>
        <v/>
      </c>
      <c r="E212" s="18" t="str">
        <f>IFERROR(VLOOKUP(C212,[8]Sheet2!$C$1:$F$1223,4,0),"")</f>
        <v/>
      </c>
    </row>
    <row r="213" spans="2:5">
      <c r="B213" s="17" t="str">
        <f>IFERROR(VLOOKUP(C213,[8]Sheet2!$C$3:$F$1223,2,0),"")</f>
        <v/>
      </c>
      <c r="D213" s="18" t="str">
        <f>IFERROR(VLOOKUP(C213,[8]Sheet2!$C$1:$F$1223,3,0),"")</f>
        <v/>
      </c>
      <c r="E213" s="18" t="str">
        <f>IFERROR(VLOOKUP(C213,[8]Sheet2!$C$1:$F$1223,4,0),"")</f>
        <v/>
      </c>
    </row>
    <row r="214" spans="2:5">
      <c r="B214" s="17" t="str">
        <f>IFERROR(VLOOKUP(C214,[8]Sheet2!$C$3:$F$1223,2,0),"")</f>
        <v/>
      </c>
      <c r="D214" s="18" t="str">
        <f>IFERROR(VLOOKUP(C214,[8]Sheet2!$C$1:$F$1223,3,0),"")</f>
        <v/>
      </c>
      <c r="E214" s="18" t="str">
        <f>IFERROR(VLOOKUP(C214,[8]Sheet2!$C$1:$F$1223,4,0),"")</f>
        <v/>
      </c>
    </row>
    <row r="215" spans="2:5">
      <c r="B215" s="17" t="str">
        <f>IFERROR(VLOOKUP(C215,[8]Sheet2!$C$3:$F$1223,2,0),"")</f>
        <v/>
      </c>
      <c r="D215" s="18" t="str">
        <f>IFERROR(VLOOKUP(C215,[8]Sheet2!$C$1:$F$1223,3,0),"")</f>
        <v/>
      </c>
      <c r="E215" s="18" t="str">
        <f>IFERROR(VLOOKUP(C215,[8]Sheet2!$C$1:$F$1223,4,0),"")</f>
        <v/>
      </c>
    </row>
    <row r="216" spans="2:5">
      <c r="B216" s="17" t="str">
        <f>IFERROR(VLOOKUP(C216,[8]Sheet2!$C$3:$F$1223,2,0),"")</f>
        <v/>
      </c>
      <c r="D216" s="18" t="str">
        <f>IFERROR(VLOOKUP(C216,[8]Sheet2!$C$1:$F$1223,3,0),"")</f>
        <v/>
      </c>
      <c r="E216" s="18" t="str">
        <f>IFERROR(VLOOKUP(C216,[8]Sheet2!$C$1:$F$1223,4,0),"")</f>
        <v/>
      </c>
    </row>
    <row r="217" spans="2:5">
      <c r="B217" s="17" t="str">
        <f>IFERROR(VLOOKUP(C217,[8]Sheet2!$C$3:$F$1223,2,0),"")</f>
        <v/>
      </c>
      <c r="D217" s="18" t="str">
        <f>IFERROR(VLOOKUP(C217,[8]Sheet2!$C$1:$F$1223,3,0),"")</f>
        <v/>
      </c>
      <c r="E217" s="18" t="str">
        <f>IFERROR(VLOOKUP(C217,[8]Sheet2!$C$1:$F$1223,4,0),"")</f>
        <v/>
      </c>
    </row>
    <row r="218" spans="2:5">
      <c r="B218" s="17" t="str">
        <f>IFERROR(VLOOKUP(C218,[8]Sheet2!$C$3:$F$1223,2,0),"")</f>
        <v/>
      </c>
      <c r="D218" s="18" t="str">
        <f>IFERROR(VLOOKUP(C218,[8]Sheet2!$C$1:$F$1223,3,0),"")</f>
        <v/>
      </c>
      <c r="E218" s="18" t="str">
        <f>IFERROR(VLOOKUP(C218,[8]Sheet2!$C$1:$F$1223,4,0),"")</f>
        <v/>
      </c>
    </row>
    <row r="219" spans="2:5">
      <c r="B219" s="17" t="str">
        <f>IFERROR(VLOOKUP(C219,[8]Sheet2!$C$3:$F$1223,2,0),"")</f>
        <v/>
      </c>
      <c r="D219" s="18" t="str">
        <f>IFERROR(VLOOKUP(C219,[8]Sheet2!$C$1:$F$1223,3,0),"")</f>
        <v/>
      </c>
      <c r="E219" s="18" t="str">
        <f>IFERROR(VLOOKUP(C219,[8]Sheet2!$C$1:$F$1223,4,0),"")</f>
        <v/>
      </c>
    </row>
    <row r="220" spans="2:5">
      <c r="B220" s="17" t="str">
        <f>IFERROR(VLOOKUP(C220,[8]Sheet2!$C$3:$F$1223,2,0),"")</f>
        <v/>
      </c>
      <c r="D220" s="18" t="str">
        <f>IFERROR(VLOOKUP(C220,[8]Sheet2!$C$1:$F$1223,3,0),"")</f>
        <v/>
      </c>
      <c r="E220" s="18" t="str">
        <f>IFERROR(VLOOKUP(C220,[8]Sheet2!$C$1:$F$1223,4,0),"")</f>
        <v/>
      </c>
    </row>
    <row r="221" spans="2:5">
      <c r="B221" s="17" t="str">
        <f>IFERROR(VLOOKUP(C221,[8]Sheet2!$C$3:$F$1223,2,0),"")</f>
        <v/>
      </c>
      <c r="D221" s="18" t="str">
        <f>IFERROR(VLOOKUP(C221,[8]Sheet2!$C$1:$F$1223,3,0),"")</f>
        <v/>
      </c>
      <c r="E221" s="18" t="str">
        <f>IFERROR(VLOOKUP(C221,[8]Sheet2!$C$1:$F$1223,4,0),"")</f>
        <v/>
      </c>
    </row>
    <row r="222" spans="2:5">
      <c r="B222" s="17" t="str">
        <f>IFERROR(VLOOKUP(C222,[8]Sheet2!$C$3:$F$1223,2,0),"")</f>
        <v/>
      </c>
      <c r="D222" s="18" t="str">
        <f>IFERROR(VLOOKUP(C222,[8]Sheet2!$C$1:$F$1223,3,0),"")</f>
        <v/>
      </c>
      <c r="E222" s="18" t="str">
        <f>IFERROR(VLOOKUP(C222,[8]Sheet2!$C$1:$F$1223,4,0),"")</f>
        <v/>
      </c>
    </row>
    <row r="223" spans="2:5">
      <c r="B223" s="17" t="str">
        <f>IFERROR(VLOOKUP(C223,[8]Sheet2!$C$3:$F$1223,2,0),"")</f>
        <v/>
      </c>
      <c r="D223" s="18" t="str">
        <f>IFERROR(VLOOKUP(C223,[8]Sheet2!$C$1:$F$1223,3,0),"")</f>
        <v/>
      </c>
      <c r="E223" s="18" t="str">
        <f>IFERROR(VLOOKUP(C223,[8]Sheet2!$C$1:$F$1223,4,0),"")</f>
        <v/>
      </c>
    </row>
    <row r="224" spans="2:5">
      <c r="B224" s="17" t="str">
        <f>IFERROR(VLOOKUP(C224,[8]Sheet2!$C$3:$F$1223,2,0),"")</f>
        <v/>
      </c>
      <c r="D224" s="18" t="str">
        <f>IFERROR(VLOOKUP(C224,[8]Sheet2!$C$1:$F$1223,3,0),"")</f>
        <v/>
      </c>
      <c r="E224" s="18" t="str">
        <f>IFERROR(VLOOKUP(C224,[8]Sheet2!$C$1:$F$1223,4,0),"")</f>
        <v/>
      </c>
    </row>
    <row r="225" spans="2:5">
      <c r="B225" s="17" t="str">
        <f>IFERROR(VLOOKUP(C225,[8]Sheet2!$C$3:$F$1223,2,0),"")</f>
        <v/>
      </c>
      <c r="D225" s="18" t="str">
        <f>IFERROR(VLOOKUP(C225,[8]Sheet2!$C$1:$F$1223,3,0),"")</f>
        <v/>
      </c>
      <c r="E225" s="18" t="str">
        <f>IFERROR(VLOOKUP(C225,[8]Sheet2!$C$1:$F$1223,4,0),"")</f>
        <v/>
      </c>
    </row>
    <row r="226" spans="2:5">
      <c r="B226" s="17" t="str">
        <f>IFERROR(VLOOKUP(C226,[8]Sheet2!$C$3:$F$1223,2,0),"")</f>
        <v/>
      </c>
      <c r="D226" s="18" t="str">
        <f>IFERROR(VLOOKUP(C226,[8]Sheet2!$C$1:$F$1223,3,0),"")</f>
        <v/>
      </c>
      <c r="E226" s="18" t="str">
        <f>IFERROR(VLOOKUP(C226,[8]Sheet2!$C$1:$F$1223,4,0),"")</f>
        <v/>
      </c>
    </row>
    <row r="227" spans="2:5">
      <c r="B227" s="17" t="str">
        <f>IFERROR(VLOOKUP(C227,[8]Sheet2!$C$3:$F$1223,2,0),"")</f>
        <v/>
      </c>
      <c r="D227" s="18" t="str">
        <f>IFERROR(VLOOKUP(C227,[8]Sheet2!$C$1:$F$1223,3,0),"")</f>
        <v/>
      </c>
      <c r="E227" s="18" t="str">
        <f>IFERROR(VLOOKUP(C227,[8]Sheet2!$C$1:$F$1223,4,0),"")</f>
        <v/>
      </c>
    </row>
    <row r="228" spans="2:5">
      <c r="B228" s="17" t="str">
        <f>IFERROR(VLOOKUP(C228,[8]Sheet2!$C$3:$F$1223,2,0),"")</f>
        <v/>
      </c>
      <c r="D228" s="18" t="str">
        <f>IFERROR(VLOOKUP(C228,[8]Sheet2!$C$1:$F$1223,3,0),"")</f>
        <v/>
      </c>
      <c r="E228" s="18" t="str">
        <f>IFERROR(VLOOKUP(C228,[8]Sheet2!$C$1:$F$1223,4,0),"")</f>
        <v/>
      </c>
    </row>
    <row r="229" spans="2:5">
      <c r="B229" s="17" t="str">
        <f>IFERROR(VLOOKUP(C229,[8]Sheet2!$C$3:$F$1223,2,0),"")</f>
        <v/>
      </c>
      <c r="D229" s="18" t="str">
        <f>IFERROR(VLOOKUP(C229,[8]Sheet2!$C$1:$F$1223,3,0),"")</f>
        <v/>
      </c>
      <c r="E229" s="18" t="str">
        <f>IFERROR(VLOOKUP(C229,[8]Sheet2!$C$1:$F$1223,4,0),"")</f>
        <v/>
      </c>
    </row>
    <row r="230" spans="2:5">
      <c r="B230" s="17" t="str">
        <f>IFERROR(VLOOKUP(C230,[8]Sheet2!$C$3:$F$1223,2,0),"")</f>
        <v/>
      </c>
      <c r="D230" s="18" t="str">
        <f>IFERROR(VLOOKUP(C230,[8]Sheet2!$C$1:$F$1223,3,0),"")</f>
        <v/>
      </c>
      <c r="E230" s="18" t="str">
        <f>IFERROR(VLOOKUP(C230,[8]Sheet2!$C$1:$F$1223,4,0),"")</f>
        <v/>
      </c>
    </row>
    <row r="231" spans="2:5">
      <c r="B231" s="17" t="str">
        <f>IFERROR(VLOOKUP(C231,[8]Sheet2!$C$3:$F$1223,2,0),"")</f>
        <v/>
      </c>
      <c r="D231" s="18" t="str">
        <f>IFERROR(VLOOKUP(C231,[8]Sheet2!$C$1:$F$1223,3,0),"")</f>
        <v/>
      </c>
      <c r="E231" s="18" t="str">
        <f>IFERROR(VLOOKUP(C231,[8]Sheet2!$C$1:$F$1223,4,0),"")</f>
        <v/>
      </c>
    </row>
    <row r="232" spans="2:5">
      <c r="B232" s="17" t="str">
        <f>IFERROR(VLOOKUP(C232,[8]Sheet2!$C$3:$F$1223,2,0),"")</f>
        <v/>
      </c>
      <c r="D232" s="18" t="str">
        <f>IFERROR(VLOOKUP(C232,[8]Sheet2!$C$1:$F$1223,3,0),"")</f>
        <v/>
      </c>
      <c r="E232" s="18" t="str">
        <f>IFERROR(VLOOKUP(C232,[8]Sheet2!$C$1:$F$1223,4,0),"")</f>
        <v/>
      </c>
    </row>
    <row r="233" spans="2:5">
      <c r="B233" s="17" t="str">
        <f>IFERROR(VLOOKUP(C233,[8]Sheet2!$C$3:$F$1223,2,0),"")</f>
        <v/>
      </c>
      <c r="D233" s="18" t="str">
        <f>IFERROR(VLOOKUP(C233,[8]Sheet2!$C$1:$F$1223,3,0),"")</f>
        <v/>
      </c>
      <c r="E233" s="18" t="str">
        <f>IFERROR(VLOOKUP(C233,[8]Sheet2!$C$1:$F$1223,4,0),"")</f>
        <v/>
      </c>
    </row>
    <row r="234" spans="2:5">
      <c r="B234" s="17" t="str">
        <f>IFERROR(VLOOKUP(C234,[8]Sheet2!$C$3:$F$1223,2,0),"")</f>
        <v/>
      </c>
      <c r="D234" s="18" t="str">
        <f>IFERROR(VLOOKUP(C234,[8]Sheet2!$C$1:$F$1223,3,0),"")</f>
        <v/>
      </c>
      <c r="E234" s="18" t="str">
        <f>IFERROR(VLOOKUP(C234,[8]Sheet2!$C$1:$F$1223,4,0),"")</f>
        <v/>
      </c>
    </row>
    <row r="235" spans="2:5">
      <c r="B235" s="17" t="str">
        <f>IFERROR(VLOOKUP(C235,[8]Sheet2!$C$3:$F$1223,2,0),"")</f>
        <v/>
      </c>
      <c r="D235" s="18" t="str">
        <f>IFERROR(VLOOKUP(C235,[8]Sheet2!$C$1:$F$1223,3,0),"")</f>
        <v/>
      </c>
      <c r="E235" s="18" t="str">
        <f>IFERROR(VLOOKUP(C235,[8]Sheet2!$C$1:$F$1223,4,0),"")</f>
        <v/>
      </c>
    </row>
    <row r="236" spans="2:5">
      <c r="B236" s="17" t="str">
        <f>IFERROR(VLOOKUP(C236,[8]Sheet2!$C$3:$F$1223,2,0),"")</f>
        <v/>
      </c>
      <c r="D236" s="18" t="str">
        <f>IFERROR(VLOOKUP(C236,[8]Sheet2!$C$1:$F$1223,3,0),"")</f>
        <v/>
      </c>
      <c r="E236" s="18" t="str">
        <f>IFERROR(VLOOKUP(C236,[8]Sheet2!$C$1:$F$1223,4,0),"")</f>
        <v/>
      </c>
    </row>
    <row r="237" spans="2:5">
      <c r="B237" s="17" t="str">
        <f>IFERROR(VLOOKUP(C237,[8]Sheet2!$C$3:$F$1223,2,0),"")</f>
        <v/>
      </c>
      <c r="D237" s="18" t="str">
        <f>IFERROR(VLOOKUP(C237,[8]Sheet2!$C$1:$F$1223,3,0),"")</f>
        <v/>
      </c>
      <c r="E237" s="18" t="str">
        <f>IFERROR(VLOOKUP(C237,[8]Sheet2!$C$1:$F$1223,4,0),"")</f>
        <v/>
      </c>
    </row>
    <row r="238" spans="2:5">
      <c r="B238" s="17" t="str">
        <f>IFERROR(VLOOKUP(C238,[8]Sheet2!$C$3:$F$1223,2,0),"")</f>
        <v/>
      </c>
      <c r="D238" s="18" t="str">
        <f>IFERROR(VLOOKUP(C238,[8]Sheet2!$C$1:$F$1223,3,0),"")</f>
        <v/>
      </c>
      <c r="E238" s="18" t="str">
        <f>IFERROR(VLOOKUP(C238,[8]Sheet2!$C$1:$F$1223,4,0),"")</f>
        <v/>
      </c>
    </row>
    <row r="239" spans="2:5">
      <c r="B239" s="17" t="str">
        <f>IFERROR(VLOOKUP(C239,[8]Sheet2!$C$3:$F$1223,2,0),"")</f>
        <v/>
      </c>
      <c r="D239" s="18" t="str">
        <f>IFERROR(VLOOKUP(C239,[8]Sheet2!$C$1:$F$1223,3,0),"")</f>
        <v/>
      </c>
      <c r="E239" s="18" t="str">
        <f>IFERROR(VLOOKUP(C239,[8]Sheet2!$C$1:$F$1223,4,0),"")</f>
        <v/>
      </c>
    </row>
    <row r="240" spans="2:5">
      <c r="B240" s="17" t="str">
        <f>IFERROR(VLOOKUP(C240,[8]Sheet2!$C$3:$F$1223,2,0),"")</f>
        <v/>
      </c>
      <c r="D240" s="18" t="str">
        <f>IFERROR(VLOOKUP(C240,[8]Sheet2!$C$1:$F$1223,3,0),"")</f>
        <v/>
      </c>
      <c r="E240" s="18" t="str">
        <f>IFERROR(VLOOKUP(C240,[8]Sheet2!$C$1:$F$1223,4,0),"")</f>
        <v/>
      </c>
    </row>
    <row r="241" spans="2:5">
      <c r="B241" s="17" t="str">
        <f>IFERROR(VLOOKUP(C241,[8]Sheet2!$C$3:$F$1223,2,0),"")</f>
        <v/>
      </c>
      <c r="D241" s="18" t="str">
        <f>IFERROR(VLOOKUP(C241,[8]Sheet2!$C$1:$F$1223,3,0),"")</f>
        <v/>
      </c>
      <c r="E241" s="18" t="str">
        <f>IFERROR(VLOOKUP(C241,[8]Sheet2!$C$1:$F$1223,4,0),"")</f>
        <v/>
      </c>
    </row>
    <row r="242" spans="2:5">
      <c r="B242" s="17" t="str">
        <f>IFERROR(VLOOKUP(C242,[8]Sheet2!$C$3:$F$1223,2,0),"")</f>
        <v/>
      </c>
      <c r="D242" s="18" t="str">
        <f>IFERROR(VLOOKUP(C242,[8]Sheet2!$C$1:$F$1223,3,0),"")</f>
        <v/>
      </c>
      <c r="E242" s="18" t="str">
        <f>IFERROR(VLOOKUP(C242,[8]Sheet2!$C$1:$F$1223,4,0),"")</f>
        <v/>
      </c>
    </row>
    <row r="243" spans="2:5">
      <c r="B243" s="17" t="str">
        <f>IFERROR(VLOOKUP(C243,[8]Sheet2!$C$3:$F$1223,2,0),"")</f>
        <v/>
      </c>
      <c r="D243" s="18" t="str">
        <f>IFERROR(VLOOKUP(C243,[8]Sheet2!$C$1:$F$1223,3,0),"")</f>
        <v/>
      </c>
      <c r="E243" s="18" t="str">
        <f>IFERROR(VLOOKUP(C243,[8]Sheet2!$C$1:$F$1223,4,0),"")</f>
        <v/>
      </c>
    </row>
    <row r="244" spans="2:5">
      <c r="B244" s="17" t="str">
        <f>IFERROR(VLOOKUP(C244,[8]Sheet2!$C$3:$F$1223,2,0),"")</f>
        <v/>
      </c>
      <c r="D244" s="18" t="str">
        <f>IFERROR(VLOOKUP(C244,[8]Sheet2!$C$1:$F$1223,3,0),"")</f>
        <v/>
      </c>
      <c r="E244" s="18" t="str">
        <f>IFERROR(VLOOKUP(C244,[8]Sheet2!$C$1:$F$1223,4,0),"")</f>
        <v/>
      </c>
    </row>
    <row r="245" spans="2:5">
      <c r="B245" s="17" t="str">
        <f>IFERROR(VLOOKUP(C245,[8]Sheet2!$C$3:$F$1223,2,0),"")</f>
        <v/>
      </c>
      <c r="D245" s="18" t="str">
        <f>IFERROR(VLOOKUP(C245,[8]Sheet2!$C$1:$F$1223,3,0),"")</f>
        <v/>
      </c>
      <c r="E245" s="18" t="str">
        <f>IFERROR(VLOOKUP(C245,[8]Sheet2!$C$1:$F$1223,4,0),"")</f>
        <v/>
      </c>
    </row>
    <row r="246" spans="2:5">
      <c r="B246" s="17" t="str">
        <f>IFERROR(VLOOKUP(C246,[8]Sheet2!$C$3:$F$1223,2,0),"")</f>
        <v/>
      </c>
      <c r="D246" s="18" t="str">
        <f>IFERROR(VLOOKUP(C246,[8]Sheet2!$C$1:$F$1223,3,0),"")</f>
        <v/>
      </c>
      <c r="E246" s="18" t="str">
        <f>IFERROR(VLOOKUP(C246,[8]Sheet2!$C$1:$F$1223,4,0),"")</f>
        <v/>
      </c>
    </row>
    <row r="247" spans="2:5">
      <c r="B247" s="17" t="str">
        <f>IFERROR(VLOOKUP(C247,[8]Sheet2!$C$3:$F$1223,2,0),"")</f>
        <v/>
      </c>
      <c r="D247" s="18" t="str">
        <f>IFERROR(VLOOKUP(C247,[8]Sheet2!$C$1:$F$1223,3,0),"")</f>
        <v/>
      </c>
      <c r="E247" s="18" t="str">
        <f>IFERROR(VLOOKUP(C247,[8]Sheet2!$C$1:$F$1223,4,0),"")</f>
        <v/>
      </c>
    </row>
    <row r="248" spans="2:5">
      <c r="B248" s="17" t="str">
        <f>IFERROR(VLOOKUP(C248,[8]Sheet2!$C$3:$F$1223,2,0),"")</f>
        <v/>
      </c>
      <c r="D248" s="18" t="str">
        <f>IFERROR(VLOOKUP(C248,[8]Sheet2!$C$1:$F$1223,3,0),"")</f>
        <v/>
      </c>
      <c r="E248" s="18" t="str">
        <f>IFERROR(VLOOKUP(C248,[8]Sheet2!$C$1:$F$1223,4,0),"")</f>
        <v/>
      </c>
    </row>
    <row r="249" spans="2:5">
      <c r="B249" s="17" t="str">
        <f>IFERROR(VLOOKUP(C249,[8]Sheet2!$C$3:$F$1223,2,0),"")</f>
        <v/>
      </c>
      <c r="D249" s="18" t="str">
        <f>IFERROR(VLOOKUP(C249,[8]Sheet2!$C$1:$F$1223,3,0),"")</f>
        <v/>
      </c>
      <c r="E249" s="18" t="str">
        <f>IFERROR(VLOOKUP(C249,[8]Sheet2!$C$1:$F$1223,4,0),"")</f>
        <v/>
      </c>
    </row>
    <row r="250" spans="2:5">
      <c r="B250" s="17" t="str">
        <f>IFERROR(VLOOKUP(C250,[8]Sheet2!$C$3:$F$1223,2,0),"")</f>
        <v/>
      </c>
      <c r="D250" s="18" t="str">
        <f>IFERROR(VLOOKUP(C250,[8]Sheet2!$C$1:$F$1223,3,0),"")</f>
        <v/>
      </c>
      <c r="E250" s="18" t="str">
        <f>IFERROR(VLOOKUP(C250,[8]Sheet2!$C$1:$F$1223,4,0),"")</f>
        <v/>
      </c>
    </row>
    <row r="251" spans="2:5">
      <c r="B251" s="17" t="str">
        <f>IFERROR(VLOOKUP(C251,[8]Sheet2!$C$3:$F$1223,2,0),"")</f>
        <v/>
      </c>
      <c r="D251" s="18" t="str">
        <f>IFERROR(VLOOKUP(C251,[8]Sheet2!$C$1:$F$1223,3,0),"")</f>
        <v/>
      </c>
      <c r="E251" s="18" t="str">
        <f>IFERROR(VLOOKUP(C251,[8]Sheet2!$C$1:$F$1223,4,0),"")</f>
        <v/>
      </c>
    </row>
    <row r="252" spans="2:5">
      <c r="B252" s="17" t="str">
        <f>IFERROR(VLOOKUP(C252,[8]Sheet2!$C$3:$F$1223,2,0),"")</f>
        <v/>
      </c>
      <c r="D252" s="18" t="str">
        <f>IFERROR(VLOOKUP(C252,[8]Sheet2!$C$1:$F$1223,3,0),"")</f>
        <v/>
      </c>
      <c r="E252" s="18" t="str">
        <f>IFERROR(VLOOKUP(C252,[8]Sheet2!$C$1:$F$1223,4,0),"")</f>
        <v/>
      </c>
    </row>
    <row r="253" spans="2:5">
      <c r="B253" s="17" t="str">
        <f>IFERROR(VLOOKUP(C253,[8]Sheet2!$C$3:$F$1223,2,0),"")</f>
        <v/>
      </c>
      <c r="D253" s="18" t="str">
        <f>IFERROR(VLOOKUP(C253,[8]Sheet2!$C$1:$F$1223,3,0),"")</f>
        <v/>
      </c>
      <c r="E253" s="18" t="str">
        <f>IFERROR(VLOOKUP(C253,[8]Sheet2!$C$1:$F$1223,4,0),"")</f>
        <v/>
      </c>
    </row>
    <row r="254" spans="2:5">
      <c r="B254" s="17" t="str">
        <f>IFERROR(VLOOKUP(C254,[8]Sheet2!$C$3:$F$1223,2,0),"")</f>
        <v/>
      </c>
      <c r="D254" s="18" t="str">
        <f>IFERROR(VLOOKUP(C254,[8]Sheet2!$C$1:$F$1223,3,0),"")</f>
        <v/>
      </c>
      <c r="E254" s="18" t="str">
        <f>IFERROR(VLOOKUP(C254,[8]Sheet2!$C$1:$F$1223,4,0),"")</f>
        <v/>
      </c>
    </row>
    <row r="255" spans="2:5">
      <c r="B255" s="17" t="str">
        <f>IFERROR(VLOOKUP(C255,[8]Sheet2!$C$3:$F$1223,2,0),"")</f>
        <v/>
      </c>
      <c r="D255" s="18" t="str">
        <f>IFERROR(VLOOKUP(C255,[8]Sheet2!$C$1:$F$1223,3,0),"")</f>
        <v/>
      </c>
      <c r="E255" s="18" t="str">
        <f>IFERROR(VLOOKUP(C255,[8]Sheet2!$C$1:$F$1223,4,0),"")</f>
        <v/>
      </c>
    </row>
    <row r="256" spans="2:5">
      <c r="B256" s="17" t="str">
        <f>IFERROR(VLOOKUP(C256,[8]Sheet2!$C$3:$F$1223,2,0),"")</f>
        <v/>
      </c>
      <c r="D256" s="18" t="str">
        <f>IFERROR(VLOOKUP(C256,[8]Sheet2!$C$1:$F$1223,3,0),"")</f>
        <v/>
      </c>
      <c r="E256" s="18" t="str">
        <f>IFERROR(VLOOKUP(C256,[8]Sheet2!$C$1:$F$1223,4,0),"")</f>
        <v/>
      </c>
    </row>
    <row r="257" spans="2:5">
      <c r="B257" s="17" t="str">
        <f>IFERROR(VLOOKUP(C257,[8]Sheet2!$C$3:$F$1223,2,0),"")</f>
        <v/>
      </c>
      <c r="D257" s="18" t="str">
        <f>IFERROR(VLOOKUP(C257,[8]Sheet2!$C$1:$F$1223,3,0),"")</f>
        <v/>
      </c>
      <c r="E257" s="18" t="str">
        <f>IFERROR(VLOOKUP(C257,[8]Sheet2!$C$1:$F$1223,4,0),"")</f>
        <v/>
      </c>
    </row>
    <row r="258" spans="2:5">
      <c r="B258" s="17" t="str">
        <f>IFERROR(VLOOKUP(C258,[8]Sheet2!$C$3:$F$1223,2,0),"")</f>
        <v/>
      </c>
      <c r="D258" s="18" t="str">
        <f>IFERROR(VLOOKUP(C258,[8]Sheet2!$C$1:$F$1223,3,0),"")</f>
        <v/>
      </c>
      <c r="E258" s="18" t="str">
        <f>IFERROR(VLOOKUP(C258,[8]Sheet2!$C$1:$F$1223,4,0),"")</f>
        <v/>
      </c>
    </row>
    <row r="259" spans="2:5">
      <c r="B259" s="17" t="str">
        <f>IFERROR(VLOOKUP(C259,[8]Sheet2!$C$3:$F$1223,2,0),"")</f>
        <v/>
      </c>
      <c r="D259" s="18" t="str">
        <f>IFERROR(VLOOKUP(C259,[8]Sheet2!$C$1:$F$1223,3,0),"")</f>
        <v/>
      </c>
      <c r="E259" s="18" t="str">
        <f>IFERROR(VLOOKUP(C259,[8]Sheet2!$C$1:$F$1223,4,0),"")</f>
        <v/>
      </c>
    </row>
    <row r="260" spans="2:5">
      <c r="B260" s="17" t="str">
        <f>IFERROR(VLOOKUP(C260,[8]Sheet2!$C$3:$F$1223,2,0),"")</f>
        <v/>
      </c>
      <c r="D260" s="18" t="str">
        <f>IFERROR(VLOOKUP(C260,[8]Sheet2!$C$1:$F$1223,3,0),"")</f>
        <v/>
      </c>
      <c r="E260" s="18" t="str">
        <f>IFERROR(VLOOKUP(C260,[8]Sheet2!$C$1:$F$1223,4,0),"")</f>
        <v/>
      </c>
    </row>
    <row r="261" spans="2:5">
      <c r="B261" s="17" t="str">
        <f>IFERROR(VLOOKUP(C261,[8]Sheet2!$C$3:$F$1223,2,0),"")</f>
        <v/>
      </c>
      <c r="D261" s="18" t="str">
        <f>IFERROR(VLOOKUP(C261,[8]Sheet2!$C$1:$F$1223,3,0),"")</f>
        <v/>
      </c>
      <c r="E261" s="18" t="str">
        <f>IFERROR(VLOOKUP(C261,[8]Sheet2!$C$1:$F$1223,4,0),"")</f>
        <v/>
      </c>
    </row>
    <row r="262" spans="2:5">
      <c r="B262" s="17" t="str">
        <f>IFERROR(VLOOKUP(C262,[8]Sheet2!$C$3:$F$1223,2,0),"")</f>
        <v/>
      </c>
      <c r="D262" s="18" t="str">
        <f>IFERROR(VLOOKUP(C262,[8]Sheet2!$C$1:$F$1223,3,0),"")</f>
        <v/>
      </c>
      <c r="E262" s="18" t="str">
        <f>IFERROR(VLOOKUP(C262,[8]Sheet2!$C$1:$F$1223,4,0),"")</f>
        <v/>
      </c>
    </row>
    <row r="263" spans="2:5">
      <c r="B263" s="17" t="str">
        <f>IFERROR(VLOOKUP(C263,[8]Sheet2!$C$3:$F$1223,2,0),"")</f>
        <v/>
      </c>
      <c r="D263" s="18" t="str">
        <f>IFERROR(VLOOKUP(C263,[8]Sheet2!$C$1:$F$1223,3,0),"")</f>
        <v/>
      </c>
      <c r="E263" s="18" t="str">
        <f>IFERROR(VLOOKUP(C263,[8]Sheet2!$C$1:$F$1223,4,0),"")</f>
        <v/>
      </c>
    </row>
    <row r="264" spans="2:5">
      <c r="B264" s="17" t="str">
        <f>IFERROR(VLOOKUP(C264,[8]Sheet2!$C$3:$F$1223,2,0),"")</f>
        <v/>
      </c>
      <c r="D264" s="18" t="str">
        <f>IFERROR(VLOOKUP(C264,[8]Sheet2!$C$1:$F$1223,3,0),"")</f>
        <v/>
      </c>
      <c r="E264" s="18" t="str">
        <f>IFERROR(VLOOKUP(C264,[8]Sheet2!$C$1:$F$1223,4,0),"")</f>
        <v/>
      </c>
    </row>
    <row r="265" spans="2:5">
      <c r="B265" s="17" t="str">
        <f>IFERROR(VLOOKUP(C265,[8]Sheet2!$C$3:$F$1223,2,0),"")</f>
        <v/>
      </c>
      <c r="D265" s="18" t="str">
        <f>IFERROR(VLOOKUP(C265,[8]Sheet2!$C$1:$F$1223,3,0),"")</f>
        <v/>
      </c>
      <c r="E265" s="18" t="str">
        <f>IFERROR(VLOOKUP(C265,[8]Sheet2!$C$1:$F$1223,4,0),"")</f>
        <v/>
      </c>
    </row>
    <row r="266" spans="2:5">
      <c r="B266" s="17" t="str">
        <f>IFERROR(VLOOKUP(C266,[8]Sheet2!$C$3:$F$1223,2,0),"")</f>
        <v/>
      </c>
      <c r="D266" s="18" t="str">
        <f>IFERROR(VLOOKUP(C266,[8]Sheet2!$C$1:$F$1223,3,0),"")</f>
        <v/>
      </c>
      <c r="E266" s="18" t="str">
        <f>IFERROR(VLOOKUP(C266,[8]Sheet2!$C$1:$F$1223,4,0),"")</f>
        <v/>
      </c>
    </row>
    <row r="267" spans="2:5">
      <c r="B267" s="17" t="str">
        <f>IFERROR(VLOOKUP(C267,[8]Sheet2!$C$3:$F$1223,2,0),"")</f>
        <v/>
      </c>
      <c r="D267" s="18" t="str">
        <f>IFERROR(VLOOKUP(C267,[8]Sheet2!$C$1:$F$1223,3,0),"")</f>
        <v/>
      </c>
      <c r="E267" s="18" t="str">
        <f>IFERROR(VLOOKUP(C267,[8]Sheet2!$C$1:$F$1223,4,0),"")</f>
        <v/>
      </c>
    </row>
    <row r="268" spans="2:5">
      <c r="B268" s="17" t="str">
        <f>IFERROR(VLOOKUP(C268,[8]Sheet2!$C$3:$F$1223,2,0),"")</f>
        <v/>
      </c>
      <c r="D268" s="18" t="str">
        <f>IFERROR(VLOOKUP(C268,[8]Sheet2!$C$1:$F$1223,3,0),"")</f>
        <v/>
      </c>
      <c r="E268" s="18" t="str">
        <f>IFERROR(VLOOKUP(C268,[8]Sheet2!$C$1:$F$1223,4,0),"")</f>
        <v/>
      </c>
    </row>
    <row r="269" spans="2:5">
      <c r="B269" s="17" t="str">
        <f>IFERROR(VLOOKUP(C269,[8]Sheet2!$C$3:$F$1223,2,0),"")</f>
        <v/>
      </c>
      <c r="D269" s="18" t="str">
        <f>IFERROR(VLOOKUP(C269,[8]Sheet2!$C$1:$F$1223,3,0),"")</f>
        <v/>
      </c>
      <c r="E269" s="18" t="str">
        <f>IFERROR(VLOOKUP(C269,[8]Sheet2!$C$1:$F$1223,4,0),"")</f>
        <v/>
      </c>
    </row>
    <row r="270" spans="2:5">
      <c r="B270" s="17" t="str">
        <f>IFERROR(VLOOKUP(C270,[8]Sheet2!$C$3:$F$1223,2,0),"")</f>
        <v/>
      </c>
      <c r="D270" s="18" t="str">
        <f>IFERROR(VLOOKUP(C270,[8]Sheet2!$C$1:$F$1223,3,0),"")</f>
        <v/>
      </c>
      <c r="E270" s="18" t="str">
        <f>IFERROR(VLOOKUP(C270,[8]Sheet2!$C$1:$F$1223,4,0),"")</f>
        <v/>
      </c>
    </row>
    <row r="271" spans="2:5">
      <c r="B271" s="17" t="str">
        <f>IFERROR(VLOOKUP(C271,[8]Sheet2!$C$3:$F$1223,2,0),"")</f>
        <v/>
      </c>
      <c r="D271" s="18" t="str">
        <f>IFERROR(VLOOKUP(C271,[8]Sheet2!$C$1:$F$1223,3,0),"")</f>
        <v/>
      </c>
      <c r="E271" s="18" t="str">
        <f>IFERROR(VLOOKUP(C271,[8]Sheet2!$C$1:$F$1223,4,0),"")</f>
        <v/>
      </c>
    </row>
    <row r="272" spans="2:5">
      <c r="B272" s="17" t="str">
        <f>IFERROR(VLOOKUP(C272,[8]Sheet2!$C$3:$F$1223,2,0),"")</f>
        <v/>
      </c>
      <c r="D272" s="18" t="str">
        <f>IFERROR(VLOOKUP(C272,[8]Sheet2!$C$1:$F$1223,3,0),"")</f>
        <v/>
      </c>
      <c r="E272" s="18" t="str">
        <f>IFERROR(VLOOKUP(C272,[8]Sheet2!$C$1:$F$1223,4,0),"")</f>
        <v/>
      </c>
    </row>
    <row r="273" spans="2:5">
      <c r="B273" s="17" t="str">
        <f>IFERROR(VLOOKUP(C273,[8]Sheet2!$C$3:$F$1223,2,0),"")</f>
        <v/>
      </c>
      <c r="D273" s="18" t="str">
        <f>IFERROR(VLOOKUP(C273,[8]Sheet2!$C$1:$F$1223,3,0),"")</f>
        <v/>
      </c>
      <c r="E273" s="18" t="str">
        <f>IFERROR(VLOOKUP(C273,[8]Sheet2!$C$1:$F$1223,4,0),"")</f>
        <v/>
      </c>
    </row>
    <row r="274" spans="2:5">
      <c r="B274" s="17" t="str">
        <f>IFERROR(VLOOKUP(C274,[8]Sheet2!$C$3:$F$1223,2,0),"")</f>
        <v/>
      </c>
      <c r="D274" s="18" t="str">
        <f>IFERROR(VLOOKUP(C274,[8]Sheet2!$C$1:$F$1223,3,0),"")</f>
        <v/>
      </c>
      <c r="E274" s="18" t="str">
        <f>IFERROR(VLOOKUP(C274,[8]Sheet2!$C$1:$F$1223,4,0),"")</f>
        <v/>
      </c>
    </row>
    <row r="275" spans="2:5">
      <c r="B275" s="17" t="str">
        <f>IFERROR(VLOOKUP(C275,[8]Sheet2!$C$3:$F$1223,2,0),"")</f>
        <v/>
      </c>
      <c r="D275" s="18" t="str">
        <f>IFERROR(VLOOKUP(C275,[8]Sheet2!$C$1:$F$1223,3,0),"")</f>
        <v/>
      </c>
      <c r="E275" s="18" t="str">
        <f>IFERROR(VLOOKUP(C275,[8]Sheet2!$C$1:$F$1223,4,0),"")</f>
        <v/>
      </c>
    </row>
    <row r="276" spans="2:5">
      <c r="B276" s="17" t="str">
        <f>IFERROR(VLOOKUP(C276,[8]Sheet2!$C$3:$F$1223,2,0),"")</f>
        <v/>
      </c>
      <c r="D276" s="18" t="str">
        <f>IFERROR(VLOOKUP(C276,[8]Sheet2!$C$1:$F$1223,3,0),"")</f>
        <v/>
      </c>
      <c r="E276" s="18" t="str">
        <f>IFERROR(VLOOKUP(C276,[8]Sheet2!$C$1:$F$1223,4,0),"")</f>
        <v/>
      </c>
    </row>
    <row r="277" spans="2:5">
      <c r="B277" s="17" t="str">
        <f>IFERROR(VLOOKUP(C277,[8]Sheet2!$C$3:$F$1223,2,0),"")</f>
        <v/>
      </c>
      <c r="D277" s="18" t="str">
        <f>IFERROR(VLOOKUP(C277,[8]Sheet2!$C$1:$F$1223,3,0),"")</f>
        <v/>
      </c>
      <c r="E277" s="18" t="str">
        <f>IFERROR(VLOOKUP(C277,[8]Sheet2!$C$1:$F$1223,4,0),"")</f>
        <v/>
      </c>
    </row>
    <row r="278" spans="2:5">
      <c r="B278" s="17" t="str">
        <f>IFERROR(VLOOKUP(C278,[8]Sheet2!$C$3:$F$1223,2,0),"")</f>
        <v/>
      </c>
      <c r="D278" s="18" t="str">
        <f>IFERROR(VLOOKUP(C278,[8]Sheet2!$C$1:$F$1223,3,0),"")</f>
        <v/>
      </c>
      <c r="E278" s="18" t="str">
        <f>IFERROR(VLOOKUP(C278,[8]Sheet2!$C$1:$F$1223,4,0),"")</f>
        <v/>
      </c>
    </row>
    <row r="279" spans="2:5">
      <c r="B279" s="17" t="str">
        <f>IFERROR(VLOOKUP(C279,[8]Sheet2!$C$3:$F$1223,2,0),"")</f>
        <v/>
      </c>
      <c r="D279" s="18" t="str">
        <f>IFERROR(VLOOKUP(C279,[8]Sheet2!$C$1:$F$1223,3,0),"")</f>
        <v/>
      </c>
      <c r="E279" s="18" t="str">
        <f>IFERROR(VLOOKUP(C279,[8]Sheet2!$C$1:$F$1223,4,0),"")</f>
        <v/>
      </c>
    </row>
    <row r="280" spans="2:5">
      <c r="B280" s="17" t="str">
        <f>IFERROR(VLOOKUP(C280,[8]Sheet2!$C$3:$F$1223,2,0),"")</f>
        <v/>
      </c>
      <c r="D280" s="18" t="str">
        <f>IFERROR(VLOOKUP(C280,[8]Sheet2!$C$1:$F$1223,3,0),"")</f>
        <v/>
      </c>
      <c r="E280" s="18" t="str">
        <f>IFERROR(VLOOKUP(C280,[8]Sheet2!$C$1:$F$1223,4,0),"")</f>
        <v/>
      </c>
    </row>
    <row r="281" spans="2:5">
      <c r="B281" s="17" t="str">
        <f>IFERROR(VLOOKUP(C281,[8]Sheet2!$C$3:$F$1223,2,0),"")</f>
        <v/>
      </c>
      <c r="D281" s="18" t="str">
        <f>IFERROR(VLOOKUP(C281,[8]Sheet2!$C$1:$F$1223,3,0),"")</f>
        <v/>
      </c>
      <c r="E281" s="18" t="str">
        <f>IFERROR(VLOOKUP(C281,[8]Sheet2!$C$1:$F$1223,4,0),"")</f>
        <v/>
      </c>
    </row>
    <row r="282" spans="2:5">
      <c r="B282" s="17" t="str">
        <f>IFERROR(VLOOKUP(C282,[8]Sheet2!$C$3:$F$1223,2,0),"")</f>
        <v/>
      </c>
      <c r="D282" s="18" t="str">
        <f>IFERROR(VLOOKUP(C282,[8]Sheet2!$C$1:$F$1223,3,0),"")</f>
        <v/>
      </c>
      <c r="E282" s="18" t="str">
        <f>IFERROR(VLOOKUP(C282,[8]Sheet2!$C$1:$F$1223,4,0),"")</f>
        <v/>
      </c>
    </row>
    <row r="283" spans="2:5">
      <c r="B283" s="17" t="str">
        <f>IFERROR(VLOOKUP(C283,[8]Sheet2!$C$3:$F$1223,2,0),"")</f>
        <v/>
      </c>
      <c r="D283" s="18" t="str">
        <f>IFERROR(VLOOKUP(C283,[8]Sheet2!$C$1:$F$1223,3,0),"")</f>
        <v/>
      </c>
      <c r="E283" s="18" t="str">
        <f>IFERROR(VLOOKUP(C283,[8]Sheet2!$C$1:$F$1223,4,0),"")</f>
        <v/>
      </c>
    </row>
    <row r="284" spans="2:5">
      <c r="B284" s="17" t="str">
        <f>IFERROR(VLOOKUP(C284,[8]Sheet2!$C$3:$F$1223,2,0),"")</f>
        <v/>
      </c>
      <c r="D284" s="18" t="str">
        <f>IFERROR(VLOOKUP(C284,[8]Sheet2!$C$1:$F$1223,3,0),"")</f>
        <v/>
      </c>
      <c r="E284" s="18" t="str">
        <f>IFERROR(VLOOKUP(C284,[8]Sheet2!$C$1:$F$1223,4,0),"")</f>
        <v/>
      </c>
    </row>
    <row r="285" spans="2:5">
      <c r="B285" s="17" t="str">
        <f>IFERROR(VLOOKUP(C285,[8]Sheet2!$C$3:$F$1223,2,0),"")</f>
        <v/>
      </c>
      <c r="D285" s="18" t="str">
        <f>IFERROR(VLOOKUP(C285,[8]Sheet2!$C$1:$F$1223,3,0),"")</f>
        <v/>
      </c>
      <c r="E285" s="18" t="str">
        <f>IFERROR(VLOOKUP(C285,[8]Sheet2!$C$1:$F$1223,4,0),"")</f>
        <v/>
      </c>
    </row>
    <row r="286" spans="2:5">
      <c r="B286" s="17" t="str">
        <f>IFERROR(VLOOKUP(C286,[8]Sheet2!$C$3:$F$1223,2,0),"")</f>
        <v/>
      </c>
      <c r="D286" s="18" t="str">
        <f>IFERROR(VLOOKUP(C286,[8]Sheet2!$C$1:$F$1223,3,0),"")</f>
        <v/>
      </c>
      <c r="E286" s="18" t="str">
        <f>IFERROR(VLOOKUP(C286,[8]Sheet2!$C$1:$F$1223,4,0),"")</f>
        <v/>
      </c>
    </row>
    <row r="287" spans="2:5">
      <c r="B287" s="17" t="str">
        <f>IFERROR(VLOOKUP(C287,[8]Sheet2!$C$3:$F$1223,2,0),"")</f>
        <v/>
      </c>
      <c r="D287" s="18" t="str">
        <f>IFERROR(VLOOKUP(C287,[8]Sheet2!$C$1:$F$1223,3,0),"")</f>
        <v/>
      </c>
      <c r="E287" s="18" t="str">
        <f>IFERROR(VLOOKUP(C287,[8]Sheet2!$C$1:$F$1223,4,0),"")</f>
        <v/>
      </c>
    </row>
    <row r="288" spans="2:5">
      <c r="B288" s="17" t="str">
        <f>IFERROR(VLOOKUP(C288,[8]Sheet2!$C$3:$F$1223,2,0),"")</f>
        <v/>
      </c>
      <c r="D288" s="18" t="str">
        <f>IFERROR(VLOOKUP(C288,[8]Sheet2!$C$1:$F$1223,3,0),"")</f>
        <v/>
      </c>
      <c r="E288" s="18" t="str">
        <f>IFERROR(VLOOKUP(C288,[8]Sheet2!$C$1:$F$1223,4,0),"")</f>
        <v/>
      </c>
    </row>
    <row r="289" spans="2:5">
      <c r="B289" s="17" t="str">
        <f>IFERROR(VLOOKUP(C289,[8]Sheet2!$C$3:$F$1223,2,0),"")</f>
        <v/>
      </c>
      <c r="D289" s="18" t="str">
        <f>IFERROR(VLOOKUP(C289,[8]Sheet2!$C$1:$F$1223,3,0),"")</f>
        <v/>
      </c>
      <c r="E289" s="18" t="str">
        <f>IFERROR(VLOOKUP(C289,[8]Sheet2!$C$1:$F$1223,4,0),"")</f>
        <v/>
      </c>
    </row>
    <row r="290" spans="2:5">
      <c r="B290" s="17" t="str">
        <f>IFERROR(VLOOKUP(C290,[8]Sheet2!$C$3:$F$1223,2,0),"")</f>
        <v/>
      </c>
      <c r="D290" s="18" t="str">
        <f>IFERROR(VLOOKUP(C290,[8]Sheet2!$C$1:$F$1223,3,0),"")</f>
        <v/>
      </c>
      <c r="E290" s="18" t="str">
        <f>IFERROR(VLOOKUP(C290,[8]Sheet2!$C$1:$F$1223,4,0),"")</f>
        <v/>
      </c>
    </row>
    <row r="291" spans="2:5">
      <c r="B291" s="17" t="str">
        <f>IFERROR(VLOOKUP(C291,[8]Sheet2!$C$3:$F$1223,2,0),"")</f>
        <v/>
      </c>
      <c r="D291" s="18" t="str">
        <f>IFERROR(VLOOKUP(C291,[8]Sheet2!$C$1:$F$1223,3,0),"")</f>
        <v/>
      </c>
      <c r="E291" s="18" t="str">
        <f>IFERROR(VLOOKUP(C291,[8]Sheet2!$C$1:$F$1223,4,0),"")</f>
        <v/>
      </c>
    </row>
    <row r="292" spans="2:5">
      <c r="B292" s="17" t="str">
        <f>IFERROR(VLOOKUP(C292,[8]Sheet2!$C$3:$F$1223,2,0),"")</f>
        <v/>
      </c>
      <c r="D292" s="18" t="str">
        <f>IFERROR(VLOOKUP(C292,[8]Sheet2!$C$1:$F$1223,3,0),"")</f>
        <v/>
      </c>
      <c r="E292" s="18" t="str">
        <f>IFERROR(VLOOKUP(C292,[8]Sheet2!$C$1:$F$1223,4,0),"")</f>
        <v/>
      </c>
    </row>
    <row r="293" spans="2:5">
      <c r="B293" s="17" t="str">
        <f>IFERROR(VLOOKUP(C293,[8]Sheet2!$C$3:$F$1223,2,0),"")</f>
        <v/>
      </c>
      <c r="D293" s="18" t="str">
        <f>IFERROR(VLOOKUP(C293,[8]Sheet2!$C$1:$F$1223,3,0),"")</f>
        <v/>
      </c>
      <c r="E293" s="18" t="str">
        <f>IFERROR(VLOOKUP(C293,[8]Sheet2!$C$1:$F$1223,4,0),"")</f>
        <v/>
      </c>
    </row>
    <row r="294" spans="2:5">
      <c r="B294" s="17" t="str">
        <f>IFERROR(VLOOKUP(C294,[8]Sheet2!$C$3:$F$1223,2,0),"")</f>
        <v/>
      </c>
      <c r="D294" s="18" t="str">
        <f>IFERROR(VLOOKUP(C294,[8]Sheet2!$C$1:$F$1223,3,0),"")</f>
        <v/>
      </c>
      <c r="E294" s="18" t="str">
        <f>IFERROR(VLOOKUP(C294,[8]Sheet2!$C$1:$F$1223,4,0),"")</f>
        <v/>
      </c>
    </row>
    <row r="295" spans="2:5">
      <c r="B295" s="17" t="str">
        <f>IFERROR(VLOOKUP(C295,[8]Sheet2!$C$3:$F$1223,2,0),"")</f>
        <v/>
      </c>
      <c r="D295" s="18" t="str">
        <f>IFERROR(VLOOKUP(C295,[8]Sheet2!$C$1:$F$1223,3,0),"")</f>
        <v/>
      </c>
      <c r="E295" s="18" t="str">
        <f>IFERROR(VLOOKUP(C295,[8]Sheet2!$C$1:$F$1223,4,0),"")</f>
        <v/>
      </c>
    </row>
    <row r="296" spans="2:5">
      <c r="B296" s="17" t="str">
        <f>IFERROR(VLOOKUP(C296,[8]Sheet2!$C$3:$F$1223,2,0),"")</f>
        <v/>
      </c>
      <c r="D296" s="18" t="str">
        <f>IFERROR(VLOOKUP(C296,[8]Sheet2!$C$1:$F$1223,3,0),"")</f>
        <v/>
      </c>
      <c r="E296" s="18" t="str">
        <f>IFERROR(VLOOKUP(C296,[8]Sheet2!$C$1:$F$1223,4,0),"")</f>
        <v/>
      </c>
    </row>
    <row r="297" spans="2:5">
      <c r="B297" s="17" t="str">
        <f>IFERROR(VLOOKUP(C297,[8]Sheet2!$C$3:$F$1223,2,0),"")</f>
        <v/>
      </c>
      <c r="D297" s="18" t="str">
        <f>IFERROR(VLOOKUP(C297,[8]Sheet2!$C$1:$F$1223,3,0),"")</f>
        <v/>
      </c>
      <c r="E297" s="18" t="str">
        <f>IFERROR(VLOOKUP(C297,[8]Sheet2!$C$1:$F$1223,4,0),"")</f>
        <v/>
      </c>
    </row>
    <row r="298" spans="2:5">
      <c r="B298" s="17" t="str">
        <f>IFERROR(VLOOKUP(C298,[8]Sheet2!$C$3:$F$1223,2,0),"")</f>
        <v/>
      </c>
      <c r="D298" s="18" t="str">
        <f>IFERROR(VLOOKUP(C298,[8]Sheet2!$C$1:$F$1223,3,0),"")</f>
        <v/>
      </c>
      <c r="E298" s="18" t="str">
        <f>IFERROR(VLOOKUP(C298,[8]Sheet2!$C$1:$F$1223,4,0),"")</f>
        <v/>
      </c>
    </row>
    <row r="299" spans="2:5">
      <c r="B299" s="17" t="str">
        <f>IFERROR(VLOOKUP(C299,[8]Sheet2!$C$3:$F$1223,2,0),"")</f>
        <v/>
      </c>
      <c r="D299" s="18" t="str">
        <f>IFERROR(VLOOKUP(C299,[8]Sheet2!$C$1:$F$1223,3,0),"")</f>
        <v/>
      </c>
      <c r="E299" s="18" t="str">
        <f>IFERROR(VLOOKUP(C299,[8]Sheet2!$C$1:$F$1223,4,0),"")</f>
        <v/>
      </c>
    </row>
    <row r="300" spans="2:5">
      <c r="B300" s="17" t="str">
        <f>IFERROR(VLOOKUP(C300,[8]Sheet2!$C$3:$F$1223,2,0),"")</f>
        <v/>
      </c>
      <c r="D300" s="18" t="str">
        <f>IFERROR(VLOOKUP(C300,[8]Sheet2!$C$1:$F$1223,3,0),"")</f>
        <v/>
      </c>
      <c r="E300" s="18" t="str">
        <f>IFERROR(VLOOKUP(C300,[8]Sheet2!$C$1:$F$1223,4,0),"")</f>
        <v/>
      </c>
    </row>
    <row r="301" spans="2:5">
      <c r="B301" s="17" t="str">
        <f>IFERROR(VLOOKUP(C301,[8]Sheet2!$C$3:$F$1223,2,0),"")</f>
        <v/>
      </c>
      <c r="D301" s="18" t="str">
        <f>IFERROR(VLOOKUP(C301,[8]Sheet2!$C$1:$F$1223,3,0),"")</f>
        <v/>
      </c>
      <c r="E301" s="18" t="str">
        <f>IFERROR(VLOOKUP(C301,[8]Sheet2!$C$1:$F$1223,4,0),"")</f>
        <v/>
      </c>
    </row>
    <row r="302" spans="2:5">
      <c r="B302" s="17" t="str">
        <f>IFERROR(VLOOKUP(C302,[8]Sheet2!$C$3:$F$1223,2,0),"")</f>
        <v/>
      </c>
      <c r="D302" s="18" t="str">
        <f>IFERROR(VLOOKUP(C302,[8]Sheet2!$C$1:$F$1223,3,0),"")</f>
        <v/>
      </c>
      <c r="E302" s="18" t="str">
        <f>IFERROR(VLOOKUP(C302,[8]Sheet2!$C$1:$F$1223,4,0),"")</f>
        <v/>
      </c>
    </row>
    <row r="303" spans="2:5">
      <c r="B303" s="17" t="str">
        <f>IFERROR(VLOOKUP(C303,[8]Sheet2!$C$3:$F$1223,2,0),"")</f>
        <v/>
      </c>
      <c r="D303" s="18" t="str">
        <f>IFERROR(VLOOKUP(C303,[8]Sheet2!$C$1:$F$1223,3,0),"")</f>
        <v/>
      </c>
      <c r="E303" s="18" t="str">
        <f>IFERROR(VLOOKUP(C303,[8]Sheet2!$C$1:$F$1223,4,0),"")</f>
        <v/>
      </c>
    </row>
    <row r="304" spans="2:5">
      <c r="B304" s="17" t="str">
        <f>IFERROR(VLOOKUP(C304,[8]Sheet2!$C$3:$F$1223,2,0),"")</f>
        <v/>
      </c>
      <c r="D304" s="18" t="str">
        <f>IFERROR(VLOOKUP(C304,[8]Sheet2!$C$1:$F$1223,3,0),"")</f>
        <v/>
      </c>
      <c r="E304" s="18" t="str">
        <f>IFERROR(VLOOKUP(C304,[8]Sheet2!$C$1:$F$1223,4,0),"")</f>
        <v/>
      </c>
    </row>
    <row r="305" spans="2:5">
      <c r="B305" s="17" t="str">
        <f>IFERROR(VLOOKUP(C305,[8]Sheet2!$C$3:$F$1223,2,0),"")</f>
        <v/>
      </c>
      <c r="D305" s="18" t="str">
        <f>IFERROR(VLOOKUP(C305,[8]Sheet2!$C$1:$F$1223,3,0),"")</f>
        <v/>
      </c>
      <c r="E305" s="18" t="str">
        <f>IFERROR(VLOOKUP(C305,[8]Sheet2!$C$1:$F$1223,4,0),"")</f>
        <v/>
      </c>
    </row>
    <row r="306" spans="2:5">
      <c r="B306" s="17" t="str">
        <f>IFERROR(VLOOKUP(C306,[8]Sheet2!$C$3:$F$1223,2,0),"")</f>
        <v/>
      </c>
      <c r="D306" s="18" t="str">
        <f>IFERROR(VLOOKUP(C306,[8]Sheet2!$C$1:$F$1223,3,0),"")</f>
        <v/>
      </c>
      <c r="E306" s="18" t="str">
        <f>IFERROR(VLOOKUP(C306,[8]Sheet2!$C$1:$F$1223,4,0),"")</f>
        <v/>
      </c>
    </row>
    <row r="307" spans="2:5">
      <c r="B307" s="17" t="str">
        <f>IFERROR(VLOOKUP(C307,[8]Sheet2!$C$3:$F$1223,2,0),"")</f>
        <v/>
      </c>
      <c r="D307" s="18" t="str">
        <f>IFERROR(VLOOKUP(C307,[8]Sheet2!$C$1:$F$1223,3,0),"")</f>
        <v/>
      </c>
      <c r="E307" s="18" t="str">
        <f>IFERROR(VLOOKUP(C307,[8]Sheet2!$C$1:$F$1223,4,0),"")</f>
        <v/>
      </c>
    </row>
    <row r="308" spans="2:5">
      <c r="B308" s="17" t="str">
        <f>IFERROR(VLOOKUP(C308,[8]Sheet2!$C$3:$F$1223,2,0),"")</f>
        <v/>
      </c>
      <c r="D308" s="18" t="str">
        <f>IFERROR(VLOOKUP(C308,[8]Sheet2!$C$1:$F$1223,3,0),"")</f>
        <v/>
      </c>
      <c r="E308" s="18" t="str">
        <f>IFERROR(VLOOKUP(C308,[8]Sheet2!$C$1:$F$1223,4,0),"")</f>
        <v/>
      </c>
    </row>
    <row r="309" spans="2:5">
      <c r="B309" s="17" t="str">
        <f>IFERROR(VLOOKUP(C309,[8]Sheet2!$C$3:$F$1223,2,0),"")</f>
        <v/>
      </c>
      <c r="D309" s="18" t="str">
        <f>IFERROR(VLOOKUP(C309,[8]Sheet2!$C$1:$F$1223,3,0),"")</f>
        <v/>
      </c>
      <c r="E309" s="18" t="str">
        <f>IFERROR(VLOOKUP(C309,[8]Sheet2!$C$1:$F$1223,4,0),"")</f>
        <v/>
      </c>
    </row>
    <row r="310" spans="2:5">
      <c r="B310" s="17" t="str">
        <f>IFERROR(VLOOKUP(C310,[8]Sheet2!$C$3:$F$1223,2,0),"")</f>
        <v/>
      </c>
      <c r="D310" s="18" t="str">
        <f>IFERROR(VLOOKUP(C310,[8]Sheet2!$C$1:$F$1223,3,0),"")</f>
        <v/>
      </c>
      <c r="E310" s="18" t="str">
        <f>IFERROR(VLOOKUP(C310,[8]Sheet2!$C$1:$F$1223,4,0),"")</f>
        <v/>
      </c>
    </row>
    <row r="311" spans="2:5">
      <c r="B311" s="17" t="str">
        <f>IFERROR(VLOOKUP(C311,[8]Sheet2!$C$3:$F$1223,2,0),"")</f>
        <v/>
      </c>
      <c r="D311" s="18" t="str">
        <f>IFERROR(VLOOKUP(C311,[8]Sheet2!$C$1:$F$1223,3,0),"")</f>
        <v/>
      </c>
      <c r="E311" s="18" t="str">
        <f>IFERROR(VLOOKUP(C311,[8]Sheet2!$C$1:$F$1223,4,0),"")</f>
        <v/>
      </c>
    </row>
    <row r="312" spans="2:5">
      <c r="B312" s="17" t="str">
        <f>IFERROR(VLOOKUP(C312,[8]Sheet2!$C$3:$F$1223,2,0),"")</f>
        <v/>
      </c>
      <c r="D312" s="18" t="str">
        <f>IFERROR(VLOOKUP(C312,[8]Sheet2!$C$1:$F$1223,3,0),"")</f>
        <v/>
      </c>
      <c r="E312" s="18" t="str">
        <f>IFERROR(VLOOKUP(C312,[8]Sheet2!$C$1:$F$1223,4,0),"")</f>
        <v/>
      </c>
    </row>
    <row r="313" spans="2:5">
      <c r="B313" s="17" t="str">
        <f>IFERROR(VLOOKUP(C313,[8]Sheet2!$C$3:$F$1223,2,0),"")</f>
        <v/>
      </c>
      <c r="D313" s="18" t="str">
        <f>IFERROR(VLOOKUP(C313,[8]Sheet2!$C$1:$F$1223,3,0),"")</f>
        <v/>
      </c>
      <c r="E313" s="18" t="str">
        <f>IFERROR(VLOOKUP(C313,[8]Sheet2!$C$1:$F$1223,4,0),"")</f>
        <v/>
      </c>
    </row>
    <row r="314" spans="2:5">
      <c r="B314" s="17" t="str">
        <f>IFERROR(VLOOKUP(C314,[8]Sheet2!$C$3:$F$1223,2,0),"")</f>
        <v/>
      </c>
      <c r="D314" s="18" t="str">
        <f>IFERROR(VLOOKUP(C314,[8]Sheet2!$C$1:$F$1223,3,0),"")</f>
        <v/>
      </c>
      <c r="E314" s="18" t="str">
        <f>IFERROR(VLOOKUP(C314,[8]Sheet2!$C$1:$F$1223,4,0),"")</f>
        <v/>
      </c>
    </row>
    <row r="315" spans="2:5">
      <c r="B315" s="17" t="str">
        <f>IFERROR(VLOOKUP(C315,[8]Sheet2!$C$3:$F$1223,2,0),"")</f>
        <v/>
      </c>
      <c r="D315" s="18" t="str">
        <f>IFERROR(VLOOKUP(C315,[8]Sheet2!$C$1:$F$1223,3,0),"")</f>
        <v/>
      </c>
      <c r="E315" s="18" t="str">
        <f>IFERROR(VLOOKUP(C315,[8]Sheet2!$C$1:$F$1223,4,0),"")</f>
        <v/>
      </c>
    </row>
    <row r="316" spans="2:5">
      <c r="B316" s="17" t="str">
        <f>IFERROR(VLOOKUP(C316,[8]Sheet2!$C$3:$F$1223,2,0),"")</f>
        <v/>
      </c>
      <c r="D316" s="18" t="str">
        <f>IFERROR(VLOOKUP(C316,[8]Sheet2!$C$1:$F$1223,3,0),"")</f>
        <v/>
      </c>
      <c r="E316" s="18" t="str">
        <f>IFERROR(VLOOKUP(C316,[8]Sheet2!$C$1:$F$1223,4,0),"")</f>
        <v/>
      </c>
    </row>
    <row r="317" spans="2:5">
      <c r="B317" s="17" t="str">
        <f>IFERROR(VLOOKUP(C317,[8]Sheet2!$C$3:$F$1223,2,0),"")</f>
        <v/>
      </c>
      <c r="D317" s="18" t="str">
        <f>IFERROR(VLOOKUP(C317,[8]Sheet2!$C$1:$F$1223,3,0),"")</f>
        <v/>
      </c>
      <c r="E317" s="18" t="str">
        <f>IFERROR(VLOOKUP(C317,[8]Sheet2!$C$1:$F$1223,4,0),"")</f>
        <v/>
      </c>
    </row>
    <row r="318" spans="2:5">
      <c r="B318" s="17" t="str">
        <f>IFERROR(VLOOKUP(C318,[8]Sheet2!$C$3:$F$1223,2,0),"")</f>
        <v/>
      </c>
      <c r="D318" s="18" t="str">
        <f>IFERROR(VLOOKUP(C318,[8]Sheet2!$C$1:$F$1223,3,0),"")</f>
        <v/>
      </c>
      <c r="E318" s="18" t="str">
        <f>IFERROR(VLOOKUP(C318,[8]Sheet2!$C$1:$F$1223,4,0),"")</f>
        <v/>
      </c>
    </row>
    <row r="319" spans="2:5">
      <c r="B319" s="17" t="str">
        <f>IFERROR(VLOOKUP(C319,[8]Sheet2!$C$3:$F$1223,2,0),"")</f>
        <v/>
      </c>
      <c r="D319" s="18" t="str">
        <f>IFERROR(VLOOKUP(C319,[8]Sheet2!$C$1:$F$1223,3,0),"")</f>
        <v/>
      </c>
      <c r="E319" s="18" t="str">
        <f>IFERROR(VLOOKUP(C319,[8]Sheet2!$C$1:$F$1223,4,0),"")</f>
        <v/>
      </c>
    </row>
    <row r="320" spans="2:5">
      <c r="B320" s="17" t="str">
        <f>IFERROR(VLOOKUP(C320,[8]Sheet2!$C$3:$F$1223,2,0),"")</f>
        <v/>
      </c>
      <c r="D320" s="18" t="str">
        <f>IFERROR(VLOOKUP(C320,[8]Sheet2!$C$1:$F$1223,3,0),"")</f>
        <v/>
      </c>
      <c r="E320" s="18" t="str">
        <f>IFERROR(VLOOKUP(C320,[8]Sheet2!$C$1:$F$1223,4,0),"")</f>
        <v/>
      </c>
    </row>
    <row r="321" spans="2:5">
      <c r="B321" s="17" t="str">
        <f>IFERROR(VLOOKUP(C321,[8]Sheet2!$C$3:$F$1223,2,0),"")</f>
        <v/>
      </c>
      <c r="D321" s="18" t="str">
        <f>IFERROR(VLOOKUP(C321,[8]Sheet2!$C$1:$F$1223,3,0),"")</f>
        <v/>
      </c>
      <c r="E321" s="18" t="str">
        <f>IFERROR(VLOOKUP(C321,[8]Sheet2!$C$1:$F$1223,4,0),"")</f>
        <v/>
      </c>
    </row>
    <row r="322" spans="2:5">
      <c r="B322" s="17" t="str">
        <f>IFERROR(VLOOKUP(C322,[8]Sheet2!$C$3:$F$1223,2,0),"")</f>
        <v/>
      </c>
      <c r="D322" s="18" t="str">
        <f>IFERROR(VLOOKUP(C322,[8]Sheet2!$C$1:$F$1223,3,0),"")</f>
        <v/>
      </c>
      <c r="E322" s="18" t="str">
        <f>IFERROR(VLOOKUP(C322,[8]Sheet2!$C$1:$F$1223,4,0),"")</f>
        <v/>
      </c>
    </row>
    <row r="323" spans="2:5">
      <c r="B323" s="17" t="str">
        <f>IFERROR(VLOOKUP(C323,[8]Sheet2!$C$3:$F$1223,2,0),"")</f>
        <v/>
      </c>
      <c r="D323" s="18" t="str">
        <f>IFERROR(VLOOKUP(C323,[8]Sheet2!$C$1:$F$1223,3,0),"")</f>
        <v/>
      </c>
      <c r="E323" s="18" t="str">
        <f>IFERROR(VLOOKUP(C323,[8]Sheet2!$C$1:$F$1223,4,0),"")</f>
        <v/>
      </c>
    </row>
    <row r="324" spans="2:5">
      <c r="B324" s="17" t="str">
        <f>IFERROR(VLOOKUP(C324,[8]Sheet2!$C$3:$F$1223,2,0),"")</f>
        <v/>
      </c>
      <c r="D324" s="18" t="str">
        <f>IFERROR(VLOOKUP(C324,[8]Sheet2!$C$1:$F$1223,3,0),"")</f>
        <v/>
      </c>
      <c r="E324" s="18" t="str">
        <f>IFERROR(VLOOKUP(C324,[8]Sheet2!$C$1:$F$1223,4,0),"")</f>
        <v/>
      </c>
    </row>
    <row r="325" spans="2:5">
      <c r="B325" s="17" t="str">
        <f>IFERROR(VLOOKUP(C325,[8]Sheet2!$C$3:$F$1223,2,0),"")</f>
        <v/>
      </c>
      <c r="D325" s="18" t="str">
        <f>IFERROR(VLOOKUP(C325,[8]Sheet2!$C$1:$F$1223,3,0),"")</f>
        <v/>
      </c>
      <c r="E325" s="18" t="str">
        <f>IFERROR(VLOOKUP(C325,[8]Sheet2!$C$1:$F$1223,4,0),"")</f>
        <v/>
      </c>
    </row>
    <row r="326" spans="2:5">
      <c r="B326" s="17" t="str">
        <f>IFERROR(VLOOKUP(C326,[8]Sheet2!$C$3:$F$1223,2,0),"")</f>
        <v/>
      </c>
      <c r="D326" s="18" t="str">
        <f>IFERROR(VLOOKUP(C326,[8]Sheet2!$C$1:$F$1223,3,0),"")</f>
        <v/>
      </c>
      <c r="E326" s="18" t="str">
        <f>IFERROR(VLOOKUP(C326,[8]Sheet2!$C$1:$F$1223,4,0),"")</f>
        <v/>
      </c>
    </row>
    <row r="327" spans="2:5">
      <c r="B327" s="17" t="str">
        <f>IFERROR(VLOOKUP(C327,[8]Sheet2!$C$3:$F$1223,2,0),"")</f>
        <v/>
      </c>
      <c r="D327" s="18" t="str">
        <f>IFERROR(VLOOKUP(C327,[8]Sheet2!$C$1:$F$1223,3,0),"")</f>
        <v/>
      </c>
      <c r="E327" s="18" t="str">
        <f>IFERROR(VLOOKUP(C327,[8]Sheet2!$C$1:$F$1223,4,0),"")</f>
        <v/>
      </c>
    </row>
    <row r="328" spans="2:5">
      <c r="B328" s="17" t="str">
        <f>IFERROR(VLOOKUP(C328,[8]Sheet2!$C$3:$F$1223,2,0),"")</f>
        <v/>
      </c>
      <c r="D328" s="18" t="str">
        <f>IFERROR(VLOOKUP(C328,[8]Sheet2!$C$1:$F$1223,3,0),"")</f>
        <v/>
      </c>
      <c r="E328" s="18" t="str">
        <f>IFERROR(VLOOKUP(C328,[8]Sheet2!$C$1:$F$1223,4,0),"")</f>
        <v/>
      </c>
    </row>
    <row r="329" spans="2:5">
      <c r="B329" s="17" t="str">
        <f>IFERROR(VLOOKUP(C329,[8]Sheet2!$C$3:$F$1223,2,0),"")</f>
        <v/>
      </c>
      <c r="D329" s="18" t="str">
        <f>IFERROR(VLOOKUP(C329,[8]Sheet2!$C$1:$F$1223,3,0),"")</f>
        <v/>
      </c>
      <c r="E329" s="18" t="str">
        <f>IFERROR(VLOOKUP(C329,[8]Sheet2!$C$1:$F$1223,4,0),"")</f>
        <v/>
      </c>
    </row>
    <row r="330" spans="2:5">
      <c r="B330" s="17" t="str">
        <f>IFERROR(VLOOKUP(C330,[8]Sheet2!$C$3:$F$1223,2,0),"")</f>
        <v/>
      </c>
      <c r="D330" s="18" t="str">
        <f>IFERROR(VLOOKUP(C330,[8]Sheet2!$C$1:$F$1223,3,0),"")</f>
        <v/>
      </c>
      <c r="E330" s="18" t="str">
        <f>IFERROR(VLOOKUP(C330,[8]Sheet2!$C$1:$F$1223,4,0),"")</f>
        <v/>
      </c>
    </row>
    <row r="331" spans="2:5">
      <c r="B331" s="17" t="str">
        <f>IFERROR(VLOOKUP(C331,[8]Sheet2!$C$3:$F$1223,2,0),"")</f>
        <v/>
      </c>
      <c r="D331" s="18" t="str">
        <f>IFERROR(VLOOKUP(C331,[8]Sheet2!$C$1:$F$1223,3,0),"")</f>
        <v/>
      </c>
      <c r="E331" s="18" t="str">
        <f>IFERROR(VLOOKUP(C331,[8]Sheet2!$C$1:$F$1223,4,0),"")</f>
        <v/>
      </c>
    </row>
    <row r="332" spans="2:5">
      <c r="B332" s="17" t="str">
        <f>IFERROR(VLOOKUP(C332,[8]Sheet2!$C$3:$F$1223,2,0),"")</f>
        <v/>
      </c>
      <c r="D332" s="18" t="str">
        <f>IFERROR(VLOOKUP(C332,[8]Sheet2!$C$1:$F$1223,3,0),"")</f>
        <v/>
      </c>
      <c r="E332" s="18" t="str">
        <f>IFERROR(VLOOKUP(C332,[8]Sheet2!$C$1:$F$1223,4,0),"")</f>
        <v/>
      </c>
    </row>
    <row r="333" spans="2:5">
      <c r="B333" s="17" t="str">
        <f>IFERROR(VLOOKUP(C333,[8]Sheet2!$C$3:$F$1223,2,0),"")</f>
        <v/>
      </c>
      <c r="D333" s="18" t="str">
        <f>IFERROR(VLOOKUP(C333,[8]Sheet2!$C$1:$F$1223,3,0),"")</f>
        <v/>
      </c>
      <c r="E333" s="18" t="str">
        <f>IFERROR(VLOOKUP(C333,[8]Sheet2!$C$1:$F$1223,4,0),"")</f>
        <v/>
      </c>
    </row>
    <row r="334" spans="2:5">
      <c r="B334" s="17" t="str">
        <f>IFERROR(VLOOKUP(C334,[8]Sheet2!$C$3:$F$1223,2,0),"")</f>
        <v/>
      </c>
      <c r="D334" s="18" t="str">
        <f>IFERROR(VLOOKUP(C334,[8]Sheet2!$C$1:$F$1223,3,0),"")</f>
        <v/>
      </c>
      <c r="E334" s="18" t="str">
        <f>IFERROR(VLOOKUP(C334,[8]Sheet2!$C$1:$F$1223,4,0),"")</f>
        <v/>
      </c>
    </row>
    <row r="335" spans="2:5">
      <c r="B335" s="17" t="str">
        <f>IFERROR(VLOOKUP(C335,[8]Sheet2!$C$3:$F$1223,2,0),"")</f>
        <v/>
      </c>
      <c r="D335" s="18" t="str">
        <f>IFERROR(VLOOKUP(C335,[8]Sheet2!$C$1:$F$1223,3,0),"")</f>
        <v/>
      </c>
      <c r="E335" s="18" t="str">
        <f>IFERROR(VLOOKUP(C335,[8]Sheet2!$C$1:$F$1223,4,0),"")</f>
        <v/>
      </c>
    </row>
    <row r="336" spans="2:5">
      <c r="B336" s="17" t="str">
        <f>IFERROR(VLOOKUP(C336,[8]Sheet2!$C$3:$F$1223,2,0),"")</f>
        <v/>
      </c>
      <c r="D336" s="18" t="str">
        <f>IFERROR(VLOOKUP(C336,[8]Sheet2!$C$1:$F$1223,3,0),"")</f>
        <v/>
      </c>
      <c r="E336" s="18" t="str">
        <f>IFERROR(VLOOKUP(C336,[8]Sheet2!$C$1:$F$1223,4,0),"")</f>
        <v/>
      </c>
    </row>
    <row r="337" spans="2:5">
      <c r="B337" s="17" t="str">
        <f>IFERROR(VLOOKUP(C337,[8]Sheet2!$C$3:$F$1223,2,0),"")</f>
        <v/>
      </c>
      <c r="D337" s="18" t="str">
        <f>IFERROR(VLOOKUP(C337,[8]Sheet2!$C$1:$F$1223,3,0),"")</f>
        <v/>
      </c>
      <c r="E337" s="18" t="str">
        <f>IFERROR(VLOOKUP(C337,[8]Sheet2!$C$1:$F$1223,4,0),"")</f>
        <v/>
      </c>
    </row>
    <row r="338" spans="2:5">
      <c r="B338" s="17" t="str">
        <f>IFERROR(VLOOKUP(C338,[8]Sheet2!$C$3:$F$1223,2,0),"")</f>
        <v/>
      </c>
      <c r="D338" s="18" t="str">
        <f>IFERROR(VLOOKUP(C338,[8]Sheet2!$C$1:$F$1223,3,0),"")</f>
        <v/>
      </c>
      <c r="E338" s="18" t="str">
        <f>IFERROR(VLOOKUP(C338,[8]Sheet2!$C$1:$F$1223,4,0),"")</f>
        <v/>
      </c>
    </row>
    <row r="339" spans="2:5">
      <c r="B339" s="17" t="str">
        <f>IFERROR(VLOOKUP(C339,[8]Sheet2!$C$3:$F$1223,2,0),"")</f>
        <v/>
      </c>
      <c r="D339" s="18" t="str">
        <f>IFERROR(VLOOKUP(C339,[8]Sheet2!$C$1:$F$1223,3,0),"")</f>
        <v/>
      </c>
      <c r="E339" s="18" t="str">
        <f>IFERROR(VLOOKUP(C339,[8]Sheet2!$C$1:$F$1223,4,0),"")</f>
        <v/>
      </c>
    </row>
    <row r="340" spans="2:5">
      <c r="B340" s="17" t="str">
        <f>IFERROR(VLOOKUP(C340,[8]Sheet2!$C$3:$F$1223,2,0),"")</f>
        <v/>
      </c>
      <c r="D340" s="18" t="str">
        <f>IFERROR(VLOOKUP(C340,[8]Sheet2!$C$1:$F$1223,3,0),"")</f>
        <v/>
      </c>
      <c r="E340" s="18" t="str">
        <f>IFERROR(VLOOKUP(C340,[8]Sheet2!$C$1:$F$1223,4,0),"")</f>
        <v/>
      </c>
    </row>
    <row r="341" spans="2:5">
      <c r="B341" s="17" t="str">
        <f>IFERROR(VLOOKUP(C341,[8]Sheet2!$C$3:$F$1223,2,0),"")</f>
        <v/>
      </c>
      <c r="D341" s="18" t="str">
        <f>IFERROR(VLOOKUP(C341,[8]Sheet2!$C$1:$F$1223,3,0),"")</f>
        <v/>
      </c>
      <c r="E341" s="18" t="str">
        <f>IFERROR(VLOOKUP(C341,[8]Sheet2!$C$1:$F$1223,4,0),"")</f>
        <v/>
      </c>
    </row>
    <row r="342" spans="2:5">
      <c r="B342" s="17" t="str">
        <f>IFERROR(VLOOKUP(C342,[8]Sheet2!$C$3:$F$1223,2,0),"")</f>
        <v/>
      </c>
      <c r="D342" s="18" t="str">
        <f>IFERROR(VLOOKUP(C342,[8]Sheet2!$C$1:$F$1223,3,0),"")</f>
        <v/>
      </c>
      <c r="E342" s="18" t="str">
        <f>IFERROR(VLOOKUP(C342,[8]Sheet2!$C$1:$F$1223,4,0),"")</f>
        <v/>
      </c>
    </row>
    <row r="343" spans="2:5">
      <c r="B343" s="17" t="str">
        <f>IFERROR(VLOOKUP(C343,[8]Sheet2!$C$3:$F$1223,2,0),"")</f>
        <v/>
      </c>
      <c r="D343" s="18" t="str">
        <f>IFERROR(VLOOKUP(C343,[8]Sheet2!$C$1:$F$1223,3,0),"")</f>
        <v/>
      </c>
      <c r="E343" s="18" t="str">
        <f>IFERROR(VLOOKUP(C343,[8]Sheet2!$C$1:$F$1223,4,0),"")</f>
        <v/>
      </c>
    </row>
    <row r="344" spans="2:5">
      <c r="B344" s="17" t="str">
        <f>IFERROR(VLOOKUP(C344,[8]Sheet2!$C$3:$F$1223,2,0),"")</f>
        <v/>
      </c>
      <c r="D344" s="18" t="str">
        <f>IFERROR(VLOOKUP(C344,[8]Sheet2!$C$1:$F$1223,3,0),"")</f>
        <v/>
      </c>
      <c r="E344" s="18" t="str">
        <f>IFERROR(VLOOKUP(C344,[8]Sheet2!$C$1:$F$1223,4,0),"")</f>
        <v/>
      </c>
    </row>
    <row r="345" spans="2:5">
      <c r="B345" s="17" t="str">
        <f>IFERROR(VLOOKUP(C345,[8]Sheet2!$C$3:$F$1223,2,0),"")</f>
        <v/>
      </c>
      <c r="D345" s="18" t="str">
        <f>IFERROR(VLOOKUP(C345,[8]Sheet2!$C$1:$F$1223,3,0),"")</f>
        <v/>
      </c>
      <c r="E345" s="18" t="str">
        <f>IFERROR(VLOOKUP(C345,[8]Sheet2!$C$1:$F$1223,4,0),"")</f>
        <v/>
      </c>
    </row>
    <row r="346" spans="2:5">
      <c r="B346" s="17" t="str">
        <f>IFERROR(VLOOKUP(C346,[8]Sheet2!$C$3:$F$1223,2,0),"")</f>
        <v/>
      </c>
      <c r="D346" s="18" t="str">
        <f>IFERROR(VLOOKUP(C346,[8]Sheet2!$C$1:$F$1223,3,0),"")</f>
        <v/>
      </c>
      <c r="E346" s="18" t="str">
        <f>IFERROR(VLOOKUP(C346,[8]Sheet2!$C$1:$F$1223,4,0),"")</f>
        <v/>
      </c>
    </row>
    <row r="347" spans="2:5">
      <c r="B347" s="17" t="str">
        <f>IFERROR(VLOOKUP(C347,[8]Sheet2!$C$3:$F$1223,2,0),"")</f>
        <v/>
      </c>
      <c r="D347" s="18" t="str">
        <f>IFERROR(VLOOKUP(C347,[8]Sheet2!$C$1:$F$1223,3,0),"")</f>
        <v/>
      </c>
      <c r="E347" s="18" t="str">
        <f>IFERROR(VLOOKUP(C347,[8]Sheet2!$C$1:$F$1223,4,0),"")</f>
        <v/>
      </c>
    </row>
    <row r="348" spans="2:5">
      <c r="B348" s="17" t="str">
        <f>IFERROR(VLOOKUP(C348,[8]Sheet2!$C$3:$F$1223,2,0),"")</f>
        <v/>
      </c>
      <c r="D348" s="18" t="str">
        <f>IFERROR(VLOOKUP(C348,[8]Sheet2!$C$1:$F$1223,3,0),"")</f>
        <v/>
      </c>
      <c r="E348" s="18" t="str">
        <f>IFERROR(VLOOKUP(C348,[8]Sheet2!$C$1:$F$1223,4,0),"")</f>
        <v/>
      </c>
    </row>
    <row r="349" spans="2:5">
      <c r="B349" s="17" t="str">
        <f>IFERROR(VLOOKUP(C349,[8]Sheet2!$C$3:$F$1223,2,0),"")</f>
        <v/>
      </c>
      <c r="D349" s="18" t="str">
        <f>IFERROR(VLOOKUP(C349,[8]Sheet2!$C$1:$F$1223,3,0),"")</f>
        <v/>
      </c>
      <c r="E349" s="18" t="str">
        <f>IFERROR(VLOOKUP(C349,[8]Sheet2!$C$1:$F$1223,4,0),"")</f>
        <v/>
      </c>
    </row>
    <row r="350" spans="2:5">
      <c r="B350" s="17" t="str">
        <f>IFERROR(VLOOKUP(C350,[8]Sheet2!$C$3:$F$1223,2,0),"")</f>
        <v/>
      </c>
      <c r="D350" s="18" t="str">
        <f>IFERROR(VLOOKUP(C350,[8]Sheet2!$C$1:$F$1223,3,0),"")</f>
        <v/>
      </c>
      <c r="E350" s="18" t="str">
        <f>IFERROR(VLOOKUP(C350,[8]Sheet2!$C$1:$F$1223,4,0),"")</f>
        <v/>
      </c>
    </row>
    <row r="351" spans="2:5">
      <c r="B351" s="17" t="str">
        <f>IFERROR(VLOOKUP(C351,[8]Sheet2!$C$3:$F$1223,2,0),"")</f>
        <v/>
      </c>
      <c r="D351" s="18" t="str">
        <f>IFERROR(VLOOKUP(C351,[8]Sheet2!$C$1:$F$1223,3,0),"")</f>
        <v/>
      </c>
      <c r="E351" s="18" t="str">
        <f>IFERROR(VLOOKUP(C351,[8]Sheet2!$C$1:$F$1223,4,0),"")</f>
        <v/>
      </c>
    </row>
    <row r="352" spans="2:5">
      <c r="B352" s="17" t="str">
        <f>IFERROR(VLOOKUP(C352,[8]Sheet2!$C$3:$F$1223,2,0),"")</f>
        <v/>
      </c>
      <c r="D352" s="18" t="str">
        <f>IFERROR(VLOOKUP(C352,[8]Sheet2!$C$1:$F$1223,3,0),"")</f>
        <v/>
      </c>
      <c r="E352" s="18" t="str">
        <f>IFERROR(VLOOKUP(C352,[8]Sheet2!$C$1:$F$1223,4,0),"")</f>
        <v/>
      </c>
    </row>
    <row r="353" spans="2:5">
      <c r="B353" s="17" t="str">
        <f>IFERROR(VLOOKUP(C353,[8]Sheet2!$C$3:$F$1223,2,0),"")</f>
        <v/>
      </c>
      <c r="D353" s="18" t="str">
        <f>IFERROR(VLOOKUP(C353,[8]Sheet2!$C$1:$F$1223,3,0),"")</f>
        <v/>
      </c>
      <c r="E353" s="18" t="str">
        <f>IFERROR(VLOOKUP(C353,[8]Sheet2!$C$1:$F$1223,4,0),"")</f>
        <v/>
      </c>
    </row>
    <row r="354" spans="2:5">
      <c r="B354" s="17" t="str">
        <f>IFERROR(VLOOKUP(C354,[8]Sheet2!$C$3:$F$1223,2,0),"")</f>
        <v/>
      </c>
      <c r="D354" s="18" t="str">
        <f>IFERROR(VLOOKUP(C354,[8]Sheet2!$C$1:$F$1223,3,0),"")</f>
        <v/>
      </c>
      <c r="E354" s="18" t="str">
        <f>IFERROR(VLOOKUP(C354,[8]Sheet2!$C$1:$F$1223,4,0),"")</f>
        <v/>
      </c>
    </row>
    <row r="355" spans="2:5">
      <c r="B355" s="17" t="str">
        <f>IFERROR(VLOOKUP(C355,[8]Sheet2!$C$3:$F$1223,2,0),"")</f>
        <v/>
      </c>
      <c r="D355" s="18" t="str">
        <f>IFERROR(VLOOKUP(C355,[8]Sheet2!$C$1:$F$1223,3,0),"")</f>
        <v/>
      </c>
      <c r="E355" s="18" t="str">
        <f>IFERROR(VLOOKUP(C355,[8]Sheet2!$C$1:$F$1223,4,0),"")</f>
        <v/>
      </c>
    </row>
    <row r="356" spans="2:5">
      <c r="B356" s="17" t="str">
        <f>IFERROR(VLOOKUP(C356,[8]Sheet2!$C$3:$F$1223,2,0),"")</f>
        <v/>
      </c>
      <c r="D356" s="18" t="str">
        <f>IFERROR(VLOOKUP(C356,[8]Sheet2!$C$1:$F$1223,3,0),"")</f>
        <v/>
      </c>
      <c r="E356" s="18" t="str">
        <f>IFERROR(VLOOKUP(C356,[8]Sheet2!$C$1:$F$1223,4,0),"")</f>
        <v/>
      </c>
    </row>
    <row r="357" spans="2:5">
      <c r="B357" s="17" t="str">
        <f>IFERROR(VLOOKUP(C357,[8]Sheet2!$C$3:$F$1223,2,0),"")</f>
        <v/>
      </c>
      <c r="D357" s="18" t="str">
        <f>IFERROR(VLOOKUP(C357,[8]Sheet2!$C$1:$F$1223,3,0),"")</f>
        <v/>
      </c>
      <c r="E357" s="18" t="str">
        <f>IFERROR(VLOOKUP(C357,[8]Sheet2!$C$1:$F$1223,4,0),"")</f>
        <v/>
      </c>
    </row>
    <row r="358" spans="2:5">
      <c r="B358" s="17" t="str">
        <f>IFERROR(VLOOKUP(C358,[8]Sheet2!$C$3:$F$1223,2,0),"")</f>
        <v/>
      </c>
      <c r="D358" s="18" t="str">
        <f>IFERROR(VLOOKUP(C358,[8]Sheet2!$C$1:$F$1223,3,0),"")</f>
        <v/>
      </c>
      <c r="E358" s="18" t="str">
        <f>IFERROR(VLOOKUP(C358,[8]Sheet2!$C$1:$F$1223,4,0),"")</f>
        <v/>
      </c>
    </row>
    <row r="359" spans="2:5">
      <c r="B359" s="17" t="str">
        <f>IFERROR(VLOOKUP(C359,[8]Sheet2!$C$3:$F$1223,2,0),"")</f>
        <v/>
      </c>
      <c r="D359" s="18" t="str">
        <f>IFERROR(VLOOKUP(C359,[8]Sheet2!$C$1:$F$1223,3,0),"")</f>
        <v/>
      </c>
      <c r="E359" s="18" t="str">
        <f>IFERROR(VLOOKUP(C359,[8]Sheet2!$C$1:$F$1223,4,0),"")</f>
        <v/>
      </c>
    </row>
    <row r="360" spans="2:5">
      <c r="B360" s="17" t="str">
        <f>IFERROR(VLOOKUP(C360,[8]Sheet2!$C$3:$F$1223,2,0),"")</f>
        <v/>
      </c>
      <c r="D360" s="18" t="str">
        <f>IFERROR(VLOOKUP(C360,[8]Sheet2!$C$1:$F$1223,3,0),"")</f>
        <v/>
      </c>
      <c r="E360" s="18" t="str">
        <f>IFERROR(VLOOKUP(C360,[8]Sheet2!$C$1:$F$1223,4,0),"")</f>
        <v/>
      </c>
    </row>
    <row r="361" spans="2:5">
      <c r="B361" s="17" t="str">
        <f>IFERROR(VLOOKUP(C361,[8]Sheet2!$C$3:$F$1223,2,0),"")</f>
        <v/>
      </c>
      <c r="D361" s="18" t="str">
        <f>IFERROR(VLOOKUP(C361,[8]Sheet2!$C$1:$F$1223,3,0),"")</f>
        <v/>
      </c>
      <c r="E361" s="18" t="str">
        <f>IFERROR(VLOOKUP(C361,[8]Sheet2!$C$1:$F$1223,4,0),"")</f>
        <v/>
      </c>
    </row>
    <row r="362" spans="2:5">
      <c r="B362" s="17" t="str">
        <f>IFERROR(VLOOKUP(C362,[8]Sheet2!$C$3:$F$1223,2,0),"")</f>
        <v/>
      </c>
      <c r="D362" s="18" t="str">
        <f>IFERROR(VLOOKUP(C362,[8]Sheet2!$C$1:$F$1223,3,0),"")</f>
        <v/>
      </c>
      <c r="E362" s="18" t="str">
        <f>IFERROR(VLOOKUP(C362,[8]Sheet2!$C$1:$F$1223,4,0),"")</f>
        <v/>
      </c>
    </row>
    <row r="363" spans="2:5">
      <c r="B363" s="17" t="str">
        <f>IFERROR(VLOOKUP(C363,[8]Sheet2!$C$3:$F$1223,2,0),"")</f>
        <v/>
      </c>
      <c r="D363" s="18" t="str">
        <f>IFERROR(VLOOKUP(C363,[8]Sheet2!$C$1:$F$1223,3,0),"")</f>
        <v/>
      </c>
      <c r="E363" s="18" t="str">
        <f>IFERROR(VLOOKUP(C363,[8]Sheet2!$C$1:$F$1223,4,0),"")</f>
        <v/>
      </c>
    </row>
    <row r="364" spans="2:5">
      <c r="B364" s="17" t="str">
        <f>IFERROR(VLOOKUP(C364,[8]Sheet2!$C$3:$F$1223,2,0),"")</f>
        <v/>
      </c>
      <c r="D364" s="18" t="str">
        <f>IFERROR(VLOOKUP(C364,[8]Sheet2!$C$1:$F$1223,3,0),"")</f>
        <v/>
      </c>
      <c r="E364" s="18" t="str">
        <f>IFERROR(VLOOKUP(C364,[8]Sheet2!$C$1:$F$1223,4,0),"")</f>
        <v/>
      </c>
    </row>
    <row r="365" spans="2:5">
      <c r="B365" s="17" t="str">
        <f>IFERROR(VLOOKUP(C365,[8]Sheet2!$C$3:$F$1223,2,0),"")</f>
        <v/>
      </c>
      <c r="D365" s="18" t="str">
        <f>IFERROR(VLOOKUP(C365,[8]Sheet2!$C$1:$F$1223,3,0),"")</f>
        <v/>
      </c>
      <c r="E365" s="18" t="str">
        <f>IFERROR(VLOOKUP(C365,[8]Sheet2!$C$1:$F$1223,4,0),"")</f>
        <v/>
      </c>
    </row>
    <row r="366" spans="2:5">
      <c r="B366" s="17" t="str">
        <f>IFERROR(VLOOKUP(C366,[8]Sheet2!$C$3:$F$1223,2,0),"")</f>
        <v/>
      </c>
      <c r="D366" s="18" t="str">
        <f>IFERROR(VLOOKUP(C366,[8]Sheet2!$C$1:$F$1223,3,0),"")</f>
        <v/>
      </c>
      <c r="E366" s="18" t="str">
        <f>IFERROR(VLOOKUP(C366,[8]Sheet2!$C$1:$F$1223,4,0),"")</f>
        <v/>
      </c>
    </row>
    <row r="367" spans="2:5">
      <c r="B367" s="17" t="str">
        <f>IFERROR(VLOOKUP(C367,[8]Sheet2!$C$3:$F$1223,2,0),"")</f>
        <v/>
      </c>
      <c r="D367" s="18" t="str">
        <f>IFERROR(VLOOKUP(C367,[8]Sheet2!$C$1:$F$1223,3,0),"")</f>
        <v/>
      </c>
      <c r="E367" s="18" t="str">
        <f>IFERROR(VLOOKUP(C367,[8]Sheet2!$C$1:$F$1223,4,0),"")</f>
        <v/>
      </c>
    </row>
    <row r="368" spans="2:5">
      <c r="B368" s="17" t="str">
        <f>IFERROR(VLOOKUP(C368,[8]Sheet2!$C$3:$F$1223,2,0),"")</f>
        <v/>
      </c>
      <c r="D368" s="18" t="str">
        <f>IFERROR(VLOOKUP(C368,[8]Sheet2!$C$1:$F$1223,3,0),"")</f>
        <v/>
      </c>
      <c r="E368" s="18" t="str">
        <f>IFERROR(VLOOKUP(C368,[8]Sheet2!$C$1:$F$1223,4,0),"")</f>
        <v/>
      </c>
    </row>
    <row r="369" spans="2:5">
      <c r="B369" s="17" t="str">
        <f>IFERROR(VLOOKUP(C369,[8]Sheet2!$C$3:$F$1223,2,0),"")</f>
        <v/>
      </c>
      <c r="D369" s="18" t="str">
        <f>IFERROR(VLOOKUP(C369,[8]Sheet2!$C$1:$F$1223,3,0),"")</f>
        <v/>
      </c>
      <c r="E369" s="18" t="str">
        <f>IFERROR(VLOOKUP(C369,[8]Sheet2!$C$1:$F$1223,4,0),"")</f>
        <v/>
      </c>
    </row>
    <row r="370" spans="2:5">
      <c r="B370" s="17" t="str">
        <f>IFERROR(VLOOKUP(C370,[8]Sheet2!$C$3:$F$1223,2,0),"")</f>
        <v/>
      </c>
      <c r="D370" s="18" t="str">
        <f>IFERROR(VLOOKUP(C370,[8]Sheet2!$C$1:$F$1223,3,0),"")</f>
        <v/>
      </c>
      <c r="E370" s="18" t="str">
        <f>IFERROR(VLOOKUP(C370,[8]Sheet2!$C$1:$F$1223,4,0),"")</f>
        <v/>
      </c>
    </row>
    <row r="371" spans="2:5">
      <c r="B371" s="17" t="str">
        <f>IFERROR(VLOOKUP(C371,[8]Sheet2!$C$3:$F$1223,2,0),"")</f>
        <v/>
      </c>
      <c r="D371" s="18" t="str">
        <f>IFERROR(VLOOKUP(C371,[8]Sheet2!$C$1:$F$1223,3,0),"")</f>
        <v/>
      </c>
      <c r="E371" s="18" t="str">
        <f>IFERROR(VLOOKUP(C371,[8]Sheet2!$C$1:$F$1223,4,0),"")</f>
        <v/>
      </c>
    </row>
    <row r="372" spans="2:5">
      <c r="B372" s="17" t="str">
        <f>IFERROR(VLOOKUP(C372,[8]Sheet2!$C$3:$F$1223,2,0),"")</f>
        <v/>
      </c>
      <c r="D372" s="18" t="str">
        <f>IFERROR(VLOOKUP(C372,[8]Sheet2!$C$1:$F$1223,3,0),"")</f>
        <v/>
      </c>
      <c r="E372" s="18" t="str">
        <f>IFERROR(VLOOKUP(C372,[8]Sheet2!$C$1:$F$1223,4,0),"")</f>
        <v/>
      </c>
    </row>
    <row r="373" spans="2:5">
      <c r="B373" s="17" t="str">
        <f>IFERROR(VLOOKUP(C373,[8]Sheet2!$C$3:$F$1223,2,0),"")</f>
        <v/>
      </c>
      <c r="D373" s="18" t="str">
        <f>IFERROR(VLOOKUP(C373,[8]Sheet2!$C$1:$F$1223,3,0),"")</f>
        <v/>
      </c>
      <c r="E373" s="18" t="str">
        <f>IFERROR(VLOOKUP(C373,[8]Sheet2!$C$1:$F$1223,4,0),"")</f>
        <v/>
      </c>
    </row>
    <row r="374" spans="2:5">
      <c r="B374" s="17" t="str">
        <f>IFERROR(VLOOKUP(C374,[8]Sheet2!$C$3:$F$1223,2,0),"")</f>
        <v/>
      </c>
      <c r="D374" s="18" t="str">
        <f>IFERROR(VLOOKUP(C374,[8]Sheet2!$C$1:$F$1223,3,0),"")</f>
        <v/>
      </c>
      <c r="E374" s="18" t="str">
        <f>IFERROR(VLOOKUP(C374,[8]Sheet2!$C$1:$F$1223,4,0),"")</f>
        <v/>
      </c>
    </row>
    <row r="375" spans="2:5">
      <c r="B375" s="17" t="str">
        <f>IFERROR(VLOOKUP(C375,[8]Sheet2!$C$3:$F$1223,2,0),"")</f>
        <v/>
      </c>
      <c r="D375" s="18" t="str">
        <f>IFERROR(VLOOKUP(C375,[8]Sheet2!$C$1:$F$1223,3,0),"")</f>
        <v/>
      </c>
      <c r="E375" s="18" t="str">
        <f>IFERROR(VLOOKUP(C375,[8]Sheet2!$C$1:$F$1223,4,0),"")</f>
        <v/>
      </c>
    </row>
    <row r="376" spans="2:5">
      <c r="B376" s="17" t="str">
        <f>IFERROR(VLOOKUP(C376,[8]Sheet2!$C$3:$F$1223,2,0),"")</f>
        <v/>
      </c>
      <c r="D376" s="18" t="str">
        <f>IFERROR(VLOOKUP(C376,[8]Sheet2!$C$1:$F$1223,3,0),"")</f>
        <v/>
      </c>
      <c r="E376" s="18" t="str">
        <f>IFERROR(VLOOKUP(C376,[8]Sheet2!$C$1:$F$1223,4,0),"")</f>
        <v/>
      </c>
    </row>
    <row r="377" spans="2:5">
      <c r="B377" s="17" t="str">
        <f>IFERROR(VLOOKUP(C377,[8]Sheet2!$C$3:$F$1223,2,0),"")</f>
        <v/>
      </c>
      <c r="D377" s="18" t="str">
        <f>IFERROR(VLOOKUP(C377,[8]Sheet2!$C$1:$F$1223,3,0),"")</f>
        <v/>
      </c>
      <c r="E377" s="18" t="str">
        <f>IFERROR(VLOOKUP(C377,[8]Sheet2!$C$1:$F$1223,4,0),"")</f>
        <v/>
      </c>
    </row>
    <row r="378" spans="2:5">
      <c r="B378" s="17" t="str">
        <f>IFERROR(VLOOKUP(C378,[8]Sheet2!$C$3:$F$1223,2,0),"")</f>
        <v/>
      </c>
      <c r="D378" s="18" t="str">
        <f>IFERROR(VLOOKUP(C378,[8]Sheet2!$C$1:$F$1223,3,0),"")</f>
        <v/>
      </c>
      <c r="E378" s="18" t="str">
        <f>IFERROR(VLOOKUP(C378,[8]Sheet2!$C$1:$F$1223,4,0),"")</f>
        <v/>
      </c>
    </row>
    <row r="379" spans="2:5">
      <c r="B379" s="17" t="str">
        <f>IFERROR(VLOOKUP(C379,[8]Sheet2!$C$3:$F$1223,2,0),"")</f>
        <v/>
      </c>
      <c r="D379" s="18" t="str">
        <f>IFERROR(VLOOKUP(C379,[8]Sheet2!$C$1:$F$1223,3,0),"")</f>
        <v/>
      </c>
      <c r="E379" s="18" t="str">
        <f>IFERROR(VLOOKUP(C379,[8]Sheet2!$C$1:$F$1223,4,0),"")</f>
        <v/>
      </c>
    </row>
    <row r="380" spans="2:5">
      <c r="B380" s="17" t="str">
        <f>IFERROR(VLOOKUP(C380,[8]Sheet2!$C$3:$F$1223,2,0),"")</f>
        <v/>
      </c>
      <c r="D380" s="18" t="str">
        <f>IFERROR(VLOOKUP(C380,[8]Sheet2!$C$1:$F$1223,3,0),"")</f>
        <v/>
      </c>
      <c r="E380" s="18" t="str">
        <f>IFERROR(VLOOKUP(C380,[8]Sheet2!$C$1:$F$1223,4,0),"")</f>
        <v/>
      </c>
    </row>
    <row r="381" spans="2:5">
      <c r="B381" s="17" t="str">
        <f>IFERROR(VLOOKUP(C381,[8]Sheet2!$C$3:$F$1223,2,0),"")</f>
        <v/>
      </c>
      <c r="D381" s="18" t="str">
        <f>IFERROR(VLOOKUP(C381,[8]Sheet2!$C$1:$F$1223,3,0),"")</f>
        <v/>
      </c>
      <c r="E381" s="18" t="str">
        <f>IFERROR(VLOOKUP(C381,[8]Sheet2!$C$1:$F$1223,4,0),"")</f>
        <v/>
      </c>
    </row>
    <row r="382" spans="2:5">
      <c r="B382" s="17" t="str">
        <f>IFERROR(VLOOKUP(C382,[8]Sheet2!$C$3:$F$1223,2,0),"")</f>
        <v/>
      </c>
      <c r="D382" s="18" t="str">
        <f>IFERROR(VLOOKUP(C382,[8]Sheet2!$C$1:$F$1223,3,0),"")</f>
        <v/>
      </c>
      <c r="E382" s="18" t="str">
        <f>IFERROR(VLOOKUP(C382,[8]Sheet2!$C$1:$F$1223,4,0),"")</f>
        <v/>
      </c>
    </row>
    <row r="383" spans="2:5">
      <c r="B383" s="17" t="str">
        <f>IFERROR(VLOOKUP(C383,[8]Sheet2!$C$3:$F$1223,2,0),"")</f>
        <v/>
      </c>
      <c r="D383" s="18" t="str">
        <f>IFERROR(VLOOKUP(C383,[8]Sheet2!$C$1:$F$1223,3,0),"")</f>
        <v/>
      </c>
      <c r="E383" s="18" t="str">
        <f>IFERROR(VLOOKUP(C383,[8]Sheet2!$C$1:$F$1223,4,0),"")</f>
        <v/>
      </c>
    </row>
    <row r="384" spans="2:5">
      <c r="B384" s="17" t="str">
        <f>IFERROR(VLOOKUP(C384,[8]Sheet2!$C$3:$F$1223,2,0),"")</f>
        <v/>
      </c>
      <c r="D384" s="18" t="str">
        <f>IFERROR(VLOOKUP(C384,[8]Sheet2!$C$1:$F$1223,3,0),"")</f>
        <v/>
      </c>
      <c r="E384" s="18" t="str">
        <f>IFERROR(VLOOKUP(C384,[8]Sheet2!$C$1:$F$1223,4,0),"")</f>
        <v/>
      </c>
    </row>
    <row r="385" spans="2:5">
      <c r="B385" s="17" t="str">
        <f>IFERROR(VLOOKUP(C385,[8]Sheet2!$C$3:$F$1223,2,0),"")</f>
        <v/>
      </c>
      <c r="D385" s="18" t="str">
        <f>IFERROR(VLOOKUP(C385,[8]Sheet2!$C$1:$F$1223,3,0),"")</f>
        <v/>
      </c>
      <c r="E385" s="18" t="str">
        <f>IFERROR(VLOOKUP(C385,[8]Sheet2!$C$1:$F$1223,4,0),"")</f>
        <v/>
      </c>
    </row>
    <row r="386" spans="2:5">
      <c r="B386" s="17" t="str">
        <f>IFERROR(VLOOKUP(C386,[8]Sheet2!$C$3:$F$1223,2,0),"")</f>
        <v/>
      </c>
      <c r="D386" s="18" t="str">
        <f>IFERROR(VLOOKUP(C386,[8]Sheet2!$C$1:$F$1223,3,0),"")</f>
        <v/>
      </c>
      <c r="E386" s="18" t="str">
        <f>IFERROR(VLOOKUP(C386,[8]Sheet2!$C$1:$F$1223,4,0),"")</f>
        <v/>
      </c>
    </row>
    <row r="387" spans="2:5">
      <c r="B387" s="17" t="str">
        <f>IFERROR(VLOOKUP(C387,[8]Sheet2!$C$3:$F$1223,2,0),"")</f>
        <v/>
      </c>
      <c r="D387" s="18" t="str">
        <f>IFERROR(VLOOKUP(C387,[8]Sheet2!$C$1:$F$1223,3,0),"")</f>
        <v/>
      </c>
      <c r="E387" s="18" t="str">
        <f>IFERROR(VLOOKUP(C387,[8]Sheet2!$C$1:$F$1223,4,0),"")</f>
        <v/>
      </c>
    </row>
    <row r="388" spans="2:5">
      <c r="B388" s="17" t="str">
        <f>IFERROR(VLOOKUP(C388,[8]Sheet2!$C$3:$F$1223,2,0),"")</f>
        <v/>
      </c>
      <c r="D388" s="18" t="str">
        <f>IFERROR(VLOOKUP(C388,[8]Sheet2!$C$1:$F$1223,3,0),"")</f>
        <v/>
      </c>
      <c r="E388" s="18" t="str">
        <f>IFERROR(VLOOKUP(C388,[8]Sheet2!$C$1:$F$1223,4,0),"")</f>
        <v/>
      </c>
    </row>
    <row r="389" spans="2:5">
      <c r="B389" s="17" t="str">
        <f>IFERROR(VLOOKUP(C389,[8]Sheet2!$C$3:$F$1223,2,0),"")</f>
        <v/>
      </c>
      <c r="D389" s="18" t="str">
        <f>IFERROR(VLOOKUP(C389,[8]Sheet2!$C$1:$F$1223,3,0),"")</f>
        <v/>
      </c>
      <c r="E389" s="18" t="str">
        <f>IFERROR(VLOOKUP(C389,[8]Sheet2!$C$1:$F$1223,4,0),"")</f>
        <v/>
      </c>
    </row>
    <row r="390" spans="2:5">
      <c r="B390" s="17" t="str">
        <f>IFERROR(VLOOKUP(C390,[8]Sheet2!$C$3:$F$1223,2,0),"")</f>
        <v/>
      </c>
      <c r="D390" s="18" t="str">
        <f>IFERROR(VLOOKUP(C390,[8]Sheet2!$C$1:$F$1223,3,0),"")</f>
        <v/>
      </c>
      <c r="E390" s="18" t="str">
        <f>IFERROR(VLOOKUP(C390,[8]Sheet2!$C$1:$F$1223,4,0),"")</f>
        <v/>
      </c>
    </row>
    <row r="391" spans="2:5">
      <c r="B391" s="17" t="str">
        <f>IFERROR(VLOOKUP(C391,[8]Sheet2!$C$3:$F$1223,2,0),"")</f>
        <v/>
      </c>
      <c r="D391" s="18" t="str">
        <f>IFERROR(VLOOKUP(C391,[8]Sheet2!$C$1:$F$1223,3,0),"")</f>
        <v/>
      </c>
      <c r="E391" s="18" t="str">
        <f>IFERROR(VLOOKUP(C391,[8]Sheet2!$C$1:$F$1223,4,0),"")</f>
        <v/>
      </c>
    </row>
    <row r="392" spans="2:5">
      <c r="B392" s="17" t="str">
        <f>IFERROR(VLOOKUP(C392,[8]Sheet2!$C$3:$F$1223,2,0),"")</f>
        <v/>
      </c>
      <c r="D392" s="18" t="str">
        <f>IFERROR(VLOOKUP(C392,[8]Sheet2!$C$1:$F$1223,3,0),"")</f>
        <v/>
      </c>
      <c r="E392" s="18" t="str">
        <f>IFERROR(VLOOKUP(C392,[8]Sheet2!$C$1:$F$1223,4,0),"")</f>
        <v/>
      </c>
    </row>
    <row r="393" spans="2:5">
      <c r="B393" s="17" t="str">
        <f>IFERROR(VLOOKUP(C393,[8]Sheet2!$C$3:$F$1223,2,0),"")</f>
        <v/>
      </c>
      <c r="D393" s="18" t="str">
        <f>IFERROR(VLOOKUP(C393,[8]Sheet2!$C$1:$F$1223,3,0),"")</f>
        <v/>
      </c>
      <c r="E393" s="18" t="str">
        <f>IFERROR(VLOOKUP(C393,[8]Sheet2!$C$1:$F$1223,4,0),"")</f>
        <v/>
      </c>
    </row>
    <row r="394" spans="2:5">
      <c r="B394" s="17" t="str">
        <f>IFERROR(VLOOKUP(C394,[8]Sheet2!$C$3:$F$1223,2,0),"")</f>
        <v/>
      </c>
      <c r="D394" s="18" t="str">
        <f>IFERROR(VLOOKUP(C394,[8]Sheet2!$C$1:$F$1223,3,0),"")</f>
        <v/>
      </c>
      <c r="E394" s="18" t="str">
        <f>IFERROR(VLOOKUP(C394,[8]Sheet2!$C$1:$F$1223,4,0),"")</f>
        <v/>
      </c>
    </row>
    <row r="395" spans="2:5">
      <c r="B395" s="17" t="str">
        <f>IFERROR(VLOOKUP(C395,[8]Sheet2!$C$3:$F$1223,2,0),"")</f>
        <v/>
      </c>
      <c r="D395" s="18" t="str">
        <f>IFERROR(VLOOKUP(C395,[8]Sheet2!$C$1:$F$1223,3,0),"")</f>
        <v/>
      </c>
      <c r="E395" s="18" t="str">
        <f>IFERROR(VLOOKUP(C395,[8]Sheet2!$C$1:$F$1223,4,0),"")</f>
        <v/>
      </c>
    </row>
    <row r="396" spans="2:5">
      <c r="B396" s="17" t="str">
        <f>IFERROR(VLOOKUP(C396,[8]Sheet2!$C$3:$F$1223,2,0),"")</f>
        <v/>
      </c>
      <c r="D396" s="18" t="str">
        <f>IFERROR(VLOOKUP(C396,[8]Sheet2!$C$1:$F$1223,3,0),"")</f>
        <v/>
      </c>
      <c r="E396" s="18" t="str">
        <f>IFERROR(VLOOKUP(C396,[8]Sheet2!$C$1:$F$1223,4,0),"")</f>
        <v/>
      </c>
    </row>
    <row r="397" spans="2:5">
      <c r="B397" s="17" t="str">
        <f>IFERROR(VLOOKUP(C397,[8]Sheet2!$C$3:$F$1223,2,0),"")</f>
        <v/>
      </c>
      <c r="D397" s="18" t="str">
        <f>IFERROR(VLOOKUP(C397,[8]Sheet2!$C$1:$F$1223,3,0),"")</f>
        <v/>
      </c>
      <c r="E397" s="18" t="str">
        <f>IFERROR(VLOOKUP(C397,[8]Sheet2!$C$1:$F$1223,4,0),"")</f>
        <v/>
      </c>
    </row>
    <row r="398" spans="2:5">
      <c r="B398" s="17" t="str">
        <f>IFERROR(VLOOKUP(C398,[8]Sheet2!$C$3:$F$1223,2,0),"")</f>
        <v/>
      </c>
      <c r="D398" s="18" t="str">
        <f>IFERROR(VLOOKUP(C398,[8]Sheet2!$C$1:$F$1223,3,0),"")</f>
        <v/>
      </c>
      <c r="E398" s="18" t="str">
        <f>IFERROR(VLOOKUP(C398,[8]Sheet2!$C$1:$F$1223,4,0),"")</f>
        <v/>
      </c>
    </row>
    <row r="399" spans="2:5">
      <c r="B399" s="17" t="str">
        <f>IFERROR(VLOOKUP(C399,[8]Sheet2!$C$3:$F$1223,2,0),"")</f>
        <v/>
      </c>
      <c r="D399" s="18" t="str">
        <f>IFERROR(VLOOKUP(C399,[8]Sheet2!$C$1:$F$1223,3,0),"")</f>
        <v/>
      </c>
      <c r="E399" s="18" t="str">
        <f>IFERROR(VLOOKUP(C399,[8]Sheet2!$C$1:$F$1223,4,0),"")</f>
        <v/>
      </c>
    </row>
    <row r="400" spans="2:5">
      <c r="B400" s="17" t="str">
        <f>IFERROR(VLOOKUP(C400,[8]Sheet2!$C$3:$F$1223,2,0),"")</f>
        <v/>
      </c>
      <c r="D400" s="18" t="str">
        <f>IFERROR(VLOOKUP(C400,[8]Sheet2!$C$1:$F$1223,3,0),"")</f>
        <v/>
      </c>
      <c r="E400" s="18" t="str">
        <f>IFERROR(VLOOKUP(C400,[8]Sheet2!$C$1:$F$1223,4,0),"")</f>
        <v/>
      </c>
    </row>
    <row r="401" spans="2:5">
      <c r="B401" s="17" t="str">
        <f>IFERROR(VLOOKUP(C401,[8]Sheet2!$C$3:$F$1223,2,0),"")</f>
        <v/>
      </c>
      <c r="D401" s="18" t="str">
        <f>IFERROR(VLOOKUP(C401,[8]Sheet2!$C$1:$F$1223,3,0),"")</f>
        <v/>
      </c>
      <c r="E401" s="18" t="str">
        <f>IFERROR(VLOOKUP(C401,[8]Sheet2!$C$1:$F$1223,4,0),"")</f>
        <v/>
      </c>
    </row>
    <row r="402" spans="2:5">
      <c r="B402" s="17" t="str">
        <f>IFERROR(VLOOKUP(C402,[8]Sheet2!$C$3:$F$1223,2,0),"")</f>
        <v/>
      </c>
      <c r="D402" s="18" t="str">
        <f>IFERROR(VLOOKUP(C402,[8]Sheet2!$C$1:$F$1223,3,0),"")</f>
        <v/>
      </c>
      <c r="E402" s="18" t="str">
        <f>IFERROR(VLOOKUP(C402,[8]Sheet2!$C$1:$F$1223,4,0),"")</f>
        <v/>
      </c>
    </row>
    <row r="403" spans="2:5">
      <c r="B403" s="17" t="str">
        <f>IFERROR(VLOOKUP(C403,[8]Sheet2!$C$3:$F$1223,2,0),"")</f>
        <v/>
      </c>
      <c r="D403" s="18" t="str">
        <f>IFERROR(VLOOKUP(C403,[8]Sheet2!$C$1:$F$1223,3,0),"")</f>
        <v/>
      </c>
      <c r="E403" s="18" t="str">
        <f>IFERROR(VLOOKUP(C403,[8]Sheet2!$C$1:$F$1223,4,0),"")</f>
        <v/>
      </c>
    </row>
    <row r="404" spans="2:5">
      <c r="B404" s="17" t="str">
        <f>IFERROR(VLOOKUP(C404,[8]Sheet2!$C$3:$F$1223,2,0),"")</f>
        <v/>
      </c>
      <c r="D404" s="18" t="str">
        <f>IFERROR(VLOOKUP(C404,[8]Sheet2!$C$1:$F$1223,3,0),"")</f>
        <v/>
      </c>
      <c r="E404" s="18" t="str">
        <f>IFERROR(VLOOKUP(C404,[8]Sheet2!$C$1:$F$1223,4,0),"")</f>
        <v/>
      </c>
    </row>
    <row r="405" spans="2:5">
      <c r="B405" s="17" t="str">
        <f>IFERROR(VLOOKUP(C405,[8]Sheet2!$C$3:$F$1223,2,0),"")</f>
        <v/>
      </c>
      <c r="D405" s="18" t="str">
        <f>IFERROR(VLOOKUP(C405,[8]Sheet2!$C$1:$F$1223,3,0),"")</f>
        <v/>
      </c>
      <c r="E405" s="18" t="str">
        <f>IFERROR(VLOOKUP(C405,[8]Sheet2!$C$1:$F$1223,4,0),"")</f>
        <v/>
      </c>
    </row>
    <row r="406" spans="2:5">
      <c r="B406" s="17" t="str">
        <f>IFERROR(VLOOKUP(C406,[8]Sheet2!$C$3:$F$1223,2,0),"")</f>
        <v/>
      </c>
      <c r="D406" s="18" t="str">
        <f>IFERROR(VLOOKUP(C406,[8]Sheet2!$C$1:$F$1223,3,0),"")</f>
        <v/>
      </c>
      <c r="E406" s="18" t="str">
        <f>IFERROR(VLOOKUP(C406,[8]Sheet2!$C$1:$F$1223,4,0),"")</f>
        <v/>
      </c>
    </row>
    <row r="407" spans="2:5">
      <c r="B407" s="17" t="str">
        <f>IFERROR(VLOOKUP(C407,[8]Sheet2!$C$3:$F$1223,2,0),"")</f>
        <v/>
      </c>
      <c r="D407" s="18" t="str">
        <f>IFERROR(VLOOKUP(C407,[8]Sheet2!$C$1:$F$1223,3,0),"")</f>
        <v/>
      </c>
      <c r="E407" s="18" t="str">
        <f>IFERROR(VLOOKUP(C407,[8]Sheet2!$C$1:$F$1223,4,0),"")</f>
        <v/>
      </c>
    </row>
    <row r="408" spans="2:5">
      <c r="B408" s="17" t="str">
        <f>IFERROR(VLOOKUP(C408,[8]Sheet2!$C$3:$F$1223,2,0),"")</f>
        <v/>
      </c>
      <c r="D408" s="18" t="str">
        <f>IFERROR(VLOOKUP(C408,[8]Sheet2!$C$1:$F$1223,3,0),"")</f>
        <v/>
      </c>
      <c r="E408" s="18" t="str">
        <f>IFERROR(VLOOKUP(C408,[8]Sheet2!$C$1:$F$1223,4,0),"")</f>
        <v/>
      </c>
    </row>
    <row r="409" spans="2:5">
      <c r="B409" s="17" t="str">
        <f>IFERROR(VLOOKUP(C409,[8]Sheet2!$C$3:$F$1223,2,0),"")</f>
        <v/>
      </c>
      <c r="D409" s="18" t="str">
        <f>IFERROR(VLOOKUP(C409,[8]Sheet2!$C$1:$F$1223,3,0),"")</f>
        <v/>
      </c>
      <c r="E409" s="18" t="str">
        <f>IFERROR(VLOOKUP(C409,[8]Sheet2!$C$1:$F$1223,4,0),"")</f>
        <v/>
      </c>
    </row>
    <row r="410" spans="2:5">
      <c r="B410" s="17" t="str">
        <f>IFERROR(VLOOKUP(C410,[8]Sheet2!$C$3:$F$1223,2,0),"")</f>
        <v/>
      </c>
      <c r="D410" s="18" t="str">
        <f>IFERROR(VLOOKUP(C410,[8]Sheet2!$C$1:$F$1223,3,0),"")</f>
        <v/>
      </c>
      <c r="E410" s="18" t="str">
        <f>IFERROR(VLOOKUP(C410,[8]Sheet2!$C$1:$F$1223,4,0),"")</f>
        <v/>
      </c>
    </row>
    <row r="411" spans="2:5">
      <c r="B411" s="17" t="str">
        <f>IFERROR(VLOOKUP(C411,[8]Sheet2!$C$3:$F$1223,2,0),"")</f>
        <v/>
      </c>
      <c r="D411" s="18" t="str">
        <f>IFERROR(VLOOKUP(C411,[8]Sheet2!$C$1:$F$1223,3,0),"")</f>
        <v/>
      </c>
      <c r="E411" s="18" t="str">
        <f>IFERROR(VLOOKUP(C411,[8]Sheet2!$C$1:$F$1223,4,0),"")</f>
        <v/>
      </c>
    </row>
    <row r="412" spans="2:5">
      <c r="B412" s="17" t="str">
        <f>IFERROR(VLOOKUP(C412,[8]Sheet2!$C$3:$F$1223,2,0),"")</f>
        <v/>
      </c>
      <c r="D412" s="18" t="str">
        <f>IFERROR(VLOOKUP(C412,[8]Sheet2!$C$1:$F$1223,3,0),"")</f>
        <v/>
      </c>
      <c r="E412" s="18" t="str">
        <f>IFERROR(VLOOKUP(C412,[8]Sheet2!$C$1:$F$1223,4,0),"")</f>
        <v/>
      </c>
    </row>
    <row r="413" spans="2:5">
      <c r="B413" s="17" t="str">
        <f>IFERROR(VLOOKUP(C413,[8]Sheet2!$C$3:$F$1223,2,0),"")</f>
        <v/>
      </c>
      <c r="D413" s="18" t="str">
        <f>IFERROR(VLOOKUP(C413,[8]Sheet2!$C$1:$F$1223,3,0),"")</f>
        <v/>
      </c>
      <c r="E413" s="18" t="str">
        <f>IFERROR(VLOOKUP(C413,[8]Sheet2!$C$1:$F$1223,4,0),"")</f>
        <v/>
      </c>
    </row>
    <row r="414" spans="2:5">
      <c r="B414" s="17" t="str">
        <f>IFERROR(VLOOKUP(C414,[8]Sheet2!$C$3:$F$1223,2,0),"")</f>
        <v/>
      </c>
      <c r="D414" s="18" t="str">
        <f>IFERROR(VLOOKUP(C414,[8]Sheet2!$C$1:$F$1223,3,0),"")</f>
        <v/>
      </c>
      <c r="E414" s="18" t="str">
        <f>IFERROR(VLOOKUP(C414,[8]Sheet2!$C$1:$F$1223,4,0),"")</f>
        <v/>
      </c>
    </row>
    <row r="415" spans="2:5">
      <c r="B415" s="17" t="str">
        <f>IFERROR(VLOOKUP(C415,[8]Sheet2!$C$3:$F$1223,2,0),"")</f>
        <v/>
      </c>
      <c r="D415" s="18" t="str">
        <f>IFERROR(VLOOKUP(C415,[8]Sheet2!$C$1:$F$1223,3,0),"")</f>
        <v/>
      </c>
      <c r="E415" s="18" t="str">
        <f>IFERROR(VLOOKUP(C415,[8]Sheet2!$C$1:$F$1223,4,0),"")</f>
        <v/>
      </c>
    </row>
    <row r="416" spans="2:5">
      <c r="B416" s="17" t="str">
        <f>IFERROR(VLOOKUP(C416,[8]Sheet2!$C$3:$F$1223,2,0),"")</f>
        <v/>
      </c>
      <c r="D416" s="18" t="str">
        <f>IFERROR(VLOOKUP(C416,[8]Sheet2!$C$1:$F$1223,3,0),"")</f>
        <v/>
      </c>
      <c r="E416" s="18" t="str">
        <f>IFERROR(VLOOKUP(C416,[8]Sheet2!$C$1:$F$1223,4,0),"")</f>
        <v/>
      </c>
    </row>
    <row r="417" spans="2:5">
      <c r="B417" s="17" t="str">
        <f>IFERROR(VLOOKUP(C417,[8]Sheet2!$C$3:$F$1223,2,0),"")</f>
        <v/>
      </c>
      <c r="D417" s="18" t="str">
        <f>IFERROR(VLOOKUP(C417,[8]Sheet2!$C$1:$F$1223,3,0),"")</f>
        <v/>
      </c>
      <c r="E417" s="18" t="str">
        <f>IFERROR(VLOOKUP(C417,[8]Sheet2!$C$1:$F$1223,4,0),"")</f>
        <v/>
      </c>
    </row>
    <row r="418" spans="2:5">
      <c r="B418" s="17" t="str">
        <f>IFERROR(VLOOKUP(C418,[8]Sheet2!$C$3:$F$1223,2,0),"")</f>
        <v/>
      </c>
      <c r="D418" s="18" t="str">
        <f>IFERROR(VLOOKUP(C418,[8]Sheet2!$C$1:$F$1223,3,0),"")</f>
        <v/>
      </c>
      <c r="E418" s="18" t="str">
        <f>IFERROR(VLOOKUP(C418,[8]Sheet2!$C$1:$F$1223,4,0),"")</f>
        <v/>
      </c>
    </row>
    <row r="419" spans="2:5">
      <c r="B419" s="17" t="str">
        <f>IFERROR(VLOOKUP(C419,[8]Sheet2!$C$3:$F$1223,2,0),"")</f>
        <v/>
      </c>
      <c r="D419" s="18" t="str">
        <f>IFERROR(VLOOKUP(C419,[8]Sheet2!$C$1:$F$1223,3,0),"")</f>
        <v/>
      </c>
      <c r="E419" s="18" t="str">
        <f>IFERROR(VLOOKUP(C419,[8]Sheet2!$C$1:$F$1223,4,0),"")</f>
        <v/>
      </c>
    </row>
    <row r="420" spans="2:5">
      <c r="B420" s="17" t="str">
        <f>IFERROR(VLOOKUP(C420,[8]Sheet2!$C$3:$F$1223,2,0),"")</f>
        <v/>
      </c>
      <c r="D420" s="18" t="str">
        <f>IFERROR(VLOOKUP(C420,[8]Sheet2!$C$1:$F$1223,3,0),"")</f>
        <v/>
      </c>
      <c r="E420" s="18" t="str">
        <f>IFERROR(VLOOKUP(C420,[8]Sheet2!$C$1:$F$1223,4,0),"")</f>
        <v/>
      </c>
    </row>
    <row r="421" spans="2:5">
      <c r="B421" s="17" t="str">
        <f>IFERROR(VLOOKUP(C421,[8]Sheet2!$C$3:$F$1223,2,0),"")</f>
        <v/>
      </c>
      <c r="D421" s="18" t="str">
        <f>IFERROR(VLOOKUP(C421,[8]Sheet2!$C$1:$F$1223,3,0),"")</f>
        <v/>
      </c>
      <c r="E421" s="18" t="str">
        <f>IFERROR(VLOOKUP(C421,[8]Sheet2!$C$1:$F$1223,4,0),"")</f>
        <v/>
      </c>
    </row>
    <row r="422" spans="2:5">
      <c r="B422" s="17" t="str">
        <f>IFERROR(VLOOKUP(C422,[8]Sheet2!$C$3:$F$1223,2,0),"")</f>
        <v/>
      </c>
      <c r="D422" s="18" t="str">
        <f>IFERROR(VLOOKUP(C422,[8]Sheet2!$C$1:$F$1223,3,0),"")</f>
        <v/>
      </c>
      <c r="E422" s="18" t="str">
        <f>IFERROR(VLOOKUP(C422,[8]Sheet2!$C$1:$F$1223,4,0),"")</f>
        <v/>
      </c>
    </row>
    <row r="423" spans="2:5">
      <c r="B423" s="17" t="str">
        <f>IFERROR(VLOOKUP(C423,[8]Sheet2!$C$3:$F$1223,2,0),"")</f>
        <v/>
      </c>
      <c r="D423" s="18" t="str">
        <f>IFERROR(VLOOKUP(C423,[8]Sheet2!$C$1:$F$1223,3,0),"")</f>
        <v/>
      </c>
      <c r="E423" s="18" t="str">
        <f>IFERROR(VLOOKUP(C423,[8]Sheet2!$C$1:$F$1223,4,0),"")</f>
        <v/>
      </c>
    </row>
    <row r="424" spans="2:5">
      <c r="B424" s="17" t="str">
        <f>IFERROR(VLOOKUP(C424,[8]Sheet2!$C$3:$F$1223,2,0),"")</f>
        <v/>
      </c>
      <c r="D424" s="18" t="str">
        <f>IFERROR(VLOOKUP(C424,[8]Sheet2!$C$1:$F$1223,3,0),"")</f>
        <v/>
      </c>
      <c r="E424" s="18" t="str">
        <f>IFERROR(VLOOKUP(C424,[8]Sheet2!$C$1:$F$1223,4,0),"")</f>
        <v/>
      </c>
    </row>
    <row r="425" spans="2:5">
      <c r="B425" s="17" t="str">
        <f>IFERROR(VLOOKUP(C425,[8]Sheet2!$C$3:$F$1223,2,0),"")</f>
        <v/>
      </c>
      <c r="D425" s="18" t="str">
        <f>IFERROR(VLOOKUP(C425,[8]Sheet2!$C$1:$F$1223,3,0),"")</f>
        <v/>
      </c>
      <c r="E425" s="18" t="str">
        <f>IFERROR(VLOOKUP(C425,[8]Sheet2!$C$1:$F$1223,4,0),"")</f>
        <v/>
      </c>
    </row>
    <row r="426" spans="2:5">
      <c r="B426" s="17" t="str">
        <f>IFERROR(VLOOKUP(C426,[8]Sheet2!$C$3:$F$1223,2,0),"")</f>
        <v/>
      </c>
      <c r="D426" s="18" t="str">
        <f>IFERROR(VLOOKUP(C426,[8]Sheet2!$C$1:$F$1223,3,0),"")</f>
        <v/>
      </c>
      <c r="E426" s="18" t="str">
        <f>IFERROR(VLOOKUP(C426,[8]Sheet2!$C$1:$F$1223,4,0),"")</f>
        <v/>
      </c>
    </row>
    <row r="427" spans="2:5">
      <c r="B427" s="17" t="str">
        <f>IFERROR(VLOOKUP(C427,[8]Sheet2!$C$3:$F$1223,2,0),"")</f>
        <v/>
      </c>
      <c r="D427" s="18" t="str">
        <f>IFERROR(VLOOKUP(C427,[8]Sheet2!$C$1:$F$1223,3,0),"")</f>
        <v/>
      </c>
      <c r="E427" s="18" t="str">
        <f>IFERROR(VLOOKUP(C427,[8]Sheet2!$C$1:$F$1223,4,0),"")</f>
        <v/>
      </c>
    </row>
    <row r="428" spans="2:5">
      <c r="B428" s="17" t="str">
        <f>IFERROR(VLOOKUP(C428,[8]Sheet2!$C$3:$F$1223,2,0),"")</f>
        <v/>
      </c>
      <c r="D428" s="18" t="str">
        <f>IFERROR(VLOOKUP(C428,[8]Sheet2!$C$1:$F$1223,3,0),"")</f>
        <v/>
      </c>
      <c r="E428" s="18" t="str">
        <f>IFERROR(VLOOKUP(C428,[8]Sheet2!$C$1:$F$1223,4,0),"")</f>
        <v/>
      </c>
    </row>
    <row r="429" spans="2:5">
      <c r="B429" s="17" t="str">
        <f>IFERROR(VLOOKUP(C429,[8]Sheet2!$C$3:$F$1223,2,0),"")</f>
        <v/>
      </c>
      <c r="D429" s="18" t="str">
        <f>IFERROR(VLOOKUP(C429,[8]Sheet2!$C$1:$F$1223,3,0),"")</f>
        <v/>
      </c>
      <c r="E429" s="18" t="str">
        <f>IFERROR(VLOOKUP(C429,[8]Sheet2!$C$1:$F$1223,4,0),"")</f>
        <v/>
      </c>
    </row>
    <row r="430" spans="2:5">
      <c r="B430" s="17" t="str">
        <f>IFERROR(VLOOKUP(C430,[8]Sheet2!$C$3:$F$1223,2,0),"")</f>
        <v/>
      </c>
      <c r="D430" s="18" t="str">
        <f>IFERROR(VLOOKUP(C430,[8]Sheet2!$C$1:$F$1223,3,0),"")</f>
        <v/>
      </c>
      <c r="E430" s="18" t="str">
        <f>IFERROR(VLOOKUP(C430,[8]Sheet2!$C$1:$F$1223,4,0),"")</f>
        <v/>
      </c>
    </row>
    <row r="431" spans="2:5">
      <c r="B431" s="17" t="str">
        <f>IFERROR(VLOOKUP(C431,[8]Sheet2!$C$3:$F$1223,2,0),"")</f>
        <v/>
      </c>
      <c r="D431" s="18" t="str">
        <f>IFERROR(VLOOKUP(C431,[8]Sheet2!$C$1:$F$1223,3,0),"")</f>
        <v/>
      </c>
      <c r="E431" s="18" t="str">
        <f>IFERROR(VLOOKUP(C431,[8]Sheet2!$C$1:$F$1223,4,0),"")</f>
        <v/>
      </c>
    </row>
    <row r="432" spans="2:5">
      <c r="B432" s="17" t="str">
        <f>IFERROR(VLOOKUP(C432,[8]Sheet2!$C$3:$F$1223,2,0),"")</f>
        <v/>
      </c>
      <c r="D432" s="18" t="str">
        <f>IFERROR(VLOOKUP(C432,[8]Sheet2!$C$1:$F$1223,3,0),"")</f>
        <v/>
      </c>
      <c r="E432" s="18" t="str">
        <f>IFERROR(VLOOKUP(C432,[8]Sheet2!$C$1:$F$1223,4,0),"")</f>
        <v/>
      </c>
    </row>
    <row r="433" spans="2:5">
      <c r="B433" s="17" t="str">
        <f>IFERROR(VLOOKUP(C433,[8]Sheet2!$C$3:$F$1223,2,0),"")</f>
        <v/>
      </c>
      <c r="D433" s="18" t="str">
        <f>IFERROR(VLOOKUP(C433,[8]Sheet2!$C$1:$F$1223,3,0),"")</f>
        <v/>
      </c>
      <c r="E433" s="18" t="str">
        <f>IFERROR(VLOOKUP(C433,[8]Sheet2!$C$1:$F$1223,4,0),"")</f>
        <v/>
      </c>
    </row>
    <row r="434" spans="2:5">
      <c r="B434" s="17" t="str">
        <f>IFERROR(VLOOKUP(C434,[8]Sheet2!$C$3:$F$1223,2,0),"")</f>
        <v/>
      </c>
      <c r="D434" s="18" t="str">
        <f>IFERROR(VLOOKUP(C434,[8]Sheet2!$C$1:$F$1223,3,0),"")</f>
        <v/>
      </c>
      <c r="E434" s="18" t="str">
        <f>IFERROR(VLOOKUP(C434,[8]Sheet2!$C$1:$F$1223,4,0),"")</f>
        <v/>
      </c>
    </row>
    <row r="435" spans="2:5">
      <c r="B435" s="17" t="str">
        <f>IFERROR(VLOOKUP(C435,[8]Sheet2!$C$3:$F$1223,2,0),"")</f>
        <v/>
      </c>
      <c r="D435" s="18" t="str">
        <f>IFERROR(VLOOKUP(C435,[8]Sheet2!$C$1:$F$1223,3,0),"")</f>
        <v/>
      </c>
      <c r="E435" s="18" t="str">
        <f>IFERROR(VLOOKUP(C435,[8]Sheet2!$C$1:$F$1223,4,0),"")</f>
        <v/>
      </c>
    </row>
    <row r="436" spans="2:5">
      <c r="B436" s="17" t="str">
        <f>IFERROR(VLOOKUP(C436,[8]Sheet2!$C$3:$F$1223,2,0),"")</f>
        <v/>
      </c>
      <c r="D436" s="18" t="str">
        <f>IFERROR(VLOOKUP(C436,[8]Sheet2!$C$1:$F$1223,3,0),"")</f>
        <v/>
      </c>
      <c r="E436" s="18" t="str">
        <f>IFERROR(VLOOKUP(C436,[8]Sheet2!$C$1:$F$1223,4,0),"")</f>
        <v/>
      </c>
    </row>
    <row r="437" spans="2:5">
      <c r="B437" s="17" t="str">
        <f>IFERROR(VLOOKUP(C437,[8]Sheet2!$C$3:$F$1223,2,0),"")</f>
        <v/>
      </c>
      <c r="D437" s="18" t="str">
        <f>IFERROR(VLOOKUP(C437,[8]Sheet2!$C$1:$F$1223,3,0),"")</f>
        <v/>
      </c>
      <c r="E437" s="18" t="str">
        <f>IFERROR(VLOOKUP(C437,[8]Sheet2!$C$1:$F$1223,4,0),"")</f>
        <v/>
      </c>
    </row>
    <row r="438" spans="2:5">
      <c r="B438" s="17" t="str">
        <f>IFERROR(VLOOKUP(C438,[8]Sheet2!$C$3:$F$1223,2,0),"")</f>
        <v/>
      </c>
      <c r="D438" s="18" t="str">
        <f>IFERROR(VLOOKUP(C438,[8]Sheet2!$C$1:$F$1223,3,0),"")</f>
        <v/>
      </c>
      <c r="E438" s="18" t="str">
        <f>IFERROR(VLOOKUP(C438,[8]Sheet2!$C$1:$F$1223,4,0),"")</f>
        <v/>
      </c>
    </row>
    <row r="439" spans="2:5">
      <c r="B439" s="17" t="str">
        <f>IFERROR(VLOOKUP(C439,[8]Sheet2!$C$3:$F$1223,2,0),"")</f>
        <v/>
      </c>
      <c r="D439" s="18" t="str">
        <f>IFERROR(VLOOKUP(C439,[8]Sheet2!$C$1:$F$1223,3,0),"")</f>
        <v/>
      </c>
      <c r="E439" s="18" t="str">
        <f>IFERROR(VLOOKUP(C439,[8]Sheet2!$C$1:$F$1223,4,0),"")</f>
        <v/>
      </c>
    </row>
    <row r="440" spans="2:5">
      <c r="B440" s="17" t="str">
        <f>IFERROR(VLOOKUP(C440,[8]Sheet2!$C$3:$F$1223,2,0),"")</f>
        <v/>
      </c>
      <c r="D440" s="18" t="str">
        <f>IFERROR(VLOOKUP(C440,[8]Sheet2!$C$1:$F$1223,3,0),"")</f>
        <v/>
      </c>
      <c r="E440" s="18" t="str">
        <f>IFERROR(VLOOKUP(C440,[8]Sheet2!$C$1:$F$1223,4,0),"")</f>
        <v/>
      </c>
    </row>
    <row r="441" spans="2:5">
      <c r="B441" s="17" t="str">
        <f>IFERROR(VLOOKUP(C441,[8]Sheet2!$C$3:$F$1223,2,0),"")</f>
        <v/>
      </c>
      <c r="D441" s="18" t="str">
        <f>IFERROR(VLOOKUP(C441,[8]Sheet2!$C$1:$F$1223,3,0),"")</f>
        <v/>
      </c>
      <c r="E441" s="18" t="str">
        <f>IFERROR(VLOOKUP(C441,[8]Sheet2!$C$1:$F$1223,4,0),"")</f>
        <v/>
      </c>
    </row>
    <row r="442" spans="2:5">
      <c r="B442" s="17" t="str">
        <f>IFERROR(VLOOKUP(C442,[8]Sheet2!$C$3:$F$1223,2,0),"")</f>
        <v/>
      </c>
      <c r="D442" s="18" t="str">
        <f>IFERROR(VLOOKUP(C442,[8]Sheet2!$C$1:$F$1223,3,0),"")</f>
        <v/>
      </c>
      <c r="E442" s="18" t="str">
        <f>IFERROR(VLOOKUP(C442,[8]Sheet2!$C$1:$F$1223,4,0),"")</f>
        <v/>
      </c>
    </row>
    <row r="443" spans="2:5">
      <c r="B443" s="17" t="str">
        <f>IFERROR(VLOOKUP(C443,[8]Sheet2!$C$3:$F$1223,2,0),"")</f>
        <v/>
      </c>
      <c r="D443" s="18" t="str">
        <f>IFERROR(VLOOKUP(C443,[8]Sheet2!$C$1:$F$1223,3,0),"")</f>
        <v/>
      </c>
      <c r="E443" s="18" t="str">
        <f>IFERROR(VLOOKUP(C443,[8]Sheet2!$C$1:$F$1223,4,0),"")</f>
        <v/>
      </c>
    </row>
    <row r="444" spans="2:5">
      <c r="B444" s="17" t="str">
        <f>IFERROR(VLOOKUP(C444,[8]Sheet2!$C$3:$F$1223,2,0),"")</f>
        <v/>
      </c>
      <c r="D444" s="18" t="str">
        <f>IFERROR(VLOOKUP(C444,[8]Sheet2!$C$1:$F$1223,3,0),"")</f>
        <v/>
      </c>
      <c r="E444" s="18" t="str">
        <f>IFERROR(VLOOKUP(C444,[8]Sheet2!$C$1:$F$1223,4,0),"")</f>
        <v/>
      </c>
    </row>
    <row r="445" spans="2:5">
      <c r="B445" s="17" t="str">
        <f>IFERROR(VLOOKUP(C445,[8]Sheet2!$C$3:$F$1223,2,0),"")</f>
        <v/>
      </c>
      <c r="D445" s="18" t="str">
        <f>IFERROR(VLOOKUP(C445,[8]Sheet2!$C$1:$F$1223,3,0),"")</f>
        <v/>
      </c>
      <c r="E445" s="18" t="str">
        <f>IFERROR(VLOOKUP(C445,[8]Sheet2!$C$1:$F$1223,4,0),"")</f>
        <v/>
      </c>
    </row>
    <row r="446" spans="2:5">
      <c r="B446" s="17" t="str">
        <f>IFERROR(VLOOKUP(C446,[8]Sheet2!$C$3:$F$1223,2,0),"")</f>
        <v/>
      </c>
      <c r="D446" s="18" t="str">
        <f>IFERROR(VLOOKUP(C446,[8]Sheet2!$C$1:$F$1223,3,0),"")</f>
        <v/>
      </c>
      <c r="E446" s="18" t="str">
        <f>IFERROR(VLOOKUP(C446,[8]Sheet2!$C$1:$F$1223,4,0),"")</f>
        <v/>
      </c>
    </row>
    <row r="447" spans="2:5">
      <c r="B447" s="17" t="str">
        <f>IFERROR(VLOOKUP(C447,[8]Sheet2!$C$3:$F$1223,2,0),"")</f>
        <v/>
      </c>
      <c r="D447" s="18" t="str">
        <f>IFERROR(VLOOKUP(C447,[8]Sheet2!$C$1:$F$1223,3,0),"")</f>
        <v/>
      </c>
      <c r="E447" s="18" t="str">
        <f>IFERROR(VLOOKUP(C447,[8]Sheet2!$C$1:$F$1223,4,0),"")</f>
        <v/>
      </c>
    </row>
    <row r="448" spans="2:5">
      <c r="B448" s="17" t="str">
        <f>IFERROR(VLOOKUP(C448,[8]Sheet2!$C$3:$F$1223,2,0),"")</f>
        <v/>
      </c>
      <c r="D448" s="18" t="str">
        <f>IFERROR(VLOOKUP(C448,[8]Sheet2!$C$1:$F$1223,3,0),"")</f>
        <v/>
      </c>
      <c r="E448" s="18" t="str">
        <f>IFERROR(VLOOKUP(C448,[8]Sheet2!$C$1:$F$1223,4,0),"")</f>
        <v/>
      </c>
    </row>
    <row r="449" spans="2:5">
      <c r="B449" s="17" t="str">
        <f>IFERROR(VLOOKUP(C449,[8]Sheet2!$C$3:$F$1223,2,0),"")</f>
        <v/>
      </c>
      <c r="D449" s="18" t="str">
        <f>IFERROR(VLOOKUP(C449,[8]Sheet2!$C$1:$F$1223,3,0),"")</f>
        <v/>
      </c>
      <c r="E449" s="18" t="str">
        <f>IFERROR(VLOOKUP(C449,[8]Sheet2!$C$1:$F$1223,4,0),"")</f>
        <v/>
      </c>
    </row>
    <row r="450" spans="2:5">
      <c r="B450" s="17" t="str">
        <f>IFERROR(VLOOKUP(C450,[8]Sheet2!$C$3:$F$1223,2,0),"")</f>
        <v/>
      </c>
      <c r="D450" s="18" t="str">
        <f>IFERROR(VLOOKUP(C450,[8]Sheet2!$C$1:$F$1223,3,0),"")</f>
        <v/>
      </c>
      <c r="E450" s="18" t="str">
        <f>IFERROR(VLOOKUP(C450,[8]Sheet2!$C$1:$F$1223,4,0),"")</f>
        <v/>
      </c>
    </row>
    <row r="451" spans="2:5">
      <c r="B451" s="17" t="str">
        <f>IFERROR(VLOOKUP(C451,[8]Sheet2!$C$3:$F$1223,2,0),"")</f>
        <v/>
      </c>
      <c r="D451" s="18" t="str">
        <f>IFERROR(VLOOKUP(C451,[8]Sheet2!$C$1:$F$1223,3,0),"")</f>
        <v/>
      </c>
      <c r="E451" s="18" t="str">
        <f>IFERROR(VLOOKUP(C451,[8]Sheet2!$C$1:$F$1223,4,0),"")</f>
        <v/>
      </c>
    </row>
    <row r="452" spans="2:5">
      <c r="B452" s="17" t="str">
        <f>IFERROR(VLOOKUP(C452,[8]Sheet2!$C$3:$F$1223,2,0),"")</f>
        <v/>
      </c>
      <c r="D452" s="18" t="str">
        <f>IFERROR(VLOOKUP(C452,[8]Sheet2!$C$1:$F$1223,3,0),"")</f>
        <v/>
      </c>
      <c r="E452" s="18" t="str">
        <f>IFERROR(VLOOKUP(C452,[8]Sheet2!$C$1:$F$1223,4,0),"")</f>
        <v/>
      </c>
    </row>
    <row r="453" spans="2:5">
      <c r="B453" s="17" t="str">
        <f>IFERROR(VLOOKUP(C453,[8]Sheet2!$C$3:$F$1223,2,0),"")</f>
        <v/>
      </c>
      <c r="D453" s="18" t="str">
        <f>IFERROR(VLOOKUP(C453,[8]Sheet2!$C$1:$F$1223,3,0),"")</f>
        <v/>
      </c>
      <c r="E453" s="18" t="str">
        <f>IFERROR(VLOOKUP(C453,[8]Sheet2!$C$1:$F$1223,4,0),"")</f>
        <v/>
      </c>
    </row>
    <row r="454" spans="2:5">
      <c r="B454" s="17" t="str">
        <f>IFERROR(VLOOKUP(C454,[8]Sheet2!$C$3:$F$1223,2,0),"")</f>
        <v/>
      </c>
      <c r="D454" s="18" t="str">
        <f>IFERROR(VLOOKUP(C454,[8]Sheet2!$C$1:$F$1223,3,0),"")</f>
        <v/>
      </c>
      <c r="E454" s="18" t="str">
        <f>IFERROR(VLOOKUP(C454,[8]Sheet2!$C$1:$F$1223,4,0),"")</f>
        <v/>
      </c>
    </row>
    <row r="455" spans="2:5">
      <c r="B455" s="17" t="str">
        <f>IFERROR(VLOOKUP(C455,[8]Sheet2!$C$3:$F$1223,2,0),"")</f>
        <v/>
      </c>
      <c r="D455" s="18" t="str">
        <f>IFERROR(VLOOKUP(C455,[8]Sheet2!$C$1:$F$1223,3,0),"")</f>
        <v/>
      </c>
      <c r="E455" s="18" t="str">
        <f>IFERROR(VLOOKUP(C455,[8]Sheet2!$C$1:$F$1223,4,0),"")</f>
        <v/>
      </c>
    </row>
    <row r="456" spans="2:5">
      <c r="B456" s="17" t="str">
        <f>IFERROR(VLOOKUP(C456,[8]Sheet2!$C$3:$F$1223,2,0),"")</f>
        <v/>
      </c>
      <c r="D456" s="18" t="str">
        <f>IFERROR(VLOOKUP(C456,[8]Sheet2!$C$1:$F$1223,3,0),"")</f>
        <v/>
      </c>
      <c r="E456" s="18" t="str">
        <f>IFERROR(VLOOKUP(C456,[8]Sheet2!$C$1:$F$1223,4,0),"")</f>
        <v/>
      </c>
    </row>
    <row r="457" spans="2:5">
      <c r="B457" s="17" t="str">
        <f>IFERROR(VLOOKUP(C457,[8]Sheet2!$C$3:$F$1223,2,0),"")</f>
        <v/>
      </c>
      <c r="D457" s="18" t="str">
        <f>IFERROR(VLOOKUP(C457,[8]Sheet2!$C$1:$F$1223,3,0),"")</f>
        <v/>
      </c>
      <c r="E457" s="18" t="str">
        <f>IFERROR(VLOOKUP(C457,[8]Sheet2!$C$1:$F$1223,4,0),"")</f>
        <v/>
      </c>
    </row>
    <row r="458" spans="2:5">
      <c r="B458" s="17" t="str">
        <f>IFERROR(VLOOKUP(C458,[8]Sheet2!$C$3:$F$1223,2,0),"")</f>
        <v/>
      </c>
      <c r="D458" s="18" t="str">
        <f>IFERROR(VLOOKUP(C458,[8]Sheet2!$C$1:$F$1223,3,0),"")</f>
        <v/>
      </c>
      <c r="E458" s="18" t="str">
        <f>IFERROR(VLOOKUP(C458,[8]Sheet2!$C$1:$F$1223,4,0),"")</f>
        <v/>
      </c>
    </row>
    <row r="459" spans="2:5">
      <c r="B459" s="17" t="str">
        <f>IFERROR(VLOOKUP(C459,[8]Sheet2!$C$3:$F$1223,2,0),"")</f>
        <v/>
      </c>
      <c r="D459" s="18" t="str">
        <f>IFERROR(VLOOKUP(C459,[8]Sheet2!$C$1:$F$1223,3,0),"")</f>
        <v/>
      </c>
      <c r="E459" s="18" t="str">
        <f>IFERROR(VLOOKUP(C459,[8]Sheet2!$C$1:$F$1223,4,0),"")</f>
        <v/>
      </c>
    </row>
    <row r="460" spans="2:5">
      <c r="B460" s="17" t="str">
        <f>IFERROR(VLOOKUP(C460,[8]Sheet2!$C$3:$F$1223,2,0),"")</f>
        <v/>
      </c>
      <c r="D460" s="18" t="str">
        <f>IFERROR(VLOOKUP(C460,[8]Sheet2!$C$1:$F$1223,3,0),"")</f>
        <v/>
      </c>
      <c r="E460" s="18" t="str">
        <f>IFERROR(VLOOKUP(C460,[8]Sheet2!$C$1:$F$1223,4,0),"")</f>
        <v/>
      </c>
    </row>
    <row r="461" spans="2:5">
      <c r="B461" s="17" t="str">
        <f>IFERROR(VLOOKUP(C461,[8]Sheet2!$C$3:$F$1223,2,0),"")</f>
        <v/>
      </c>
      <c r="D461" s="18" t="str">
        <f>IFERROR(VLOOKUP(C461,[8]Sheet2!$C$1:$F$1223,3,0),"")</f>
        <v/>
      </c>
      <c r="E461" s="18" t="str">
        <f>IFERROR(VLOOKUP(C461,[8]Sheet2!$C$1:$F$1223,4,0),"")</f>
        <v/>
      </c>
    </row>
    <row r="462" spans="2:5">
      <c r="B462" s="17" t="str">
        <f>IFERROR(VLOOKUP(C462,[8]Sheet2!$C$3:$F$1223,2,0),"")</f>
        <v/>
      </c>
      <c r="D462" s="18" t="str">
        <f>IFERROR(VLOOKUP(C462,[8]Sheet2!$C$1:$F$1223,3,0),"")</f>
        <v/>
      </c>
      <c r="E462" s="18" t="str">
        <f>IFERROR(VLOOKUP(C462,[8]Sheet2!$C$1:$F$1223,4,0),"")</f>
        <v/>
      </c>
    </row>
    <row r="463" spans="2:5">
      <c r="B463" s="17" t="str">
        <f>IFERROR(VLOOKUP(C463,[8]Sheet2!$C$3:$F$1223,2,0),"")</f>
        <v/>
      </c>
      <c r="D463" s="18" t="str">
        <f>IFERROR(VLOOKUP(C463,[8]Sheet2!$C$1:$F$1223,3,0),"")</f>
        <v/>
      </c>
      <c r="E463" s="18" t="str">
        <f>IFERROR(VLOOKUP(C463,[8]Sheet2!$C$1:$F$1223,4,0),"")</f>
        <v/>
      </c>
    </row>
    <row r="464" spans="2:5">
      <c r="B464" s="17" t="str">
        <f>IFERROR(VLOOKUP(C464,[8]Sheet2!$C$3:$F$1223,2,0),"")</f>
        <v/>
      </c>
      <c r="D464" s="18" t="str">
        <f>IFERROR(VLOOKUP(C464,[8]Sheet2!$C$1:$F$1223,3,0),"")</f>
        <v/>
      </c>
      <c r="E464" s="18" t="str">
        <f>IFERROR(VLOOKUP(C464,[8]Sheet2!$C$1:$F$1223,4,0),"")</f>
        <v/>
      </c>
    </row>
    <row r="465" spans="2:5">
      <c r="B465" s="17" t="str">
        <f>IFERROR(VLOOKUP(C465,[8]Sheet2!$C$3:$F$1223,2,0),"")</f>
        <v/>
      </c>
      <c r="D465" s="18" t="str">
        <f>IFERROR(VLOOKUP(C465,[8]Sheet2!$C$1:$F$1223,3,0),"")</f>
        <v/>
      </c>
      <c r="E465" s="18" t="str">
        <f>IFERROR(VLOOKUP(C465,[8]Sheet2!$C$1:$F$1223,4,0),"")</f>
        <v/>
      </c>
    </row>
    <row r="466" spans="2:5">
      <c r="B466" s="17" t="str">
        <f>IFERROR(VLOOKUP(C466,[8]Sheet2!$C$3:$F$1223,2,0),"")</f>
        <v/>
      </c>
      <c r="D466" s="18" t="str">
        <f>IFERROR(VLOOKUP(C466,[8]Sheet2!$C$1:$F$1223,3,0),"")</f>
        <v/>
      </c>
      <c r="E466" s="18" t="str">
        <f>IFERROR(VLOOKUP(C466,[8]Sheet2!$C$1:$F$1223,4,0),"")</f>
        <v/>
      </c>
    </row>
    <row r="467" spans="2:5">
      <c r="B467" s="17" t="str">
        <f>IFERROR(VLOOKUP(C467,[8]Sheet2!$C$3:$F$1223,2,0),"")</f>
        <v/>
      </c>
      <c r="D467" s="18" t="str">
        <f>IFERROR(VLOOKUP(C467,[8]Sheet2!$C$1:$F$1223,3,0),"")</f>
        <v/>
      </c>
      <c r="E467" s="18" t="str">
        <f>IFERROR(VLOOKUP(C467,[8]Sheet2!$C$1:$F$1223,4,0),"")</f>
        <v/>
      </c>
    </row>
    <row r="468" spans="2:5">
      <c r="B468" s="17" t="str">
        <f>IFERROR(VLOOKUP(C468,[8]Sheet2!$C$3:$F$1223,2,0),"")</f>
        <v/>
      </c>
      <c r="D468" s="18" t="str">
        <f>IFERROR(VLOOKUP(C468,[8]Sheet2!$C$1:$F$1223,3,0),"")</f>
        <v/>
      </c>
      <c r="E468" s="18" t="str">
        <f>IFERROR(VLOOKUP(C468,[8]Sheet2!$C$1:$F$1223,4,0),"")</f>
        <v/>
      </c>
    </row>
    <row r="469" spans="2:5">
      <c r="B469" s="17" t="str">
        <f>IFERROR(VLOOKUP(C469,[8]Sheet2!$C$3:$F$1223,2,0),"")</f>
        <v/>
      </c>
      <c r="D469" s="18" t="str">
        <f>IFERROR(VLOOKUP(C469,[8]Sheet2!$C$1:$F$1223,3,0),"")</f>
        <v/>
      </c>
      <c r="E469" s="18" t="str">
        <f>IFERROR(VLOOKUP(C469,[8]Sheet2!$C$1:$F$1223,4,0),"")</f>
        <v/>
      </c>
    </row>
    <row r="470" spans="2:5">
      <c r="B470" s="17" t="str">
        <f>IFERROR(VLOOKUP(C470,[8]Sheet2!$C$3:$F$1223,2,0),"")</f>
        <v/>
      </c>
      <c r="D470" s="18" t="str">
        <f>IFERROR(VLOOKUP(C470,[8]Sheet2!$C$1:$F$1223,3,0),"")</f>
        <v/>
      </c>
      <c r="E470" s="18" t="str">
        <f>IFERROR(VLOOKUP(C470,[8]Sheet2!$C$1:$F$1223,4,0),"")</f>
        <v/>
      </c>
    </row>
    <row r="471" spans="2:5">
      <c r="B471" s="17" t="str">
        <f>IFERROR(VLOOKUP(C471,[8]Sheet2!$C$3:$F$1223,2,0),"")</f>
        <v/>
      </c>
      <c r="D471" s="18" t="str">
        <f>IFERROR(VLOOKUP(C471,[8]Sheet2!$C$1:$F$1223,3,0),"")</f>
        <v/>
      </c>
      <c r="E471" s="18" t="str">
        <f>IFERROR(VLOOKUP(C471,[8]Sheet2!$C$1:$F$1223,4,0),"")</f>
        <v/>
      </c>
    </row>
    <row r="472" spans="2:5">
      <c r="B472" s="17" t="str">
        <f>IFERROR(VLOOKUP(C472,[8]Sheet2!$C$3:$F$1223,2,0),"")</f>
        <v/>
      </c>
      <c r="D472" s="18" t="str">
        <f>IFERROR(VLOOKUP(C472,[8]Sheet2!$C$1:$F$1223,3,0),"")</f>
        <v/>
      </c>
      <c r="E472" s="18" t="str">
        <f>IFERROR(VLOOKUP(C472,[8]Sheet2!$C$1:$F$1223,4,0),"")</f>
        <v/>
      </c>
    </row>
    <row r="473" spans="2:5">
      <c r="B473" s="17" t="str">
        <f>IFERROR(VLOOKUP(C473,[8]Sheet2!$C$3:$F$1223,2,0),"")</f>
        <v/>
      </c>
      <c r="D473" s="18" t="str">
        <f>IFERROR(VLOOKUP(C473,[8]Sheet2!$C$1:$F$1223,3,0),"")</f>
        <v/>
      </c>
      <c r="E473" s="18" t="str">
        <f>IFERROR(VLOOKUP(C473,[8]Sheet2!$C$1:$F$1223,4,0),"")</f>
        <v/>
      </c>
    </row>
    <row r="474" spans="2:5">
      <c r="B474" s="17" t="str">
        <f>IFERROR(VLOOKUP(C474,[8]Sheet2!$C$3:$F$1223,2,0),"")</f>
        <v/>
      </c>
      <c r="D474" s="18" t="str">
        <f>IFERROR(VLOOKUP(C474,[8]Sheet2!$C$1:$F$1223,3,0),"")</f>
        <v/>
      </c>
      <c r="E474" s="18" t="str">
        <f>IFERROR(VLOOKUP(C474,[8]Sheet2!$C$1:$F$1223,4,0),"")</f>
        <v/>
      </c>
    </row>
    <row r="475" spans="2:5">
      <c r="B475" s="17" t="str">
        <f>IFERROR(VLOOKUP(C475,[8]Sheet2!$C$3:$F$1223,2,0),"")</f>
        <v/>
      </c>
      <c r="D475" s="18" t="str">
        <f>IFERROR(VLOOKUP(C475,[8]Sheet2!$C$1:$F$1223,3,0),"")</f>
        <v/>
      </c>
      <c r="E475" s="18" t="str">
        <f>IFERROR(VLOOKUP(C475,[8]Sheet2!$C$1:$F$1223,4,0),"")</f>
        <v/>
      </c>
    </row>
    <row r="476" spans="2:5">
      <c r="B476" s="17" t="str">
        <f>IFERROR(VLOOKUP(C476,[8]Sheet2!$C$3:$F$1223,2,0),"")</f>
        <v/>
      </c>
      <c r="D476" s="18" t="str">
        <f>IFERROR(VLOOKUP(C476,[8]Sheet2!$C$1:$F$1223,3,0),"")</f>
        <v/>
      </c>
      <c r="E476" s="18" t="str">
        <f>IFERROR(VLOOKUP(C476,[8]Sheet2!$C$1:$F$1223,4,0),"")</f>
        <v/>
      </c>
    </row>
    <row r="477" spans="2:5">
      <c r="B477" s="17" t="str">
        <f>IFERROR(VLOOKUP(C477,[8]Sheet2!$C$3:$F$1223,2,0),"")</f>
        <v/>
      </c>
      <c r="D477" s="18" t="str">
        <f>IFERROR(VLOOKUP(C477,[8]Sheet2!$C$1:$F$1223,3,0),"")</f>
        <v/>
      </c>
      <c r="E477" s="18" t="str">
        <f>IFERROR(VLOOKUP(C477,[8]Sheet2!$C$1:$F$1223,4,0),"")</f>
        <v/>
      </c>
    </row>
    <row r="478" spans="2:5">
      <c r="B478" s="17" t="str">
        <f>IFERROR(VLOOKUP(C478,[8]Sheet2!$C$3:$F$1223,2,0),"")</f>
        <v/>
      </c>
      <c r="D478" s="18" t="str">
        <f>IFERROR(VLOOKUP(C478,[8]Sheet2!$C$1:$F$1223,3,0),"")</f>
        <v/>
      </c>
      <c r="E478" s="18" t="str">
        <f>IFERROR(VLOOKUP(C478,[8]Sheet2!$C$1:$F$1223,4,0),"")</f>
        <v/>
      </c>
    </row>
    <row r="479" spans="2:5">
      <c r="B479" s="17" t="str">
        <f>IFERROR(VLOOKUP(C479,[8]Sheet2!$C$3:$F$1223,2,0),"")</f>
        <v/>
      </c>
      <c r="D479" s="18" t="str">
        <f>IFERROR(VLOOKUP(C479,[8]Sheet2!$C$1:$F$1223,3,0),"")</f>
        <v/>
      </c>
      <c r="E479" s="18" t="str">
        <f>IFERROR(VLOOKUP(C479,[8]Sheet2!$C$1:$F$1223,4,0),"")</f>
        <v/>
      </c>
    </row>
    <row r="480" spans="2:5">
      <c r="B480" s="17" t="str">
        <f>IFERROR(VLOOKUP(C480,[8]Sheet2!$C$3:$F$1223,2,0),"")</f>
        <v/>
      </c>
      <c r="D480" s="18" t="str">
        <f>IFERROR(VLOOKUP(C480,[8]Sheet2!$C$1:$F$1223,3,0),"")</f>
        <v/>
      </c>
      <c r="E480" s="18" t="str">
        <f>IFERROR(VLOOKUP(C480,[8]Sheet2!$C$1:$F$1223,4,0),"")</f>
        <v/>
      </c>
    </row>
    <row r="481" spans="2:5">
      <c r="B481" s="17" t="str">
        <f>IFERROR(VLOOKUP(C481,[8]Sheet2!$C$3:$F$1223,2,0),"")</f>
        <v/>
      </c>
      <c r="D481" s="18" t="str">
        <f>IFERROR(VLOOKUP(C481,[8]Sheet2!$C$1:$F$1223,3,0),"")</f>
        <v/>
      </c>
      <c r="E481" s="18" t="str">
        <f>IFERROR(VLOOKUP(C481,[8]Sheet2!$C$1:$F$1223,4,0),"")</f>
        <v/>
      </c>
    </row>
    <row r="482" spans="2:5">
      <c r="B482" s="17" t="str">
        <f>IFERROR(VLOOKUP(C482,[8]Sheet2!$C$3:$F$1223,2,0),"")</f>
        <v/>
      </c>
      <c r="D482" s="18" t="str">
        <f>IFERROR(VLOOKUP(C482,[8]Sheet2!$C$1:$F$1223,3,0),"")</f>
        <v/>
      </c>
      <c r="E482" s="18" t="str">
        <f>IFERROR(VLOOKUP(C482,[8]Sheet2!$C$1:$F$1223,4,0),"")</f>
        <v/>
      </c>
    </row>
    <row r="483" spans="2:5">
      <c r="B483" s="17" t="str">
        <f>IFERROR(VLOOKUP(C483,[8]Sheet2!$C$3:$F$1223,2,0),"")</f>
        <v/>
      </c>
      <c r="D483" s="18" t="str">
        <f>IFERROR(VLOOKUP(C483,[8]Sheet2!$C$1:$F$1223,3,0),"")</f>
        <v/>
      </c>
      <c r="E483" s="18" t="str">
        <f>IFERROR(VLOOKUP(C483,[8]Sheet2!$C$1:$F$1223,4,0),"")</f>
        <v/>
      </c>
    </row>
    <row r="484" spans="2:5">
      <c r="B484" s="17" t="str">
        <f>IFERROR(VLOOKUP(C484,[8]Sheet2!$C$3:$F$1223,2,0),"")</f>
        <v/>
      </c>
      <c r="D484" s="18" t="str">
        <f>IFERROR(VLOOKUP(C484,[8]Sheet2!$C$1:$F$1223,3,0),"")</f>
        <v/>
      </c>
      <c r="E484" s="18" t="str">
        <f>IFERROR(VLOOKUP(C484,[8]Sheet2!$C$1:$F$1223,4,0),"")</f>
        <v/>
      </c>
    </row>
    <row r="485" spans="2:5">
      <c r="B485" s="17" t="str">
        <f>IFERROR(VLOOKUP(C485,[8]Sheet2!$C$3:$F$1223,2,0),"")</f>
        <v/>
      </c>
      <c r="D485" s="18" t="str">
        <f>IFERROR(VLOOKUP(C485,[8]Sheet2!$C$1:$F$1223,3,0),"")</f>
        <v/>
      </c>
      <c r="E485" s="18" t="str">
        <f>IFERROR(VLOOKUP(C485,[8]Sheet2!$C$1:$F$1223,4,0),"")</f>
        <v/>
      </c>
    </row>
    <row r="486" spans="2:5">
      <c r="B486" s="17" t="str">
        <f>IFERROR(VLOOKUP(C486,[8]Sheet2!$C$3:$F$1223,2,0),"")</f>
        <v/>
      </c>
      <c r="D486" s="18" t="str">
        <f>IFERROR(VLOOKUP(C486,[8]Sheet2!$C$1:$F$1223,3,0),"")</f>
        <v/>
      </c>
      <c r="E486" s="18" t="str">
        <f>IFERROR(VLOOKUP(C486,[8]Sheet2!$C$1:$F$1223,4,0),"")</f>
        <v/>
      </c>
    </row>
    <row r="487" spans="2:5">
      <c r="B487" s="17" t="str">
        <f>IFERROR(VLOOKUP(C487,[8]Sheet2!$C$3:$F$1223,2,0),"")</f>
        <v/>
      </c>
      <c r="D487" s="18" t="str">
        <f>IFERROR(VLOOKUP(C487,[8]Sheet2!$C$1:$F$1223,3,0),"")</f>
        <v/>
      </c>
      <c r="E487" s="18" t="str">
        <f>IFERROR(VLOOKUP(C487,[8]Sheet2!$C$1:$F$1223,4,0),"")</f>
        <v/>
      </c>
    </row>
    <row r="488" spans="2:5">
      <c r="B488" s="17" t="str">
        <f>IFERROR(VLOOKUP(C488,[8]Sheet2!$C$3:$F$1223,2,0),"")</f>
        <v/>
      </c>
      <c r="D488" s="18" t="str">
        <f>IFERROR(VLOOKUP(C488,[8]Sheet2!$C$1:$F$1223,3,0),"")</f>
        <v/>
      </c>
      <c r="E488" s="18" t="str">
        <f>IFERROR(VLOOKUP(C488,[8]Sheet2!$C$1:$F$1223,4,0),"")</f>
        <v/>
      </c>
    </row>
    <row r="489" spans="2:5">
      <c r="B489" s="17" t="str">
        <f>IFERROR(VLOOKUP(C489,[8]Sheet2!$C$3:$F$1223,2,0),"")</f>
        <v/>
      </c>
      <c r="D489" s="18" t="str">
        <f>IFERROR(VLOOKUP(C489,[8]Sheet2!$C$1:$F$1223,3,0),"")</f>
        <v/>
      </c>
      <c r="E489" s="18" t="str">
        <f>IFERROR(VLOOKUP(C489,[8]Sheet2!$C$1:$F$1223,4,0),"")</f>
        <v/>
      </c>
    </row>
    <row r="490" spans="2:5">
      <c r="B490" s="17" t="str">
        <f>IFERROR(VLOOKUP(C490,[8]Sheet2!$C$3:$F$1223,2,0),"")</f>
        <v/>
      </c>
      <c r="D490" s="18" t="str">
        <f>IFERROR(VLOOKUP(C490,[8]Sheet2!$C$1:$F$1223,3,0),"")</f>
        <v/>
      </c>
      <c r="E490" s="18" t="str">
        <f>IFERROR(VLOOKUP(C490,[8]Sheet2!$C$1:$F$1223,4,0),"")</f>
        <v/>
      </c>
    </row>
    <row r="491" spans="2:5">
      <c r="B491" s="17" t="str">
        <f>IFERROR(VLOOKUP(C491,[8]Sheet2!$C$3:$F$1223,2,0),"")</f>
        <v/>
      </c>
      <c r="D491" s="18" t="str">
        <f>IFERROR(VLOOKUP(C491,[8]Sheet2!$C$1:$F$1223,3,0),"")</f>
        <v/>
      </c>
      <c r="E491" s="18" t="str">
        <f>IFERROR(VLOOKUP(C491,[8]Sheet2!$C$1:$F$1223,4,0),"")</f>
        <v/>
      </c>
    </row>
    <row r="492" spans="2:5">
      <c r="B492" s="17" t="str">
        <f>IFERROR(VLOOKUP(C492,[8]Sheet2!$C$3:$F$1223,2,0),"")</f>
        <v/>
      </c>
      <c r="D492" s="18" t="str">
        <f>IFERROR(VLOOKUP(C492,[8]Sheet2!$C$1:$F$1223,3,0),"")</f>
        <v/>
      </c>
      <c r="E492" s="18" t="str">
        <f>IFERROR(VLOOKUP(C492,[8]Sheet2!$C$1:$F$1223,4,0),"")</f>
        <v/>
      </c>
    </row>
    <row r="493" spans="2:5">
      <c r="B493" s="17" t="str">
        <f>IFERROR(VLOOKUP(C493,[8]Sheet2!$C$3:$F$1223,2,0),"")</f>
        <v/>
      </c>
      <c r="D493" s="18" t="str">
        <f>IFERROR(VLOOKUP(C493,[8]Sheet2!$C$1:$F$1223,3,0),"")</f>
        <v/>
      </c>
      <c r="E493" s="18" t="str">
        <f>IFERROR(VLOOKUP(C493,[8]Sheet2!$C$1:$F$1223,4,0),"")</f>
        <v/>
      </c>
    </row>
    <row r="494" spans="2:5">
      <c r="B494" s="17" t="str">
        <f>IFERROR(VLOOKUP(C494,[8]Sheet2!$C$3:$F$1223,2,0),"")</f>
        <v/>
      </c>
      <c r="D494" s="18" t="str">
        <f>IFERROR(VLOOKUP(C494,[8]Sheet2!$C$1:$F$1223,3,0),"")</f>
        <v/>
      </c>
      <c r="E494" s="18" t="str">
        <f>IFERROR(VLOOKUP(C494,[8]Sheet2!$C$1:$F$1223,4,0),"")</f>
        <v/>
      </c>
    </row>
    <row r="495" spans="2:5">
      <c r="B495" s="17" t="str">
        <f>IFERROR(VLOOKUP(C495,[8]Sheet2!$C$3:$F$1223,2,0),"")</f>
        <v/>
      </c>
      <c r="D495" s="18" t="str">
        <f>IFERROR(VLOOKUP(C495,[8]Sheet2!$C$1:$F$1223,3,0),"")</f>
        <v/>
      </c>
      <c r="E495" s="18" t="str">
        <f>IFERROR(VLOOKUP(C495,[8]Sheet2!$C$1:$F$1223,4,0),"")</f>
        <v/>
      </c>
    </row>
    <row r="496" spans="2:5">
      <c r="B496" s="17" t="str">
        <f>IFERROR(VLOOKUP(C496,[8]Sheet2!$C$3:$F$1223,2,0),"")</f>
        <v/>
      </c>
      <c r="D496" s="18" t="str">
        <f>IFERROR(VLOOKUP(C496,[8]Sheet2!$C$1:$F$1223,3,0),"")</f>
        <v/>
      </c>
      <c r="E496" s="18" t="str">
        <f>IFERROR(VLOOKUP(C496,[8]Sheet2!$C$1:$F$1223,4,0),"")</f>
        <v/>
      </c>
    </row>
    <row r="497" spans="2:5">
      <c r="B497" s="17" t="str">
        <f>IFERROR(VLOOKUP(C497,[8]Sheet2!$C$3:$F$1223,2,0),"")</f>
        <v/>
      </c>
      <c r="D497" s="18" t="str">
        <f>IFERROR(VLOOKUP(C497,[8]Sheet2!$C$1:$F$1223,3,0),"")</f>
        <v/>
      </c>
      <c r="E497" s="18" t="str">
        <f>IFERROR(VLOOKUP(C497,[8]Sheet2!$C$1:$F$1223,4,0),"")</f>
        <v/>
      </c>
    </row>
    <row r="498" spans="2:5">
      <c r="B498" s="17" t="str">
        <f>IFERROR(VLOOKUP(C498,[8]Sheet2!$C$3:$F$1223,2,0),"")</f>
        <v/>
      </c>
      <c r="D498" s="18" t="str">
        <f>IFERROR(VLOOKUP(C498,[8]Sheet2!$C$1:$F$1223,3,0),"")</f>
        <v/>
      </c>
      <c r="E498" s="18" t="str">
        <f>IFERROR(VLOOKUP(C498,[8]Sheet2!$C$1:$F$1223,4,0),"")</f>
        <v/>
      </c>
    </row>
    <row r="499" spans="2:5">
      <c r="B499" s="17" t="str">
        <f>IFERROR(VLOOKUP(C499,[8]Sheet2!$C$3:$F$1223,2,0),"")</f>
        <v/>
      </c>
      <c r="D499" s="18" t="str">
        <f>IFERROR(VLOOKUP(C499,[8]Sheet2!$C$1:$F$1223,3,0),"")</f>
        <v/>
      </c>
      <c r="E499" s="18" t="str">
        <f>IFERROR(VLOOKUP(C499,[8]Sheet2!$C$1:$F$1223,4,0),"")</f>
        <v/>
      </c>
    </row>
    <row r="500" spans="2:5">
      <c r="B500" s="17" t="str">
        <f>IFERROR(VLOOKUP(C500,[8]Sheet2!$C$3:$F$1223,2,0),"")</f>
        <v/>
      </c>
      <c r="D500" s="18" t="str">
        <f>IFERROR(VLOOKUP(C500,[8]Sheet2!$C$1:$F$1223,3,0),"")</f>
        <v/>
      </c>
      <c r="E500" s="18" t="str">
        <f>IFERROR(VLOOKUP(C500,[8]Sheet2!$C$1:$F$1223,4,0),"")</f>
        <v/>
      </c>
    </row>
    <row r="501" spans="2:5">
      <c r="B501" s="17" t="str">
        <f>IFERROR(VLOOKUP(C501,[8]Sheet2!$C$3:$F$1223,2,0),"")</f>
        <v/>
      </c>
      <c r="D501" s="18" t="str">
        <f>IFERROR(VLOOKUP(C501,[8]Sheet2!$C$1:$F$1223,3,0),"")</f>
        <v/>
      </c>
      <c r="E501" s="18" t="str">
        <f>IFERROR(VLOOKUP(C501,[8]Sheet2!$C$1:$F$1223,4,0),"")</f>
        <v/>
      </c>
    </row>
    <row r="502" spans="2:5">
      <c r="B502" s="17" t="str">
        <f>IFERROR(VLOOKUP(C502,[8]Sheet2!$C$3:$F$1223,2,0),"")</f>
        <v/>
      </c>
      <c r="D502" s="18" t="str">
        <f>IFERROR(VLOOKUP(C502,[8]Sheet2!$C$1:$F$1223,3,0),"")</f>
        <v/>
      </c>
      <c r="E502" s="18" t="str">
        <f>IFERROR(VLOOKUP(C502,[8]Sheet2!$C$1:$F$1223,4,0),"")</f>
        <v/>
      </c>
    </row>
    <row r="503" spans="2:5">
      <c r="B503" s="17" t="str">
        <f>IFERROR(VLOOKUP(C503,[8]Sheet2!$C$3:$F$1223,2,0),"")</f>
        <v/>
      </c>
      <c r="D503" s="18" t="str">
        <f>IFERROR(VLOOKUP(C503,[8]Sheet2!$C$1:$F$1223,3,0),"")</f>
        <v/>
      </c>
      <c r="E503" s="18" t="str">
        <f>IFERROR(VLOOKUP(C503,[8]Sheet2!$C$1:$F$1223,4,0),"")</f>
        <v/>
      </c>
    </row>
    <row r="504" spans="2:5">
      <c r="B504" s="17" t="str">
        <f>IFERROR(VLOOKUP(C504,[8]Sheet2!$C$3:$F$1223,2,0),"")</f>
        <v/>
      </c>
      <c r="D504" s="18" t="str">
        <f>IFERROR(VLOOKUP(C504,[8]Sheet2!$C$1:$F$1223,3,0),"")</f>
        <v/>
      </c>
      <c r="E504" s="18" t="str">
        <f>IFERROR(VLOOKUP(C504,[8]Sheet2!$C$1:$F$1223,4,0),"")</f>
        <v/>
      </c>
    </row>
    <row r="505" spans="2:5">
      <c r="B505" s="17" t="str">
        <f>IFERROR(VLOOKUP(C505,[8]Sheet2!$C$3:$F$1223,2,0),"")</f>
        <v/>
      </c>
      <c r="D505" s="18" t="str">
        <f>IFERROR(VLOOKUP(C505,[8]Sheet2!$C$1:$F$1223,3,0),"")</f>
        <v/>
      </c>
      <c r="E505" s="18" t="str">
        <f>IFERROR(VLOOKUP(C505,[8]Sheet2!$C$1:$F$1223,4,0),"")</f>
        <v/>
      </c>
    </row>
    <row r="506" spans="2:5">
      <c r="B506" s="17" t="str">
        <f>IFERROR(VLOOKUP(C506,[8]Sheet2!$C$3:$F$1223,2,0),"")</f>
        <v/>
      </c>
      <c r="D506" s="18" t="str">
        <f>IFERROR(VLOOKUP(C506,[8]Sheet2!$C$1:$F$1223,3,0),"")</f>
        <v/>
      </c>
      <c r="E506" s="18" t="str">
        <f>IFERROR(VLOOKUP(C506,[8]Sheet2!$C$1:$F$1223,4,0),"")</f>
        <v/>
      </c>
    </row>
    <row r="507" spans="2:5">
      <c r="B507" s="17" t="str">
        <f>IFERROR(VLOOKUP(C507,[8]Sheet2!$C$3:$F$1223,2,0),"")</f>
        <v/>
      </c>
      <c r="D507" s="18" t="str">
        <f>IFERROR(VLOOKUP(C507,[8]Sheet2!$C$1:$F$1223,3,0),"")</f>
        <v/>
      </c>
      <c r="E507" s="18" t="str">
        <f>IFERROR(VLOOKUP(C507,[8]Sheet2!$C$1:$F$1223,4,0),"")</f>
        <v/>
      </c>
    </row>
    <row r="508" spans="2:5">
      <c r="B508" s="17" t="str">
        <f>IFERROR(VLOOKUP(C508,[8]Sheet2!$C$3:$F$1223,2,0),"")</f>
        <v/>
      </c>
      <c r="D508" s="18" t="str">
        <f>IFERROR(VLOOKUP(C508,[8]Sheet2!$C$1:$F$1223,3,0),"")</f>
        <v/>
      </c>
      <c r="E508" s="18" t="str">
        <f>IFERROR(VLOOKUP(C508,[8]Sheet2!$C$1:$F$1223,4,0),"")</f>
        <v/>
      </c>
    </row>
    <row r="509" spans="2:5">
      <c r="B509" s="17" t="str">
        <f>IFERROR(VLOOKUP(C509,[8]Sheet2!$C$3:$F$1223,2,0),"")</f>
        <v/>
      </c>
      <c r="D509" s="18" t="str">
        <f>IFERROR(VLOOKUP(C509,[8]Sheet2!$C$1:$F$1223,3,0),"")</f>
        <v/>
      </c>
      <c r="E509" s="18" t="str">
        <f>IFERROR(VLOOKUP(C509,[8]Sheet2!$C$1:$F$1223,4,0),"")</f>
        <v/>
      </c>
    </row>
    <row r="510" spans="2:5">
      <c r="B510" s="17" t="str">
        <f>IFERROR(VLOOKUP(C510,[8]Sheet2!$C$3:$F$1223,2,0),"")</f>
        <v/>
      </c>
      <c r="D510" s="18" t="str">
        <f>IFERROR(VLOOKUP(C510,[8]Sheet2!$C$1:$F$1223,3,0),"")</f>
        <v/>
      </c>
      <c r="E510" s="18" t="str">
        <f>IFERROR(VLOOKUP(C510,[8]Sheet2!$C$1:$F$1223,4,0),"")</f>
        <v/>
      </c>
    </row>
    <row r="511" spans="2:5">
      <c r="B511" s="17" t="str">
        <f>IFERROR(VLOOKUP(C511,[8]Sheet2!$C$3:$F$1223,2,0),"")</f>
        <v/>
      </c>
      <c r="D511" s="18" t="str">
        <f>IFERROR(VLOOKUP(C511,[8]Sheet2!$C$1:$F$1223,3,0),"")</f>
        <v/>
      </c>
      <c r="E511" s="18" t="str">
        <f>IFERROR(VLOOKUP(C511,[8]Sheet2!$C$1:$F$1223,4,0),"")</f>
        <v/>
      </c>
    </row>
    <row r="512" spans="2:5">
      <c r="B512" s="17" t="str">
        <f>IFERROR(VLOOKUP(C512,[8]Sheet2!$C$3:$F$1223,2,0),"")</f>
        <v/>
      </c>
      <c r="D512" s="18" t="str">
        <f>IFERROR(VLOOKUP(C512,[8]Sheet2!$C$1:$F$1223,3,0),"")</f>
        <v/>
      </c>
      <c r="E512" s="18" t="str">
        <f>IFERROR(VLOOKUP(C512,[8]Sheet2!$C$1:$F$1223,4,0),"")</f>
        <v/>
      </c>
    </row>
    <row r="513" spans="2:5">
      <c r="B513" s="17" t="str">
        <f>IFERROR(VLOOKUP(C513,[8]Sheet2!$C$3:$F$1223,2,0),"")</f>
        <v/>
      </c>
      <c r="D513" s="18" t="str">
        <f>IFERROR(VLOOKUP(C513,[8]Sheet2!$C$1:$F$1223,3,0),"")</f>
        <v/>
      </c>
      <c r="E513" s="18" t="str">
        <f>IFERROR(VLOOKUP(C513,[8]Sheet2!$C$1:$F$1223,4,0),"")</f>
        <v/>
      </c>
    </row>
    <row r="514" spans="2:5">
      <c r="B514" s="17" t="str">
        <f>IFERROR(VLOOKUP(C514,[8]Sheet2!$C$3:$F$1223,2,0),"")</f>
        <v/>
      </c>
      <c r="D514" s="18" t="str">
        <f>IFERROR(VLOOKUP(C514,[8]Sheet2!$C$1:$F$1223,3,0),"")</f>
        <v/>
      </c>
      <c r="E514" s="18" t="str">
        <f>IFERROR(VLOOKUP(C514,[8]Sheet2!$C$1:$F$1223,4,0),"")</f>
        <v/>
      </c>
    </row>
    <row r="515" spans="2:5">
      <c r="B515" s="17" t="str">
        <f>IFERROR(VLOOKUP(C515,[8]Sheet2!$C$3:$F$1223,2,0),"")</f>
        <v/>
      </c>
      <c r="D515" s="18" t="str">
        <f>IFERROR(VLOOKUP(C515,[8]Sheet2!$C$1:$F$1223,3,0),"")</f>
        <v/>
      </c>
      <c r="E515" s="18" t="str">
        <f>IFERROR(VLOOKUP(C515,[8]Sheet2!$C$1:$F$1223,4,0),"")</f>
        <v/>
      </c>
    </row>
    <row r="516" spans="2:5">
      <c r="B516" s="17" t="str">
        <f>IFERROR(VLOOKUP(C516,[8]Sheet2!$C$3:$F$1223,2,0),"")</f>
        <v/>
      </c>
      <c r="D516" s="18" t="str">
        <f>IFERROR(VLOOKUP(C516,[8]Sheet2!$C$1:$F$1223,3,0),"")</f>
        <v/>
      </c>
      <c r="E516" s="18" t="str">
        <f>IFERROR(VLOOKUP(C516,[8]Sheet2!$C$1:$F$1223,4,0),"")</f>
        <v/>
      </c>
    </row>
    <row r="517" spans="2:5">
      <c r="B517" s="17" t="str">
        <f>IFERROR(VLOOKUP(C517,[8]Sheet2!$C$3:$F$1223,2,0),"")</f>
        <v/>
      </c>
      <c r="D517" s="18" t="str">
        <f>IFERROR(VLOOKUP(C517,[8]Sheet2!$C$1:$F$1223,3,0),"")</f>
        <v/>
      </c>
      <c r="E517" s="18" t="str">
        <f>IFERROR(VLOOKUP(C517,[8]Sheet2!$C$1:$F$1223,4,0),"")</f>
        <v/>
      </c>
    </row>
    <row r="518" spans="2:5">
      <c r="B518" s="17" t="str">
        <f>IFERROR(VLOOKUP(C518,[8]Sheet2!$C$3:$F$1223,2,0),"")</f>
        <v/>
      </c>
      <c r="D518" s="18" t="str">
        <f>IFERROR(VLOOKUP(C518,[8]Sheet2!$C$1:$F$1223,3,0),"")</f>
        <v/>
      </c>
      <c r="E518" s="18" t="str">
        <f>IFERROR(VLOOKUP(C518,[8]Sheet2!$C$1:$F$1223,4,0),"")</f>
        <v/>
      </c>
    </row>
    <row r="519" spans="2:5">
      <c r="B519" s="17" t="str">
        <f>IFERROR(VLOOKUP(C519,[8]Sheet2!$C$3:$F$1223,2,0),"")</f>
        <v/>
      </c>
      <c r="D519" s="18" t="str">
        <f>IFERROR(VLOOKUP(C519,[8]Sheet2!$C$1:$F$1223,3,0),"")</f>
        <v/>
      </c>
      <c r="E519" s="18" t="str">
        <f>IFERROR(VLOOKUP(C519,[8]Sheet2!$C$1:$F$1223,4,0),"")</f>
        <v/>
      </c>
    </row>
    <row r="520" spans="2:5">
      <c r="B520" s="17" t="str">
        <f>IFERROR(VLOOKUP(C520,[8]Sheet2!$C$3:$F$1223,2,0),"")</f>
        <v/>
      </c>
      <c r="D520" s="18" t="str">
        <f>IFERROR(VLOOKUP(C520,[8]Sheet2!$C$1:$F$1223,3,0),"")</f>
        <v/>
      </c>
      <c r="E520" s="18" t="str">
        <f>IFERROR(VLOOKUP(C520,[8]Sheet2!$C$1:$F$1223,4,0),"")</f>
        <v/>
      </c>
    </row>
    <row r="521" spans="2:5">
      <c r="B521" s="17" t="str">
        <f>IFERROR(VLOOKUP(C521,[8]Sheet2!$C$3:$F$1223,2,0),"")</f>
        <v/>
      </c>
      <c r="D521" s="18" t="str">
        <f>IFERROR(VLOOKUP(C521,[8]Sheet2!$C$1:$F$1223,3,0),"")</f>
        <v/>
      </c>
      <c r="E521" s="18" t="str">
        <f>IFERROR(VLOOKUP(C521,[8]Sheet2!$C$1:$F$1223,4,0),"")</f>
        <v/>
      </c>
    </row>
    <row r="522" spans="2:5">
      <c r="B522" s="17" t="str">
        <f>IFERROR(VLOOKUP(C522,[8]Sheet2!$C$3:$F$1223,2,0),"")</f>
        <v/>
      </c>
      <c r="D522" s="18" t="str">
        <f>IFERROR(VLOOKUP(C522,[8]Sheet2!$C$1:$F$1223,3,0),"")</f>
        <v/>
      </c>
      <c r="E522" s="18" t="str">
        <f>IFERROR(VLOOKUP(C522,[8]Sheet2!$C$1:$F$1223,4,0),"")</f>
        <v/>
      </c>
    </row>
    <row r="523" spans="2:5">
      <c r="B523" s="17" t="str">
        <f>IFERROR(VLOOKUP(C523,[8]Sheet2!$C$3:$F$1223,2,0),"")</f>
        <v/>
      </c>
      <c r="D523" s="18" t="str">
        <f>IFERROR(VLOOKUP(C523,[8]Sheet2!$C$1:$F$1223,3,0),"")</f>
        <v/>
      </c>
      <c r="E523" s="18" t="str">
        <f>IFERROR(VLOOKUP(C523,[8]Sheet2!$C$1:$F$1223,4,0),"")</f>
        <v/>
      </c>
    </row>
    <row r="524" spans="2:5">
      <c r="B524" s="17" t="str">
        <f>IFERROR(VLOOKUP(C524,[8]Sheet2!$C$3:$F$1223,2,0),"")</f>
        <v/>
      </c>
      <c r="D524" s="18" t="str">
        <f>IFERROR(VLOOKUP(C524,[8]Sheet2!$C$1:$F$1223,3,0),"")</f>
        <v/>
      </c>
      <c r="E524" s="18" t="str">
        <f>IFERROR(VLOOKUP(C524,[8]Sheet2!$C$1:$F$1223,4,0),"")</f>
        <v/>
      </c>
    </row>
    <row r="525" spans="2:5">
      <c r="B525" s="17" t="str">
        <f>IFERROR(VLOOKUP(C525,[8]Sheet2!$C$3:$F$1223,2,0),"")</f>
        <v/>
      </c>
      <c r="D525" s="18" t="str">
        <f>IFERROR(VLOOKUP(C525,[8]Sheet2!$C$1:$F$1223,3,0),"")</f>
        <v/>
      </c>
      <c r="E525" s="18" t="str">
        <f>IFERROR(VLOOKUP(C525,[8]Sheet2!$C$1:$F$1223,4,0),"")</f>
        <v/>
      </c>
    </row>
    <row r="526" spans="2:5">
      <c r="B526" s="17" t="str">
        <f>IFERROR(VLOOKUP(C526,[8]Sheet2!$C$3:$F$1223,2,0),"")</f>
        <v/>
      </c>
      <c r="D526" s="18" t="str">
        <f>IFERROR(VLOOKUP(C526,[8]Sheet2!$C$1:$F$1223,3,0),"")</f>
        <v/>
      </c>
      <c r="E526" s="18" t="str">
        <f>IFERROR(VLOOKUP(C526,[8]Sheet2!$C$1:$F$1223,4,0),"")</f>
        <v/>
      </c>
    </row>
    <row r="527" spans="2:5">
      <c r="B527" s="17" t="str">
        <f>IFERROR(VLOOKUP(C527,[8]Sheet2!$C$3:$F$1223,2,0),"")</f>
        <v/>
      </c>
      <c r="D527" s="18" t="str">
        <f>IFERROR(VLOOKUP(C527,[8]Sheet2!$C$1:$F$1223,3,0),"")</f>
        <v/>
      </c>
      <c r="E527" s="18" t="str">
        <f>IFERROR(VLOOKUP(C527,[8]Sheet2!$C$1:$F$1223,4,0),"")</f>
        <v/>
      </c>
    </row>
    <row r="528" spans="2:5">
      <c r="B528" s="17" t="str">
        <f>IFERROR(VLOOKUP(C528,[8]Sheet2!$C$3:$F$1223,2,0),"")</f>
        <v/>
      </c>
      <c r="D528" s="18" t="str">
        <f>IFERROR(VLOOKUP(C528,[8]Sheet2!$C$1:$F$1223,3,0),"")</f>
        <v/>
      </c>
      <c r="E528" s="18" t="str">
        <f>IFERROR(VLOOKUP(C528,[8]Sheet2!$C$1:$F$1223,4,0),"")</f>
        <v/>
      </c>
    </row>
    <row r="529" spans="2:5">
      <c r="B529" s="17" t="str">
        <f>IFERROR(VLOOKUP(C529,[8]Sheet2!$C$3:$F$1223,2,0),"")</f>
        <v/>
      </c>
      <c r="D529" s="18" t="str">
        <f>IFERROR(VLOOKUP(C529,[8]Sheet2!$C$1:$F$1223,3,0),"")</f>
        <v/>
      </c>
      <c r="E529" s="18" t="str">
        <f>IFERROR(VLOOKUP(C529,[8]Sheet2!$C$1:$F$1223,4,0),"")</f>
        <v/>
      </c>
    </row>
    <row r="530" spans="2:5">
      <c r="B530" s="17" t="str">
        <f>IFERROR(VLOOKUP(C530,[8]Sheet2!$C$3:$F$1223,2,0),"")</f>
        <v/>
      </c>
      <c r="D530" s="18" t="str">
        <f>IFERROR(VLOOKUP(C530,[8]Sheet2!$C$1:$F$1223,3,0),"")</f>
        <v/>
      </c>
      <c r="E530" s="18" t="str">
        <f>IFERROR(VLOOKUP(C530,[8]Sheet2!$C$1:$F$1223,4,0),"")</f>
        <v/>
      </c>
    </row>
    <row r="531" spans="2:5">
      <c r="B531" s="17" t="str">
        <f>IFERROR(VLOOKUP(C531,[8]Sheet2!$C$3:$F$1223,2,0),"")</f>
        <v/>
      </c>
      <c r="D531" s="18" t="str">
        <f>IFERROR(VLOOKUP(C531,[8]Sheet2!$C$1:$F$1223,3,0),"")</f>
        <v/>
      </c>
      <c r="E531" s="18" t="str">
        <f>IFERROR(VLOOKUP(C531,[8]Sheet2!$C$1:$F$1223,4,0),"")</f>
        <v/>
      </c>
    </row>
    <row r="532" spans="2:5">
      <c r="B532" s="17" t="str">
        <f>IFERROR(VLOOKUP(C532,[8]Sheet2!$C$3:$F$1223,2,0),"")</f>
        <v/>
      </c>
      <c r="D532" s="18" t="str">
        <f>IFERROR(VLOOKUP(C532,[8]Sheet2!$C$1:$F$1223,3,0),"")</f>
        <v/>
      </c>
      <c r="E532" s="18" t="str">
        <f>IFERROR(VLOOKUP(C532,[8]Sheet2!$C$1:$F$1223,4,0),"")</f>
        <v/>
      </c>
    </row>
    <row r="533" spans="2:5">
      <c r="B533" s="17" t="str">
        <f>IFERROR(VLOOKUP(C533,[8]Sheet2!$C$3:$F$1223,2,0),"")</f>
        <v/>
      </c>
      <c r="D533" s="18" t="str">
        <f>IFERROR(VLOOKUP(C533,[8]Sheet2!$C$1:$F$1223,3,0),"")</f>
        <v/>
      </c>
      <c r="E533" s="18" t="str">
        <f>IFERROR(VLOOKUP(C533,[8]Sheet2!$C$1:$F$1223,4,0),"")</f>
        <v/>
      </c>
    </row>
    <row r="534" spans="2:5">
      <c r="B534" s="17" t="str">
        <f>IFERROR(VLOOKUP(C534,[8]Sheet2!$C$3:$F$1223,2,0),"")</f>
        <v/>
      </c>
      <c r="D534" s="18" t="str">
        <f>IFERROR(VLOOKUP(C534,[8]Sheet2!$C$1:$F$1223,3,0),"")</f>
        <v/>
      </c>
      <c r="E534" s="18" t="str">
        <f>IFERROR(VLOOKUP(C534,[8]Sheet2!$C$1:$F$1223,4,0),"")</f>
        <v/>
      </c>
    </row>
    <row r="535" spans="2:5">
      <c r="B535" s="17" t="str">
        <f>IFERROR(VLOOKUP(C535,[8]Sheet2!$C$3:$F$1223,2,0),"")</f>
        <v/>
      </c>
      <c r="D535" s="18" t="str">
        <f>IFERROR(VLOOKUP(C535,[8]Sheet2!$C$1:$F$1223,3,0),"")</f>
        <v/>
      </c>
      <c r="E535" s="18" t="str">
        <f>IFERROR(VLOOKUP(C535,[8]Sheet2!$C$1:$F$1223,4,0),"")</f>
        <v/>
      </c>
    </row>
    <row r="536" spans="2:5">
      <c r="B536" s="17" t="str">
        <f>IFERROR(VLOOKUP(C536,[8]Sheet2!$C$3:$F$1223,2,0),"")</f>
        <v/>
      </c>
      <c r="D536" s="18" t="str">
        <f>IFERROR(VLOOKUP(C536,[8]Sheet2!$C$1:$F$1223,3,0),"")</f>
        <v/>
      </c>
      <c r="E536" s="18" t="str">
        <f>IFERROR(VLOOKUP(C536,[8]Sheet2!$C$1:$F$1223,4,0),"")</f>
        <v/>
      </c>
    </row>
    <row r="537" spans="2:5">
      <c r="B537" s="17" t="str">
        <f>IFERROR(VLOOKUP(C537,[8]Sheet2!$C$3:$F$1223,2,0),"")</f>
        <v/>
      </c>
      <c r="D537" s="18" t="str">
        <f>IFERROR(VLOOKUP(C537,[8]Sheet2!$C$1:$F$1223,3,0),"")</f>
        <v/>
      </c>
      <c r="E537" s="18" t="str">
        <f>IFERROR(VLOOKUP(C537,[8]Sheet2!$C$1:$F$1223,4,0),"")</f>
        <v/>
      </c>
    </row>
    <row r="538" spans="2:5">
      <c r="B538" s="17" t="str">
        <f>IFERROR(VLOOKUP(C538,[8]Sheet2!$C$3:$F$1223,2,0),"")</f>
        <v/>
      </c>
      <c r="D538" s="18" t="str">
        <f>IFERROR(VLOOKUP(C538,[8]Sheet2!$C$1:$F$1223,3,0),"")</f>
        <v/>
      </c>
      <c r="E538" s="18" t="str">
        <f>IFERROR(VLOOKUP(C538,[8]Sheet2!$C$1:$F$1223,4,0),"")</f>
        <v/>
      </c>
    </row>
    <row r="539" spans="2:5">
      <c r="B539" s="17" t="str">
        <f>IFERROR(VLOOKUP(C539,[8]Sheet2!$C$3:$F$1223,2,0),"")</f>
        <v/>
      </c>
      <c r="D539" s="18" t="str">
        <f>IFERROR(VLOOKUP(C539,[8]Sheet2!$C$1:$F$1223,3,0),"")</f>
        <v/>
      </c>
      <c r="E539" s="18" t="str">
        <f>IFERROR(VLOOKUP(C539,[8]Sheet2!$C$1:$F$1223,4,0),"")</f>
        <v/>
      </c>
    </row>
    <row r="540" spans="2:5">
      <c r="B540" s="17" t="str">
        <f>IFERROR(VLOOKUP(C540,[8]Sheet2!$C$3:$F$1223,2,0),"")</f>
        <v/>
      </c>
      <c r="D540" s="18" t="str">
        <f>IFERROR(VLOOKUP(C540,[8]Sheet2!$C$1:$F$1223,3,0),"")</f>
        <v/>
      </c>
      <c r="E540" s="18" t="str">
        <f>IFERROR(VLOOKUP(C540,[8]Sheet2!$C$1:$F$1223,4,0),"")</f>
        <v/>
      </c>
    </row>
    <row r="541" spans="2:5">
      <c r="B541" s="17" t="str">
        <f>IFERROR(VLOOKUP(C541,[8]Sheet2!$C$3:$F$1223,2,0),"")</f>
        <v/>
      </c>
      <c r="D541" s="18" t="str">
        <f>IFERROR(VLOOKUP(C541,[8]Sheet2!$C$1:$F$1223,3,0),"")</f>
        <v/>
      </c>
      <c r="E541" s="18" t="str">
        <f>IFERROR(VLOOKUP(C541,[8]Sheet2!$C$1:$F$1223,4,0),"")</f>
        <v/>
      </c>
    </row>
    <row r="542" spans="2:5">
      <c r="B542" s="17" t="str">
        <f>IFERROR(VLOOKUP(C542,[8]Sheet2!$C$3:$F$1223,2,0),"")</f>
        <v/>
      </c>
      <c r="D542" s="18" t="str">
        <f>IFERROR(VLOOKUP(C542,[8]Sheet2!$C$1:$F$1223,3,0),"")</f>
        <v/>
      </c>
      <c r="E542" s="18" t="str">
        <f>IFERROR(VLOOKUP(C542,[8]Sheet2!$C$1:$F$1223,4,0),"")</f>
        <v/>
      </c>
    </row>
    <row r="543" spans="2:5">
      <c r="B543" s="17" t="str">
        <f>IFERROR(VLOOKUP(C543,[8]Sheet2!$C$3:$F$1223,2,0),"")</f>
        <v/>
      </c>
      <c r="D543" s="18" t="str">
        <f>IFERROR(VLOOKUP(C543,[8]Sheet2!$C$1:$F$1223,3,0),"")</f>
        <v/>
      </c>
      <c r="E543" s="18" t="str">
        <f>IFERROR(VLOOKUP(C543,[8]Sheet2!$C$1:$F$1223,4,0),"")</f>
        <v/>
      </c>
    </row>
    <row r="544" spans="2:5">
      <c r="B544" s="17" t="str">
        <f>IFERROR(VLOOKUP(C544,[8]Sheet2!$C$3:$F$1223,2,0),"")</f>
        <v/>
      </c>
      <c r="D544" s="18" t="str">
        <f>IFERROR(VLOOKUP(C544,[8]Sheet2!$C$1:$F$1223,3,0),"")</f>
        <v/>
      </c>
      <c r="E544" s="18" t="str">
        <f>IFERROR(VLOOKUP(C544,[8]Sheet2!$C$1:$F$1223,4,0),"")</f>
        <v/>
      </c>
    </row>
    <row r="545" spans="2:5">
      <c r="B545" s="17" t="str">
        <f>IFERROR(VLOOKUP(C545,[8]Sheet2!$C$3:$F$1223,2,0),"")</f>
        <v/>
      </c>
      <c r="D545" s="18" t="str">
        <f>IFERROR(VLOOKUP(C545,[8]Sheet2!$C$1:$F$1223,3,0),"")</f>
        <v/>
      </c>
      <c r="E545" s="18" t="str">
        <f>IFERROR(VLOOKUP(C545,[8]Sheet2!$C$1:$F$1223,4,0),"")</f>
        <v/>
      </c>
    </row>
    <row r="546" spans="2:5">
      <c r="B546" s="17" t="str">
        <f>IFERROR(VLOOKUP(C546,[8]Sheet2!$C$3:$F$1223,2,0),"")</f>
        <v/>
      </c>
      <c r="D546" s="18" t="str">
        <f>IFERROR(VLOOKUP(C546,[8]Sheet2!$C$1:$F$1223,3,0),"")</f>
        <v/>
      </c>
      <c r="E546" s="18" t="str">
        <f>IFERROR(VLOOKUP(C546,[8]Sheet2!$C$1:$F$1223,4,0),"")</f>
        <v/>
      </c>
    </row>
    <row r="547" spans="2:5">
      <c r="B547" s="17" t="str">
        <f>IFERROR(VLOOKUP(C547,[8]Sheet2!$C$3:$F$1223,2,0),"")</f>
        <v/>
      </c>
      <c r="D547" s="18" t="str">
        <f>IFERROR(VLOOKUP(C547,[8]Sheet2!$C$1:$F$1223,3,0),"")</f>
        <v/>
      </c>
      <c r="E547" s="18" t="str">
        <f>IFERROR(VLOOKUP(C547,[8]Sheet2!$C$1:$F$1223,4,0),"")</f>
        <v/>
      </c>
    </row>
    <row r="548" spans="2:5">
      <c r="B548" s="17" t="str">
        <f>IFERROR(VLOOKUP(C548,[8]Sheet2!$C$3:$F$1223,2,0),"")</f>
        <v/>
      </c>
      <c r="D548" s="18" t="str">
        <f>IFERROR(VLOOKUP(C548,[8]Sheet2!$C$1:$F$1223,3,0),"")</f>
        <v/>
      </c>
      <c r="E548" s="18" t="str">
        <f>IFERROR(VLOOKUP(C548,[8]Sheet2!$C$1:$F$1223,4,0),"")</f>
        <v/>
      </c>
    </row>
    <row r="549" spans="2:5">
      <c r="B549" s="17" t="str">
        <f>IFERROR(VLOOKUP(C549,[8]Sheet2!$C$3:$F$1223,2,0),"")</f>
        <v/>
      </c>
      <c r="D549" s="18" t="str">
        <f>IFERROR(VLOOKUP(C549,[8]Sheet2!$C$1:$F$1223,3,0),"")</f>
        <v/>
      </c>
      <c r="E549" s="18" t="str">
        <f>IFERROR(VLOOKUP(C549,[8]Sheet2!$C$1:$F$1223,4,0),"")</f>
        <v/>
      </c>
    </row>
    <row r="550" spans="2:5">
      <c r="B550" s="17" t="str">
        <f>IFERROR(VLOOKUP(C550,[8]Sheet2!$C$3:$F$1223,2,0),"")</f>
        <v/>
      </c>
      <c r="D550" s="18" t="str">
        <f>IFERROR(VLOOKUP(C550,[8]Sheet2!$C$1:$F$1223,3,0),"")</f>
        <v/>
      </c>
      <c r="E550" s="18" t="str">
        <f>IFERROR(VLOOKUP(C550,[8]Sheet2!$C$1:$F$1223,4,0),"")</f>
        <v/>
      </c>
    </row>
    <row r="551" spans="2:5">
      <c r="B551" s="17" t="str">
        <f>IFERROR(VLOOKUP(C551,[8]Sheet2!$C$3:$F$1223,2,0),"")</f>
        <v/>
      </c>
      <c r="D551" s="18" t="str">
        <f>IFERROR(VLOOKUP(C551,[8]Sheet2!$C$1:$F$1223,3,0),"")</f>
        <v/>
      </c>
      <c r="E551" s="18" t="str">
        <f>IFERROR(VLOOKUP(C551,[8]Sheet2!$C$1:$F$1223,4,0),"")</f>
        <v/>
      </c>
    </row>
    <row r="552" spans="2:5">
      <c r="B552" s="17" t="str">
        <f>IFERROR(VLOOKUP(C552,[8]Sheet2!$C$3:$F$1223,2,0),"")</f>
        <v/>
      </c>
      <c r="D552" s="18" t="str">
        <f>IFERROR(VLOOKUP(C552,[8]Sheet2!$C$1:$F$1223,3,0),"")</f>
        <v/>
      </c>
      <c r="E552" s="18" t="str">
        <f>IFERROR(VLOOKUP(C552,[8]Sheet2!$C$1:$F$1223,4,0),"")</f>
        <v/>
      </c>
    </row>
    <row r="553" spans="2:5">
      <c r="B553" s="17" t="str">
        <f>IFERROR(VLOOKUP(C553,[8]Sheet2!$C$3:$F$1223,2,0),"")</f>
        <v/>
      </c>
      <c r="D553" s="18" t="str">
        <f>IFERROR(VLOOKUP(C553,[8]Sheet2!$C$1:$F$1223,3,0),"")</f>
        <v/>
      </c>
      <c r="E553" s="18" t="str">
        <f>IFERROR(VLOOKUP(C553,[8]Sheet2!$C$1:$F$1223,4,0),"")</f>
        <v/>
      </c>
    </row>
    <row r="554" spans="2:5">
      <c r="B554" s="17" t="str">
        <f>IFERROR(VLOOKUP(C554,[8]Sheet2!$C$3:$F$1223,2,0),"")</f>
        <v/>
      </c>
      <c r="D554" s="18" t="str">
        <f>IFERROR(VLOOKUP(C554,[8]Sheet2!$C$1:$F$1223,3,0),"")</f>
        <v/>
      </c>
      <c r="E554" s="18" t="str">
        <f>IFERROR(VLOOKUP(C554,[8]Sheet2!$C$1:$F$1223,4,0),"")</f>
        <v/>
      </c>
    </row>
    <row r="555" spans="2:5">
      <c r="B555" s="17" t="str">
        <f>IFERROR(VLOOKUP(C555,[8]Sheet2!$C$3:$F$1223,2,0),"")</f>
        <v/>
      </c>
      <c r="D555" s="18" t="str">
        <f>IFERROR(VLOOKUP(C555,[8]Sheet2!$C$1:$F$1223,3,0),"")</f>
        <v/>
      </c>
      <c r="E555" s="18" t="str">
        <f>IFERROR(VLOOKUP(C555,[8]Sheet2!$C$1:$F$1223,4,0),"")</f>
        <v/>
      </c>
    </row>
    <row r="556" spans="2:5">
      <c r="B556" s="17" t="str">
        <f>IFERROR(VLOOKUP(C556,[8]Sheet2!$C$3:$F$1223,2,0),"")</f>
        <v/>
      </c>
      <c r="D556" s="18" t="str">
        <f>IFERROR(VLOOKUP(C556,[8]Sheet2!$C$1:$F$1223,3,0),"")</f>
        <v/>
      </c>
      <c r="E556" s="18" t="str">
        <f>IFERROR(VLOOKUP(C556,[8]Sheet2!$C$1:$F$1223,4,0),"")</f>
        <v/>
      </c>
    </row>
    <row r="557" spans="2:5">
      <c r="B557" s="17" t="str">
        <f>IFERROR(VLOOKUP(C557,[8]Sheet2!$C$3:$F$1223,2,0),"")</f>
        <v/>
      </c>
      <c r="D557" s="18" t="str">
        <f>IFERROR(VLOOKUP(C557,[8]Sheet2!$C$1:$F$1223,3,0),"")</f>
        <v/>
      </c>
      <c r="E557" s="18" t="str">
        <f>IFERROR(VLOOKUP(C557,[8]Sheet2!$C$1:$F$1223,4,0),"")</f>
        <v/>
      </c>
    </row>
    <row r="558" spans="2:5">
      <c r="B558" s="17" t="str">
        <f>IFERROR(VLOOKUP(C558,[8]Sheet2!$C$3:$F$1223,2,0),"")</f>
        <v/>
      </c>
      <c r="D558" s="18" t="str">
        <f>IFERROR(VLOOKUP(C558,[8]Sheet2!$C$1:$F$1223,3,0),"")</f>
        <v/>
      </c>
      <c r="E558" s="18" t="str">
        <f>IFERROR(VLOOKUP(C558,[8]Sheet2!$C$1:$F$1223,4,0),"")</f>
        <v/>
      </c>
    </row>
    <row r="559" spans="2:5">
      <c r="B559" s="17" t="str">
        <f>IFERROR(VLOOKUP(C559,[8]Sheet2!$C$3:$F$1223,2,0),"")</f>
        <v/>
      </c>
      <c r="D559" s="18" t="str">
        <f>IFERROR(VLOOKUP(C559,[8]Sheet2!$C$1:$F$1223,3,0),"")</f>
        <v/>
      </c>
      <c r="E559" s="18" t="str">
        <f>IFERROR(VLOOKUP(C559,[8]Sheet2!$C$1:$F$1223,4,0),"")</f>
        <v/>
      </c>
    </row>
    <row r="560" spans="2:5">
      <c r="B560" s="17" t="str">
        <f>IFERROR(VLOOKUP(C560,[8]Sheet2!$C$3:$F$1223,2,0),"")</f>
        <v/>
      </c>
      <c r="D560" s="18" t="str">
        <f>IFERROR(VLOOKUP(C560,[8]Sheet2!$C$1:$F$1223,3,0),"")</f>
        <v/>
      </c>
      <c r="E560" s="18" t="str">
        <f>IFERROR(VLOOKUP(C560,[8]Sheet2!$C$1:$F$1223,4,0),"")</f>
        <v/>
      </c>
    </row>
    <row r="561" spans="2:5">
      <c r="B561" s="17" t="str">
        <f>IFERROR(VLOOKUP(C561,[8]Sheet2!$C$3:$F$1223,2,0),"")</f>
        <v/>
      </c>
      <c r="D561" s="18" t="str">
        <f>IFERROR(VLOOKUP(C561,[8]Sheet2!$C$1:$F$1223,3,0),"")</f>
        <v/>
      </c>
      <c r="E561" s="18" t="str">
        <f>IFERROR(VLOOKUP(C561,[8]Sheet2!$C$1:$F$1223,4,0),"")</f>
        <v/>
      </c>
    </row>
    <row r="562" spans="2:5">
      <c r="B562" s="17" t="str">
        <f>IFERROR(VLOOKUP(C562,[8]Sheet2!$C$3:$F$1223,2,0),"")</f>
        <v/>
      </c>
      <c r="D562" s="18" t="str">
        <f>IFERROR(VLOOKUP(C562,[8]Sheet2!$C$1:$F$1223,3,0),"")</f>
        <v/>
      </c>
      <c r="E562" s="18" t="str">
        <f>IFERROR(VLOOKUP(C562,[8]Sheet2!$C$1:$F$1223,4,0),"")</f>
        <v/>
      </c>
    </row>
    <row r="563" spans="2:5">
      <c r="B563" s="17" t="str">
        <f>IFERROR(VLOOKUP(C563,[8]Sheet2!$C$3:$F$1223,2,0),"")</f>
        <v/>
      </c>
      <c r="D563" s="18" t="str">
        <f>IFERROR(VLOOKUP(C563,[8]Sheet2!$C$1:$F$1223,3,0),"")</f>
        <v/>
      </c>
      <c r="E563" s="18" t="str">
        <f>IFERROR(VLOOKUP(C563,[8]Sheet2!$C$1:$F$1223,4,0),"")</f>
        <v/>
      </c>
    </row>
    <row r="564" spans="2:5">
      <c r="B564" s="17" t="str">
        <f>IFERROR(VLOOKUP(C564,[8]Sheet2!$C$3:$F$1223,2,0),"")</f>
        <v/>
      </c>
      <c r="D564" s="18" t="str">
        <f>IFERROR(VLOOKUP(C564,[8]Sheet2!$C$1:$F$1223,3,0),"")</f>
        <v/>
      </c>
      <c r="E564" s="18" t="str">
        <f>IFERROR(VLOOKUP(C564,[8]Sheet2!$C$1:$F$1223,4,0),"")</f>
        <v/>
      </c>
    </row>
    <row r="565" spans="2:5">
      <c r="B565" s="17" t="str">
        <f>IFERROR(VLOOKUP(C565,[8]Sheet2!$C$3:$F$1223,2,0),"")</f>
        <v/>
      </c>
      <c r="D565" s="18" t="str">
        <f>IFERROR(VLOOKUP(C565,[8]Sheet2!$C$1:$F$1223,3,0),"")</f>
        <v/>
      </c>
      <c r="E565" s="18" t="str">
        <f>IFERROR(VLOOKUP(C565,[8]Sheet2!$C$1:$F$1223,4,0),"")</f>
        <v/>
      </c>
    </row>
    <row r="566" spans="2:5">
      <c r="B566" s="17" t="str">
        <f>IFERROR(VLOOKUP(C566,[8]Sheet2!$C$3:$F$1223,2,0),"")</f>
        <v/>
      </c>
      <c r="D566" s="18" t="str">
        <f>IFERROR(VLOOKUP(C566,[8]Sheet2!$C$1:$F$1223,3,0),"")</f>
        <v/>
      </c>
      <c r="E566" s="18" t="str">
        <f>IFERROR(VLOOKUP(C566,[8]Sheet2!$C$1:$F$1223,4,0),"")</f>
        <v/>
      </c>
    </row>
    <row r="567" spans="2:5">
      <c r="B567" s="17" t="str">
        <f>IFERROR(VLOOKUP(C567,[8]Sheet2!$C$3:$F$1223,2,0),"")</f>
        <v/>
      </c>
      <c r="D567" s="18" t="str">
        <f>IFERROR(VLOOKUP(C567,[8]Sheet2!$C$1:$F$1223,3,0),"")</f>
        <v/>
      </c>
      <c r="E567" s="18" t="str">
        <f>IFERROR(VLOOKUP(C567,[8]Sheet2!$C$1:$F$1223,4,0),"")</f>
        <v/>
      </c>
    </row>
    <row r="568" spans="2:5">
      <c r="B568" s="17" t="str">
        <f>IFERROR(VLOOKUP(C568,[8]Sheet2!$C$3:$F$1223,2,0),"")</f>
        <v/>
      </c>
      <c r="D568" s="18" t="str">
        <f>IFERROR(VLOOKUP(C568,[8]Sheet2!$C$1:$F$1223,3,0),"")</f>
        <v/>
      </c>
      <c r="E568" s="18" t="str">
        <f>IFERROR(VLOOKUP(C568,[8]Sheet2!$C$1:$F$1223,4,0),"")</f>
        <v/>
      </c>
    </row>
    <row r="569" spans="2:5">
      <c r="B569" s="17" t="str">
        <f>IFERROR(VLOOKUP(C569,[8]Sheet2!$C$3:$F$1223,2,0),"")</f>
        <v/>
      </c>
      <c r="D569" s="18" t="str">
        <f>IFERROR(VLOOKUP(C569,[8]Sheet2!$C$1:$F$1223,3,0),"")</f>
        <v/>
      </c>
      <c r="E569" s="18" t="str">
        <f>IFERROR(VLOOKUP(C569,[8]Sheet2!$C$1:$F$1223,4,0),"")</f>
        <v/>
      </c>
    </row>
    <row r="570" spans="2:5">
      <c r="B570" s="17" t="str">
        <f>IFERROR(VLOOKUP(C570,[8]Sheet2!$C$3:$F$1223,2,0),"")</f>
        <v/>
      </c>
      <c r="D570" s="18" t="str">
        <f>IFERROR(VLOOKUP(C570,[8]Sheet2!$C$1:$F$1223,3,0),"")</f>
        <v/>
      </c>
      <c r="E570" s="18" t="str">
        <f>IFERROR(VLOOKUP(C570,[8]Sheet2!$C$1:$F$1223,4,0),"")</f>
        <v/>
      </c>
    </row>
    <row r="571" spans="2:5">
      <c r="B571" s="17" t="str">
        <f>IFERROR(VLOOKUP(C571,[8]Sheet2!$C$3:$F$1223,2,0),"")</f>
        <v/>
      </c>
      <c r="D571" s="18" t="str">
        <f>IFERROR(VLOOKUP(C571,[8]Sheet2!$C$1:$F$1223,3,0),"")</f>
        <v/>
      </c>
      <c r="E571" s="18" t="str">
        <f>IFERROR(VLOOKUP(C571,[8]Sheet2!$C$1:$F$1223,4,0),"")</f>
        <v/>
      </c>
    </row>
    <row r="572" spans="2:5">
      <c r="B572" s="17" t="str">
        <f>IFERROR(VLOOKUP(C572,[8]Sheet2!$C$3:$F$1223,2,0),"")</f>
        <v/>
      </c>
      <c r="D572" s="18" t="str">
        <f>IFERROR(VLOOKUP(C572,[8]Sheet2!$C$1:$F$1223,3,0),"")</f>
        <v/>
      </c>
      <c r="E572" s="18" t="str">
        <f>IFERROR(VLOOKUP(C572,[8]Sheet2!$C$1:$F$1223,4,0),"")</f>
        <v/>
      </c>
    </row>
    <row r="573" spans="2:5">
      <c r="B573" s="17" t="str">
        <f>IFERROR(VLOOKUP(C573,[8]Sheet2!$C$3:$F$1223,2,0),"")</f>
        <v/>
      </c>
      <c r="D573" s="18" t="str">
        <f>IFERROR(VLOOKUP(C573,[8]Sheet2!$C$1:$F$1223,3,0),"")</f>
        <v/>
      </c>
      <c r="E573" s="18" t="str">
        <f>IFERROR(VLOOKUP(C573,[8]Sheet2!$C$1:$F$1223,4,0),"")</f>
        <v/>
      </c>
    </row>
    <row r="574" spans="2:5">
      <c r="B574" s="17" t="str">
        <f>IFERROR(VLOOKUP(C574,[8]Sheet2!$C$3:$F$1223,2,0),"")</f>
        <v/>
      </c>
      <c r="D574" s="18" t="str">
        <f>IFERROR(VLOOKUP(C574,[8]Sheet2!$C$1:$F$1223,3,0),"")</f>
        <v/>
      </c>
      <c r="E574" s="18" t="str">
        <f>IFERROR(VLOOKUP(C574,[8]Sheet2!$C$1:$F$1223,4,0),"")</f>
        <v/>
      </c>
    </row>
    <row r="575" spans="2:5">
      <c r="B575" s="17" t="str">
        <f>IFERROR(VLOOKUP(C575,[8]Sheet2!$C$3:$F$1223,2,0),"")</f>
        <v/>
      </c>
      <c r="D575" s="18" t="str">
        <f>IFERROR(VLOOKUP(C575,[8]Sheet2!$C$1:$F$1223,3,0),"")</f>
        <v/>
      </c>
      <c r="E575" s="18" t="str">
        <f>IFERROR(VLOOKUP(C575,[8]Sheet2!$C$1:$F$1223,4,0),"")</f>
        <v/>
      </c>
    </row>
    <row r="576" spans="2:5">
      <c r="B576" s="17" t="str">
        <f>IFERROR(VLOOKUP(C576,[8]Sheet2!$C$3:$F$1223,2,0),"")</f>
        <v/>
      </c>
      <c r="D576" s="18" t="str">
        <f>IFERROR(VLOOKUP(C576,[8]Sheet2!$C$1:$F$1223,3,0),"")</f>
        <v/>
      </c>
      <c r="E576" s="18" t="str">
        <f>IFERROR(VLOOKUP(C576,[8]Sheet2!$C$1:$F$1223,4,0),"")</f>
        <v/>
      </c>
    </row>
    <row r="577" spans="2:5">
      <c r="B577" s="17" t="str">
        <f>IFERROR(VLOOKUP(C577,[8]Sheet2!$C$3:$F$1223,2,0),"")</f>
        <v/>
      </c>
      <c r="D577" s="18" t="str">
        <f>IFERROR(VLOOKUP(C577,[8]Sheet2!$C$1:$F$1223,3,0),"")</f>
        <v/>
      </c>
      <c r="E577" s="18" t="str">
        <f>IFERROR(VLOOKUP(C577,[8]Sheet2!$C$1:$F$1223,4,0),"")</f>
        <v/>
      </c>
    </row>
    <row r="578" spans="2:5">
      <c r="B578" s="17" t="str">
        <f>IFERROR(VLOOKUP(C578,[8]Sheet2!$C$3:$F$1223,2,0),"")</f>
        <v/>
      </c>
      <c r="D578" s="18" t="str">
        <f>IFERROR(VLOOKUP(C578,[8]Sheet2!$C$1:$F$1223,3,0),"")</f>
        <v/>
      </c>
      <c r="E578" s="18" t="str">
        <f>IFERROR(VLOOKUP(C578,[8]Sheet2!$C$1:$F$1223,4,0),"")</f>
        <v/>
      </c>
    </row>
    <row r="579" spans="2:5">
      <c r="B579" s="17" t="str">
        <f>IFERROR(VLOOKUP(C579,[8]Sheet2!$C$3:$F$1223,2,0),"")</f>
        <v/>
      </c>
      <c r="D579" s="18" t="str">
        <f>IFERROR(VLOOKUP(C579,[8]Sheet2!$C$1:$F$1223,3,0),"")</f>
        <v/>
      </c>
      <c r="E579" s="18" t="str">
        <f>IFERROR(VLOOKUP(C579,[8]Sheet2!$C$1:$F$1223,4,0),"")</f>
        <v/>
      </c>
    </row>
    <row r="580" spans="2:5">
      <c r="B580" s="17" t="str">
        <f>IFERROR(VLOOKUP(C580,[8]Sheet2!$C$3:$F$1223,2,0),"")</f>
        <v/>
      </c>
      <c r="D580" s="18" t="str">
        <f>IFERROR(VLOOKUP(C580,[8]Sheet2!$C$1:$F$1223,3,0),"")</f>
        <v/>
      </c>
      <c r="E580" s="18" t="str">
        <f>IFERROR(VLOOKUP(C580,[8]Sheet2!$C$1:$F$1223,4,0),"")</f>
        <v/>
      </c>
    </row>
    <row r="581" spans="2:5">
      <c r="B581" s="17" t="str">
        <f>IFERROR(VLOOKUP(C581,[8]Sheet2!$C$3:$F$1223,2,0),"")</f>
        <v/>
      </c>
      <c r="D581" s="18" t="str">
        <f>IFERROR(VLOOKUP(C581,[8]Sheet2!$C$1:$F$1223,3,0),"")</f>
        <v/>
      </c>
      <c r="E581" s="18" t="str">
        <f>IFERROR(VLOOKUP(C581,[8]Sheet2!$C$1:$F$1223,4,0),"")</f>
        <v/>
      </c>
    </row>
    <row r="582" spans="2:5">
      <c r="B582" s="17" t="str">
        <f>IFERROR(VLOOKUP(C582,[8]Sheet2!$C$3:$F$1223,2,0),"")</f>
        <v/>
      </c>
      <c r="D582" s="18" t="str">
        <f>IFERROR(VLOOKUP(C582,[8]Sheet2!$C$1:$F$1223,3,0),"")</f>
        <v/>
      </c>
      <c r="E582" s="18" t="str">
        <f>IFERROR(VLOOKUP(C582,[8]Sheet2!$C$1:$F$1223,4,0),"")</f>
        <v/>
      </c>
    </row>
    <row r="583" spans="2:5">
      <c r="B583" s="17" t="str">
        <f>IFERROR(VLOOKUP(C583,[8]Sheet2!$C$3:$F$1223,2,0),"")</f>
        <v/>
      </c>
      <c r="D583" s="18" t="str">
        <f>IFERROR(VLOOKUP(C583,[8]Sheet2!$C$1:$F$1223,3,0),"")</f>
        <v/>
      </c>
      <c r="E583" s="18" t="str">
        <f>IFERROR(VLOOKUP(C583,[8]Sheet2!$C$1:$F$1223,4,0),"")</f>
        <v/>
      </c>
    </row>
    <row r="584" spans="2:5">
      <c r="B584" s="17" t="str">
        <f>IFERROR(VLOOKUP(C584,[8]Sheet2!$C$3:$F$1223,2,0),"")</f>
        <v/>
      </c>
      <c r="D584" s="18" t="str">
        <f>IFERROR(VLOOKUP(C584,[8]Sheet2!$C$1:$F$1223,3,0),"")</f>
        <v/>
      </c>
      <c r="E584" s="18" t="str">
        <f>IFERROR(VLOOKUP(C584,[8]Sheet2!$C$1:$F$1223,4,0),"")</f>
        <v/>
      </c>
    </row>
    <row r="585" spans="2:5">
      <c r="B585" s="17" t="str">
        <f>IFERROR(VLOOKUP(C585,[8]Sheet2!$C$3:$F$1223,2,0),"")</f>
        <v/>
      </c>
      <c r="D585" s="18" t="str">
        <f>IFERROR(VLOOKUP(C585,[8]Sheet2!$C$1:$F$1223,3,0),"")</f>
        <v/>
      </c>
      <c r="E585" s="18" t="str">
        <f>IFERROR(VLOOKUP(C585,[8]Sheet2!$C$1:$F$1223,4,0),"")</f>
        <v/>
      </c>
    </row>
    <row r="586" spans="2:5">
      <c r="B586" s="17" t="str">
        <f>IFERROR(VLOOKUP(C586,[8]Sheet2!$C$3:$F$1223,2,0),"")</f>
        <v/>
      </c>
      <c r="D586" s="18" t="str">
        <f>IFERROR(VLOOKUP(C586,[8]Sheet2!$C$1:$F$1223,3,0),"")</f>
        <v/>
      </c>
      <c r="E586" s="18" t="str">
        <f>IFERROR(VLOOKUP(C586,[8]Sheet2!$C$1:$F$1223,4,0),"")</f>
        <v/>
      </c>
    </row>
    <row r="587" spans="2:5">
      <c r="B587" s="17" t="str">
        <f>IFERROR(VLOOKUP(C587,[8]Sheet2!$C$3:$F$1223,2,0),"")</f>
        <v/>
      </c>
      <c r="D587" s="18" t="str">
        <f>IFERROR(VLOOKUP(C587,[8]Sheet2!$C$1:$F$1223,3,0),"")</f>
        <v/>
      </c>
      <c r="E587" s="18" t="str">
        <f>IFERROR(VLOOKUP(C587,[8]Sheet2!$C$1:$F$1223,4,0),"")</f>
        <v/>
      </c>
    </row>
    <row r="588" spans="2:5">
      <c r="B588" s="17" t="str">
        <f>IFERROR(VLOOKUP(C588,[8]Sheet2!$C$3:$F$1223,2,0),"")</f>
        <v/>
      </c>
      <c r="D588" s="18" t="str">
        <f>IFERROR(VLOOKUP(C588,[8]Sheet2!$C$1:$F$1223,3,0),"")</f>
        <v/>
      </c>
      <c r="E588" s="18" t="str">
        <f>IFERROR(VLOOKUP(C588,[8]Sheet2!$C$1:$F$1223,4,0),"")</f>
        <v/>
      </c>
    </row>
    <row r="589" spans="2:5">
      <c r="B589" s="17" t="str">
        <f>IFERROR(VLOOKUP(C589,[8]Sheet2!$C$3:$F$1223,2,0),"")</f>
        <v/>
      </c>
      <c r="D589" s="18" t="str">
        <f>IFERROR(VLOOKUP(C589,[8]Sheet2!$C$1:$F$1223,3,0),"")</f>
        <v/>
      </c>
      <c r="E589" s="18" t="str">
        <f>IFERROR(VLOOKUP(C589,[8]Sheet2!$C$1:$F$1223,4,0),"")</f>
        <v/>
      </c>
    </row>
    <row r="590" spans="2:5">
      <c r="B590" s="17" t="str">
        <f>IFERROR(VLOOKUP(C590,[8]Sheet2!$C$3:$F$1223,2,0),"")</f>
        <v/>
      </c>
      <c r="D590" s="18" t="str">
        <f>IFERROR(VLOOKUP(C590,[8]Sheet2!$C$1:$F$1223,3,0),"")</f>
        <v/>
      </c>
      <c r="E590" s="18" t="str">
        <f>IFERROR(VLOOKUP(C590,[8]Sheet2!$C$1:$F$1223,4,0),"")</f>
        <v/>
      </c>
    </row>
    <row r="591" spans="2:5">
      <c r="B591" s="17" t="str">
        <f>IFERROR(VLOOKUP(C591,[8]Sheet2!$C$3:$F$1223,2,0),"")</f>
        <v/>
      </c>
      <c r="D591" s="18" t="str">
        <f>IFERROR(VLOOKUP(C591,[8]Sheet2!$C$1:$F$1223,3,0),"")</f>
        <v/>
      </c>
      <c r="E591" s="18" t="str">
        <f>IFERROR(VLOOKUP(C591,[8]Sheet2!$C$1:$F$1223,4,0),"")</f>
        <v/>
      </c>
    </row>
    <row r="592" spans="2:5">
      <c r="B592" s="17" t="str">
        <f>IFERROR(VLOOKUP(C592,[8]Sheet2!$C$3:$F$1223,2,0),"")</f>
        <v/>
      </c>
      <c r="D592" s="18" t="str">
        <f>IFERROR(VLOOKUP(C592,[8]Sheet2!$C$1:$F$1223,3,0),"")</f>
        <v/>
      </c>
      <c r="E592" s="18" t="str">
        <f>IFERROR(VLOOKUP(C592,[8]Sheet2!$C$1:$F$1223,4,0),"")</f>
        <v/>
      </c>
    </row>
    <row r="593" spans="2:5">
      <c r="B593" s="17" t="str">
        <f>IFERROR(VLOOKUP(C593,[8]Sheet2!$C$3:$F$1223,2,0),"")</f>
        <v/>
      </c>
      <c r="D593" s="18" t="str">
        <f>IFERROR(VLOOKUP(C593,[8]Sheet2!$C$1:$F$1223,3,0),"")</f>
        <v/>
      </c>
      <c r="E593" s="18" t="str">
        <f>IFERROR(VLOOKUP(C593,[8]Sheet2!$C$1:$F$1223,4,0),"")</f>
        <v/>
      </c>
    </row>
    <row r="594" spans="2:5">
      <c r="B594" s="17" t="str">
        <f>IFERROR(VLOOKUP(C594,[8]Sheet2!$C$3:$F$1223,2,0),"")</f>
        <v/>
      </c>
      <c r="D594" s="18" t="str">
        <f>IFERROR(VLOOKUP(C594,[8]Sheet2!$C$1:$F$1223,3,0),"")</f>
        <v/>
      </c>
      <c r="E594" s="18" t="str">
        <f>IFERROR(VLOOKUP(C594,[8]Sheet2!$C$1:$F$1223,4,0),"")</f>
        <v/>
      </c>
    </row>
    <row r="595" spans="2:5">
      <c r="B595" s="17" t="str">
        <f>IFERROR(VLOOKUP(C595,[8]Sheet2!$C$3:$F$1223,2,0),"")</f>
        <v/>
      </c>
      <c r="D595" s="18" t="str">
        <f>IFERROR(VLOOKUP(C595,[8]Sheet2!$C$1:$F$1223,3,0),"")</f>
        <v/>
      </c>
      <c r="E595" s="18" t="str">
        <f>IFERROR(VLOOKUP(C595,[8]Sheet2!$C$1:$F$1223,4,0),"")</f>
        <v/>
      </c>
    </row>
    <row r="596" spans="2:5">
      <c r="B596" s="17" t="str">
        <f>IFERROR(VLOOKUP(C596,[8]Sheet2!$C$3:$F$1223,2,0),"")</f>
        <v/>
      </c>
      <c r="D596" s="18" t="str">
        <f>IFERROR(VLOOKUP(C596,[8]Sheet2!$C$1:$F$1223,3,0),"")</f>
        <v/>
      </c>
      <c r="E596" s="18" t="str">
        <f>IFERROR(VLOOKUP(C596,[8]Sheet2!$C$1:$F$1223,4,0),"")</f>
        <v/>
      </c>
    </row>
    <row r="597" spans="2:5">
      <c r="B597" s="17" t="str">
        <f>IFERROR(VLOOKUP(C597,[8]Sheet2!$C$3:$F$1223,2,0),"")</f>
        <v/>
      </c>
      <c r="D597" s="18" t="str">
        <f>IFERROR(VLOOKUP(C597,[8]Sheet2!$C$1:$F$1223,3,0),"")</f>
        <v/>
      </c>
      <c r="E597" s="18" t="str">
        <f>IFERROR(VLOOKUP(C597,[8]Sheet2!$C$1:$F$1223,4,0),"")</f>
        <v/>
      </c>
    </row>
    <row r="598" spans="2:5">
      <c r="B598" s="17" t="str">
        <f>IFERROR(VLOOKUP(C598,[8]Sheet2!$C$3:$F$1223,2,0),"")</f>
        <v/>
      </c>
      <c r="D598" s="18" t="str">
        <f>IFERROR(VLOOKUP(C598,[8]Sheet2!$C$1:$F$1223,3,0),"")</f>
        <v/>
      </c>
      <c r="E598" s="18" t="str">
        <f>IFERROR(VLOOKUP(C598,[8]Sheet2!$C$1:$F$1223,4,0),"")</f>
        <v/>
      </c>
    </row>
    <row r="599" spans="2:5">
      <c r="B599" s="17" t="str">
        <f>IFERROR(VLOOKUP(C599,[8]Sheet2!$C$3:$F$1223,2,0),"")</f>
        <v/>
      </c>
      <c r="D599" s="18" t="str">
        <f>IFERROR(VLOOKUP(C599,[8]Sheet2!$C$1:$F$1223,3,0),"")</f>
        <v/>
      </c>
      <c r="E599" s="18" t="str">
        <f>IFERROR(VLOOKUP(C599,[8]Sheet2!$C$1:$F$1223,4,0),"")</f>
        <v/>
      </c>
    </row>
    <row r="600" spans="2:5">
      <c r="B600" s="17" t="str">
        <f>IFERROR(VLOOKUP(C600,[8]Sheet2!$C$3:$F$1223,2,0),"")</f>
        <v/>
      </c>
      <c r="D600" s="18" t="str">
        <f>IFERROR(VLOOKUP(C600,[8]Sheet2!$C$1:$F$1223,3,0),"")</f>
        <v/>
      </c>
      <c r="E600" s="18" t="str">
        <f>IFERROR(VLOOKUP(C600,[8]Sheet2!$C$1:$F$1223,4,0),"")</f>
        <v/>
      </c>
    </row>
    <row r="601" spans="2:5">
      <c r="B601" s="17" t="str">
        <f>IFERROR(VLOOKUP(C601,[8]Sheet2!$C$3:$F$1223,2,0),"")</f>
        <v/>
      </c>
      <c r="D601" s="18" t="str">
        <f>IFERROR(VLOOKUP(C601,[8]Sheet2!$C$1:$F$1223,3,0),"")</f>
        <v/>
      </c>
      <c r="E601" s="18" t="str">
        <f>IFERROR(VLOOKUP(C601,[8]Sheet2!$C$1:$F$1223,4,0),"")</f>
        <v/>
      </c>
    </row>
    <row r="602" spans="2:5">
      <c r="B602" s="17" t="str">
        <f>IFERROR(VLOOKUP(C602,[8]Sheet2!$C$3:$F$1223,2,0),"")</f>
        <v/>
      </c>
      <c r="D602" s="18" t="str">
        <f>IFERROR(VLOOKUP(C602,[8]Sheet2!$C$1:$F$1223,3,0),"")</f>
        <v/>
      </c>
      <c r="E602" s="18" t="str">
        <f>IFERROR(VLOOKUP(C602,[8]Sheet2!$C$1:$F$1223,4,0),"")</f>
        <v/>
      </c>
    </row>
    <row r="603" spans="2:5">
      <c r="B603" s="17" t="str">
        <f>IFERROR(VLOOKUP(C603,[8]Sheet2!$C$3:$F$1223,2,0),"")</f>
        <v/>
      </c>
      <c r="D603" s="18" t="str">
        <f>IFERROR(VLOOKUP(C603,[8]Sheet2!$C$1:$F$1223,3,0),"")</f>
        <v/>
      </c>
      <c r="E603" s="18" t="str">
        <f>IFERROR(VLOOKUP(C603,[8]Sheet2!$C$1:$F$1223,4,0),"")</f>
        <v/>
      </c>
    </row>
    <row r="604" spans="2:5">
      <c r="B604" s="17" t="str">
        <f>IFERROR(VLOOKUP(C604,[8]Sheet2!$C$3:$F$1223,2,0),"")</f>
        <v/>
      </c>
      <c r="D604" s="18" t="str">
        <f>IFERROR(VLOOKUP(C604,[8]Sheet2!$C$1:$F$1223,3,0),"")</f>
        <v/>
      </c>
      <c r="E604" s="18" t="str">
        <f>IFERROR(VLOOKUP(C604,[8]Sheet2!$C$1:$F$1223,4,0),"")</f>
        <v/>
      </c>
    </row>
    <row r="605" spans="2:5">
      <c r="B605" s="17" t="str">
        <f>IFERROR(VLOOKUP(C605,[8]Sheet2!$C$3:$F$1223,2,0),"")</f>
        <v/>
      </c>
      <c r="D605" s="18" t="str">
        <f>IFERROR(VLOOKUP(C605,[8]Sheet2!$C$1:$F$1223,3,0),"")</f>
        <v/>
      </c>
      <c r="E605" s="18" t="str">
        <f>IFERROR(VLOOKUP(C605,[8]Sheet2!$C$1:$F$1223,4,0),"")</f>
        <v/>
      </c>
    </row>
    <row r="606" spans="2:5">
      <c r="B606" s="17" t="str">
        <f>IFERROR(VLOOKUP(C606,[8]Sheet2!$C$3:$F$1223,2,0),"")</f>
        <v/>
      </c>
      <c r="D606" s="18" t="str">
        <f>IFERROR(VLOOKUP(C606,[8]Sheet2!$C$1:$F$1223,3,0),"")</f>
        <v/>
      </c>
      <c r="E606" s="18" t="str">
        <f>IFERROR(VLOOKUP(C606,[8]Sheet2!$C$1:$F$1223,4,0),"")</f>
        <v/>
      </c>
    </row>
    <row r="607" spans="2:5">
      <c r="B607" s="17" t="str">
        <f>IFERROR(VLOOKUP(C607,[8]Sheet2!$C$3:$F$1223,2,0),"")</f>
        <v/>
      </c>
      <c r="D607" s="18" t="str">
        <f>IFERROR(VLOOKUP(C607,[8]Sheet2!$C$1:$F$1223,3,0),"")</f>
        <v/>
      </c>
      <c r="E607" s="18" t="str">
        <f>IFERROR(VLOOKUP(C607,[8]Sheet2!$C$1:$F$1223,4,0),"")</f>
        <v/>
      </c>
    </row>
    <row r="608" spans="2:5">
      <c r="B608" s="17" t="str">
        <f>IFERROR(VLOOKUP(C608,[8]Sheet2!$C$3:$F$1223,2,0),"")</f>
        <v/>
      </c>
      <c r="D608" s="18" t="str">
        <f>IFERROR(VLOOKUP(C608,[8]Sheet2!$C$1:$F$1223,3,0),"")</f>
        <v/>
      </c>
      <c r="E608" s="18" t="str">
        <f>IFERROR(VLOOKUP(C608,[8]Sheet2!$C$1:$F$1223,4,0),"")</f>
        <v/>
      </c>
    </row>
    <row r="609" spans="2:5">
      <c r="B609" s="17" t="str">
        <f>IFERROR(VLOOKUP(C609,[8]Sheet2!$C$3:$F$1223,2,0),"")</f>
        <v/>
      </c>
      <c r="D609" s="18" t="str">
        <f>IFERROR(VLOOKUP(C609,[8]Sheet2!$C$1:$F$1223,3,0),"")</f>
        <v/>
      </c>
      <c r="E609" s="18" t="str">
        <f>IFERROR(VLOOKUP(C609,[8]Sheet2!$C$1:$F$1223,4,0),"")</f>
        <v/>
      </c>
    </row>
    <row r="610" spans="2:5">
      <c r="B610" s="17" t="str">
        <f>IFERROR(VLOOKUP(C610,[8]Sheet2!$C$3:$F$1223,2,0),"")</f>
        <v/>
      </c>
      <c r="D610" s="18" t="str">
        <f>IFERROR(VLOOKUP(C610,[8]Sheet2!$C$1:$F$1223,3,0),"")</f>
        <v/>
      </c>
      <c r="E610" s="18" t="str">
        <f>IFERROR(VLOOKUP(C610,[8]Sheet2!$C$1:$F$1223,4,0),"")</f>
        <v/>
      </c>
    </row>
    <row r="611" spans="2:5">
      <c r="B611" s="17" t="str">
        <f>IFERROR(VLOOKUP(C611,[8]Sheet2!$C$3:$F$1223,2,0),"")</f>
        <v/>
      </c>
      <c r="D611" s="18" t="str">
        <f>IFERROR(VLOOKUP(C611,[8]Sheet2!$C$1:$F$1223,3,0),"")</f>
        <v/>
      </c>
      <c r="E611" s="18" t="str">
        <f>IFERROR(VLOOKUP(C611,[8]Sheet2!$C$1:$F$1223,4,0),"")</f>
        <v/>
      </c>
    </row>
    <row r="612" spans="2:5">
      <c r="B612" s="17" t="str">
        <f>IFERROR(VLOOKUP(C612,[8]Sheet2!$C$3:$F$1223,2,0),"")</f>
        <v/>
      </c>
      <c r="D612" s="18" t="str">
        <f>IFERROR(VLOOKUP(C612,[8]Sheet2!$C$1:$F$1223,3,0),"")</f>
        <v/>
      </c>
      <c r="E612" s="18" t="str">
        <f>IFERROR(VLOOKUP(C612,[8]Sheet2!$C$1:$F$1223,4,0),"")</f>
        <v/>
      </c>
    </row>
    <row r="613" spans="2:5">
      <c r="B613" s="17" t="str">
        <f>IFERROR(VLOOKUP(C613,[8]Sheet2!$C$3:$F$1223,2,0),"")</f>
        <v/>
      </c>
      <c r="D613" s="18" t="str">
        <f>IFERROR(VLOOKUP(C613,[8]Sheet2!$C$1:$F$1223,3,0),"")</f>
        <v/>
      </c>
      <c r="E613" s="18" t="str">
        <f>IFERROR(VLOOKUP(C613,[8]Sheet2!$C$1:$F$1223,4,0),"")</f>
        <v/>
      </c>
    </row>
    <row r="614" spans="2:5">
      <c r="B614" s="17" t="str">
        <f>IFERROR(VLOOKUP(C614,[8]Sheet2!$C$3:$F$1223,2,0),"")</f>
        <v/>
      </c>
      <c r="D614" s="18" t="str">
        <f>IFERROR(VLOOKUP(C614,[8]Sheet2!$C$1:$F$1223,3,0),"")</f>
        <v/>
      </c>
      <c r="E614" s="18" t="str">
        <f>IFERROR(VLOOKUP(C614,[8]Sheet2!$C$1:$F$1223,4,0),"")</f>
        <v/>
      </c>
    </row>
    <row r="615" spans="2:5">
      <c r="B615" s="17" t="str">
        <f>IFERROR(VLOOKUP(C615,[8]Sheet2!$C$3:$F$1223,2,0),"")</f>
        <v/>
      </c>
      <c r="D615" s="18" t="str">
        <f>IFERROR(VLOOKUP(C615,[8]Sheet2!$C$1:$F$1223,3,0),"")</f>
        <v/>
      </c>
      <c r="E615" s="18" t="str">
        <f>IFERROR(VLOOKUP(C615,[8]Sheet2!$C$1:$F$1223,4,0),"")</f>
        <v/>
      </c>
    </row>
    <row r="616" spans="2:5">
      <c r="B616" s="17" t="str">
        <f>IFERROR(VLOOKUP(C616,[8]Sheet2!$C$3:$F$1223,2,0),"")</f>
        <v/>
      </c>
      <c r="D616" s="18" t="str">
        <f>IFERROR(VLOOKUP(C616,[8]Sheet2!$C$1:$F$1223,3,0),"")</f>
        <v/>
      </c>
      <c r="E616" s="18" t="str">
        <f>IFERROR(VLOOKUP(C616,[8]Sheet2!$C$1:$F$1223,4,0),"")</f>
        <v/>
      </c>
    </row>
    <row r="617" spans="2:5">
      <c r="B617" s="17" t="str">
        <f>IFERROR(VLOOKUP(C617,[8]Sheet2!$C$3:$F$1223,2,0),"")</f>
        <v/>
      </c>
      <c r="D617" s="18" t="str">
        <f>IFERROR(VLOOKUP(C617,[8]Sheet2!$C$1:$F$1223,3,0),"")</f>
        <v/>
      </c>
      <c r="E617" s="18" t="str">
        <f>IFERROR(VLOOKUP(C617,[8]Sheet2!$C$1:$F$1223,4,0),"")</f>
        <v/>
      </c>
    </row>
    <row r="618" spans="2:5">
      <c r="B618" s="17" t="str">
        <f>IFERROR(VLOOKUP(C618,[8]Sheet2!$C$3:$F$1223,2,0),"")</f>
        <v/>
      </c>
      <c r="D618" s="18" t="str">
        <f>IFERROR(VLOOKUP(C618,[8]Sheet2!$C$1:$F$1223,3,0),"")</f>
        <v/>
      </c>
      <c r="E618" s="18" t="str">
        <f>IFERROR(VLOOKUP(C618,[8]Sheet2!$C$1:$F$1223,4,0),"")</f>
        <v/>
      </c>
    </row>
    <row r="619" spans="2:5">
      <c r="B619" s="17" t="str">
        <f>IFERROR(VLOOKUP(C619,[8]Sheet2!$C$3:$F$1223,2,0),"")</f>
        <v/>
      </c>
      <c r="D619" s="18" t="str">
        <f>IFERROR(VLOOKUP(C619,[8]Sheet2!$C$1:$F$1223,3,0),"")</f>
        <v/>
      </c>
      <c r="E619" s="18" t="str">
        <f>IFERROR(VLOOKUP(C619,[8]Sheet2!$C$1:$F$1223,4,0),"")</f>
        <v/>
      </c>
    </row>
    <row r="620" spans="2:5">
      <c r="B620" s="17" t="str">
        <f>IFERROR(VLOOKUP(C620,[8]Sheet2!$C$3:$F$1223,2,0),"")</f>
        <v/>
      </c>
      <c r="D620" s="18" t="str">
        <f>IFERROR(VLOOKUP(C620,[8]Sheet2!$C$1:$F$1223,3,0),"")</f>
        <v/>
      </c>
      <c r="E620" s="18" t="str">
        <f>IFERROR(VLOOKUP(C620,[8]Sheet2!$C$1:$F$1223,4,0),"")</f>
        <v/>
      </c>
    </row>
    <row r="621" spans="2:5">
      <c r="B621" s="17" t="str">
        <f>IFERROR(VLOOKUP(C621,[8]Sheet2!$C$3:$F$1223,2,0),"")</f>
        <v/>
      </c>
      <c r="D621" s="18" t="str">
        <f>IFERROR(VLOOKUP(C621,[8]Sheet2!$C$1:$F$1223,3,0),"")</f>
        <v/>
      </c>
      <c r="E621" s="18" t="str">
        <f>IFERROR(VLOOKUP(C621,[8]Sheet2!$C$1:$F$1223,4,0),"")</f>
        <v/>
      </c>
    </row>
    <row r="622" spans="2:5">
      <c r="B622" s="17" t="str">
        <f>IFERROR(VLOOKUP(C622,[8]Sheet2!$C$3:$F$1223,2,0),"")</f>
        <v/>
      </c>
      <c r="D622" s="18" t="str">
        <f>IFERROR(VLOOKUP(C622,[8]Sheet2!$C$1:$F$1223,3,0),"")</f>
        <v/>
      </c>
      <c r="E622" s="18" t="str">
        <f>IFERROR(VLOOKUP(C622,[8]Sheet2!$C$1:$F$1223,4,0),"")</f>
        <v/>
      </c>
    </row>
    <row r="623" spans="2:5">
      <c r="B623" s="17" t="str">
        <f>IFERROR(VLOOKUP(C623,[8]Sheet2!$C$3:$F$1223,2,0),"")</f>
        <v/>
      </c>
      <c r="D623" s="18" t="str">
        <f>IFERROR(VLOOKUP(C623,[8]Sheet2!$C$1:$F$1223,3,0),"")</f>
        <v/>
      </c>
      <c r="E623" s="18" t="str">
        <f>IFERROR(VLOOKUP(C623,[8]Sheet2!$C$1:$F$1223,4,0),"")</f>
        <v/>
      </c>
    </row>
    <row r="624" spans="2:5">
      <c r="B624" s="17" t="str">
        <f>IFERROR(VLOOKUP(C624,[8]Sheet2!$C$3:$F$1223,2,0),"")</f>
        <v/>
      </c>
      <c r="D624" s="18" t="str">
        <f>IFERROR(VLOOKUP(C624,[8]Sheet2!$C$1:$F$1223,3,0),"")</f>
        <v/>
      </c>
      <c r="E624" s="18" t="str">
        <f>IFERROR(VLOOKUP(C624,[8]Sheet2!$C$1:$F$1223,4,0),"")</f>
        <v/>
      </c>
    </row>
    <row r="625" spans="2:5">
      <c r="B625" s="17" t="str">
        <f>IFERROR(VLOOKUP(C625,[8]Sheet2!$C$3:$F$1223,2,0),"")</f>
        <v/>
      </c>
      <c r="D625" s="18" t="str">
        <f>IFERROR(VLOOKUP(C625,[8]Sheet2!$C$1:$F$1223,3,0),"")</f>
        <v/>
      </c>
      <c r="E625" s="18" t="str">
        <f>IFERROR(VLOOKUP(C625,[8]Sheet2!$C$1:$F$1223,4,0),"")</f>
        <v/>
      </c>
    </row>
    <row r="626" spans="2:5">
      <c r="B626" s="17" t="str">
        <f>IFERROR(VLOOKUP(C626,[8]Sheet2!$C$3:$F$1223,2,0),"")</f>
        <v/>
      </c>
      <c r="D626" s="18" t="str">
        <f>IFERROR(VLOOKUP(C626,[8]Sheet2!$C$1:$F$1223,3,0),"")</f>
        <v/>
      </c>
      <c r="E626" s="18" t="str">
        <f>IFERROR(VLOOKUP(C626,[8]Sheet2!$C$1:$F$1223,4,0),"")</f>
        <v/>
      </c>
    </row>
    <row r="627" spans="2:5">
      <c r="B627" s="17" t="str">
        <f>IFERROR(VLOOKUP(C627,[8]Sheet2!$C$3:$F$1223,2,0),"")</f>
        <v/>
      </c>
      <c r="D627" s="18" t="str">
        <f>IFERROR(VLOOKUP(C627,[8]Sheet2!$C$1:$F$1223,3,0),"")</f>
        <v/>
      </c>
      <c r="E627" s="18" t="str">
        <f>IFERROR(VLOOKUP(C627,[8]Sheet2!$C$1:$F$1223,4,0),"")</f>
        <v/>
      </c>
    </row>
    <row r="628" spans="2:5">
      <c r="B628" s="17" t="str">
        <f>IFERROR(VLOOKUP(C628,[8]Sheet2!$C$3:$F$1223,2,0),"")</f>
        <v/>
      </c>
      <c r="D628" s="18" t="str">
        <f>IFERROR(VLOOKUP(C628,[8]Sheet2!$C$1:$F$1223,3,0),"")</f>
        <v/>
      </c>
      <c r="E628" s="18" t="str">
        <f>IFERROR(VLOOKUP(C628,[8]Sheet2!$C$1:$F$1223,4,0),"")</f>
        <v/>
      </c>
    </row>
    <row r="629" spans="2:5">
      <c r="B629" s="17" t="str">
        <f>IFERROR(VLOOKUP(C629,[8]Sheet2!$C$3:$F$1223,2,0),"")</f>
        <v/>
      </c>
      <c r="D629" s="18" t="str">
        <f>IFERROR(VLOOKUP(C629,[8]Sheet2!$C$1:$F$1223,3,0),"")</f>
        <v/>
      </c>
      <c r="E629" s="18" t="str">
        <f>IFERROR(VLOOKUP(C629,[8]Sheet2!$C$1:$F$1223,4,0),"")</f>
        <v/>
      </c>
    </row>
    <row r="630" spans="2:5">
      <c r="B630" s="17" t="str">
        <f>IFERROR(VLOOKUP(C630,[8]Sheet2!$C$3:$F$1223,2,0),"")</f>
        <v/>
      </c>
      <c r="D630" s="18" t="str">
        <f>IFERROR(VLOOKUP(C630,[8]Sheet2!$C$1:$F$1223,3,0),"")</f>
        <v/>
      </c>
      <c r="E630" s="18" t="str">
        <f>IFERROR(VLOOKUP(C630,[8]Sheet2!$C$1:$F$1223,4,0),"")</f>
        <v/>
      </c>
    </row>
    <row r="631" spans="2:5">
      <c r="B631" s="17" t="str">
        <f>IFERROR(VLOOKUP(C631,[8]Sheet2!$C$3:$F$1223,2,0),"")</f>
        <v/>
      </c>
      <c r="D631" s="18" t="str">
        <f>IFERROR(VLOOKUP(C631,[8]Sheet2!$C$1:$F$1223,3,0),"")</f>
        <v/>
      </c>
      <c r="E631" s="18" t="str">
        <f>IFERROR(VLOOKUP(C631,[8]Sheet2!$C$1:$F$1223,4,0),"")</f>
        <v/>
      </c>
    </row>
    <row r="632" spans="2:5">
      <c r="B632" s="17" t="str">
        <f>IFERROR(VLOOKUP(C632,[8]Sheet2!$C$3:$F$1223,2,0),"")</f>
        <v/>
      </c>
      <c r="D632" s="18" t="str">
        <f>IFERROR(VLOOKUP(C632,[8]Sheet2!$C$1:$F$1223,3,0),"")</f>
        <v/>
      </c>
      <c r="E632" s="18" t="str">
        <f>IFERROR(VLOOKUP(C632,[8]Sheet2!$C$1:$F$1223,4,0),"")</f>
        <v/>
      </c>
    </row>
    <row r="633" spans="2:5">
      <c r="B633" s="17" t="str">
        <f>IFERROR(VLOOKUP(C633,[8]Sheet2!$C$3:$F$1223,2,0),"")</f>
        <v/>
      </c>
      <c r="D633" s="18" t="str">
        <f>IFERROR(VLOOKUP(C633,[8]Sheet2!$C$1:$F$1223,3,0),"")</f>
        <v/>
      </c>
      <c r="E633" s="18" t="str">
        <f>IFERROR(VLOOKUP(C633,[8]Sheet2!$C$1:$F$1223,4,0),"")</f>
        <v/>
      </c>
    </row>
    <row r="634" spans="2:5">
      <c r="B634" s="17" t="str">
        <f>IFERROR(VLOOKUP(C634,[8]Sheet2!$C$3:$F$1223,2,0),"")</f>
        <v/>
      </c>
      <c r="D634" s="18" t="str">
        <f>IFERROR(VLOOKUP(C634,[8]Sheet2!$C$1:$F$1223,3,0),"")</f>
        <v/>
      </c>
      <c r="E634" s="18" t="str">
        <f>IFERROR(VLOOKUP(C634,[8]Sheet2!$C$1:$F$1223,4,0),"")</f>
        <v/>
      </c>
    </row>
    <row r="635" spans="2:5">
      <c r="B635" s="17" t="str">
        <f>IFERROR(VLOOKUP(C635,[8]Sheet2!$C$3:$F$1223,2,0),"")</f>
        <v/>
      </c>
      <c r="D635" s="18" t="str">
        <f>IFERROR(VLOOKUP(C635,[8]Sheet2!$C$1:$F$1223,3,0),"")</f>
        <v/>
      </c>
      <c r="E635" s="18" t="str">
        <f>IFERROR(VLOOKUP(C635,[8]Sheet2!$C$1:$F$1223,4,0),"")</f>
        <v/>
      </c>
    </row>
    <row r="636" spans="2:5">
      <c r="B636" s="17" t="str">
        <f>IFERROR(VLOOKUP(C636,[8]Sheet2!$C$3:$F$1223,2,0),"")</f>
        <v/>
      </c>
      <c r="D636" s="18" t="str">
        <f>IFERROR(VLOOKUP(C636,[8]Sheet2!$C$1:$F$1223,3,0),"")</f>
        <v/>
      </c>
      <c r="E636" s="18" t="str">
        <f>IFERROR(VLOOKUP(C636,[8]Sheet2!$C$1:$F$1223,4,0),"")</f>
        <v/>
      </c>
    </row>
    <row r="637" spans="2:5">
      <c r="B637" s="17" t="str">
        <f>IFERROR(VLOOKUP(C637,[8]Sheet2!$C$3:$F$1223,2,0),"")</f>
        <v/>
      </c>
      <c r="D637" s="18" t="str">
        <f>IFERROR(VLOOKUP(C637,[8]Sheet2!$C$1:$F$1223,3,0),"")</f>
        <v/>
      </c>
      <c r="E637" s="18" t="str">
        <f>IFERROR(VLOOKUP(C637,[8]Sheet2!$C$1:$F$1223,4,0),"")</f>
        <v/>
      </c>
    </row>
    <row r="638" spans="2:5">
      <c r="B638" s="17" t="str">
        <f>IFERROR(VLOOKUP(C638,[8]Sheet2!$C$3:$F$1223,2,0),"")</f>
        <v/>
      </c>
      <c r="D638" s="18" t="str">
        <f>IFERROR(VLOOKUP(C638,[8]Sheet2!$C$1:$F$1223,3,0),"")</f>
        <v/>
      </c>
      <c r="E638" s="18" t="str">
        <f>IFERROR(VLOOKUP(C638,[8]Sheet2!$C$1:$F$1223,4,0),"")</f>
        <v/>
      </c>
    </row>
    <row r="639" spans="2:5">
      <c r="B639" s="17" t="str">
        <f>IFERROR(VLOOKUP(C639,[8]Sheet2!$C$3:$F$1223,2,0),"")</f>
        <v/>
      </c>
      <c r="D639" s="18" t="str">
        <f>IFERROR(VLOOKUP(C639,[8]Sheet2!$C$1:$F$1223,3,0),"")</f>
        <v/>
      </c>
      <c r="E639" s="18" t="str">
        <f>IFERROR(VLOOKUP(C639,[8]Sheet2!$C$1:$F$1223,4,0),"")</f>
        <v/>
      </c>
    </row>
    <row r="640" spans="2:5">
      <c r="B640" s="17" t="str">
        <f>IFERROR(VLOOKUP(C640,[8]Sheet2!$C$3:$F$1223,2,0),"")</f>
        <v/>
      </c>
      <c r="D640" s="18" t="str">
        <f>IFERROR(VLOOKUP(C640,[8]Sheet2!$C$1:$F$1223,3,0),"")</f>
        <v/>
      </c>
      <c r="E640" s="18" t="str">
        <f>IFERROR(VLOOKUP(C640,[8]Sheet2!$C$1:$F$1223,4,0),"")</f>
        <v/>
      </c>
    </row>
    <row r="641" spans="2:5">
      <c r="B641" s="17" t="str">
        <f>IFERROR(VLOOKUP(C641,[8]Sheet2!$C$3:$F$1223,2,0),"")</f>
        <v/>
      </c>
      <c r="D641" s="18" t="str">
        <f>IFERROR(VLOOKUP(C641,[8]Sheet2!$C$1:$F$1223,3,0),"")</f>
        <v/>
      </c>
      <c r="E641" s="18" t="str">
        <f>IFERROR(VLOOKUP(C641,[8]Sheet2!$C$1:$F$1223,4,0),"")</f>
        <v/>
      </c>
    </row>
    <row r="642" spans="2:5">
      <c r="B642" s="17" t="str">
        <f>IFERROR(VLOOKUP(C642,[8]Sheet2!$C$3:$F$1223,2,0),"")</f>
        <v/>
      </c>
      <c r="D642" s="18" t="str">
        <f>IFERROR(VLOOKUP(C642,[8]Sheet2!$C$1:$F$1223,3,0),"")</f>
        <v/>
      </c>
      <c r="E642" s="18" t="str">
        <f>IFERROR(VLOOKUP(C642,[8]Sheet2!$C$1:$F$1223,4,0),"")</f>
        <v/>
      </c>
    </row>
    <row r="643" spans="2:5">
      <c r="B643" s="17" t="str">
        <f>IFERROR(VLOOKUP(C643,[8]Sheet2!$C$3:$F$1223,2,0),"")</f>
        <v/>
      </c>
      <c r="D643" s="18" t="str">
        <f>IFERROR(VLOOKUP(C643,[8]Sheet2!$C$1:$F$1223,3,0),"")</f>
        <v/>
      </c>
      <c r="E643" s="18" t="str">
        <f>IFERROR(VLOOKUP(C643,[8]Sheet2!$C$1:$F$1223,4,0),"")</f>
        <v/>
      </c>
    </row>
    <row r="644" spans="2:5">
      <c r="B644" s="17" t="str">
        <f>IFERROR(VLOOKUP(C644,[8]Sheet2!$C$3:$F$1223,2,0),"")</f>
        <v/>
      </c>
      <c r="D644" s="18" t="str">
        <f>IFERROR(VLOOKUP(C644,[8]Sheet2!$C$1:$F$1223,3,0),"")</f>
        <v/>
      </c>
      <c r="E644" s="18" t="str">
        <f>IFERROR(VLOOKUP(C644,[8]Sheet2!$C$1:$F$1223,4,0),"")</f>
        <v/>
      </c>
    </row>
    <row r="645" spans="2:5">
      <c r="B645" s="17" t="str">
        <f>IFERROR(VLOOKUP(C645,[8]Sheet2!$C$3:$F$1223,2,0),"")</f>
        <v/>
      </c>
      <c r="D645" s="18" t="str">
        <f>IFERROR(VLOOKUP(C645,[8]Sheet2!$C$1:$F$1223,3,0),"")</f>
        <v/>
      </c>
      <c r="E645" s="18" t="str">
        <f>IFERROR(VLOOKUP(C645,[8]Sheet2!$C$1:$F$1223,4,0),"")</f>
        <v/>
      </c>
    </row>
    <row r="646" spans="2:5">
      <c r="B646" s="17" t="str">
        <f>IFERROR(VLOOKUP(C646,[8]Sheet2!$C$3:$F$1223,2,0),"")</f>
        <v/>
      </c>
      <c r="D646" s="18" t="str">
        <f>IFERROR(VLOOKUP(C646,[8]Sheet2!$C$1:$F$1223,3,0),"")</f>
        <v/>
      </c>
      <c r="E646" s="18" t="str">
        <f>IFERROR(VLOOKUP(C646,[8]Sheet2!$C$1:$F$1223,4,0),"")</f>
        <v/>
      </c>
    </row>
    <row r="647" spans="2:5">
      <c r="B647" s="17" t="str">
        <f>IFERROR(VLOOKUP(C647,[8]Sheet2!$C$3:$F$1223,2,0),"")</f>
        <v/>
      </c>
      <c r="D647" s="18" t="str">
        <f>IFERROR(VLOOKUP(C647,[8]Sheet2!$C$1:$F$1223,3,0),"")</f>
        <v/>
      </c>
      <c r="E647" s="18" t="str">
        <f>IFERROR(VLOOKUP(C647,[8]Sheet2!$C$1:$F$1223,4,0),"")</f>
        <v/>
      </c>
    </row>
    <row r="648" spans="2:5">
      <c r="B648" s="17" t="str">
        <f>IFERROR(VLOOKUP(C648,[8]Sheet2!$C$3:$F$1223,2,0),"")</f>
        <v/>
      </c>
      <c r="D648" s="18" t="str">
        <f>IFERROR(VLOOKUP(C648,[8]Sheet2!$C$1:$F$1223,3,0),"")</f>
        <v/>
      </c>
      <c r="E648" s="18" t="str">
        <f>IFERROR(VLOOKUP(C648,[8]Sheet2!$C$1:$F$1223,4,0),"")</f>
        <v/>
      </c>
    </row>
    <row r="649" spans="2:5">
      <c r="B649" s="17" t="str">
        <f>IFERROR(VLOOKUP(C649,[8]Sheet2!$C$3:$F$1223,2,0),"")</f>
        <v/>
      </c>
      <c r="D649" s="18" t="str">
        <f>IFERROR(VLOOKUP(C649,[8]Sheet2!$C$1:$F$1223,3,0),"")</f>
        <v/>
      </c>
      <c r="E649" s="18" t="str">
        <f>IFERROR(VLOOKUP(C649,[8]Sheet2!$C$1:$F$1223,4,0),"")</f>
        <v/>
      </c>
    </row>
    <row r="650" spans="2:5">
      <c r="B650" s="17" t="str">
        <f>IFERROR(VLOOKUP(C650,[8]Sheet2!$C$3:$F$1223,2,0),"")</f>
        <v/>
      </c>
      <c r="D650" s="18" t="str">
        <f>IFERROR(VLOOKUP(C650,[8]Sheet2!$C$1:$F$1223,3,0),"")</f>
        <v/>
      </c>
      <c r="E650" s="18" t="str">
        <f>IFERROR(VLOOKUP(C650,[8]Sheet2!$C$1:$F$1223,4,0),"")</f>
        <v/>
      </c>
    </row>
    <row r="651" spans="2:5">
      <c r="B651" s="17" t="str">
        <f>IFERROR(VLOOKUP(C651,[8]Sheet2!$C$3:$F$1223,2,0),"")</f>
        <v/>
      </c>
      <c r="D651" s="18" t="str">
        <f>IFERROR(VLOOKUP(C651,[8]Sheet2!$C$1:$F$1223,3,0),"")</f>
        <v/>
      </c>
      <c r="E651" s="18" t="str">
        <f>IFERROR(VLOOKUP(C651,[8]Sheet2!$C$1:$F$1223,4,0),"")</f>
        <v/>
      </c>
    </row>
    <row r="652" spans="2:5">
      <c r="B652" s="17" t="str">
        <f>IFERROR(VLOOKUP(C652,[8]Sheet2!$C$3:$F$1223,2,0),"")</f>
        <v/>
      </c>
      <c r="D652" s="18" t="str">
        <f>IFERROR(VLOOKUP(C652,[8]Sheet2!$C$1:$F$1223,3,0),"")</f>
        <v/>
      </c>
      <c r="E652" s="18" t="str">
        <f>IFERROR(VLOOKUP(C652,[8]Sheet2!$C$1:$F$1223,4,0),"")</f>
        <v/>
      </c>
    </row>
    <row r="653" spans="2:5">
      <c r="B653" s="17" t="str">
        <f>IFERROR(VLOOKUP(C653,[8]Sheet2!$C$3:$F$1223,2,0),"")</f>
        <v/>
      </c>
      <c r="D653" s="18" t="str">
        <f>IFERROR(VLOOKUP(C653,[8]Sheet2!$C$1:$F$1223,3,0),"")</f>
        <v/>
      </c>
      <c r="E653" s="18" t="str">
        <f>IFERROR(VLOOKUP(C653,[8]Sheet2!$C$1:$F$1223,4,0),"")</f>
        <v/>
      </c>
    </row>
    <row r="654" spans="2:5">
      <c r="B654" s="17" t="str">
        <f>IFERROR(VLOOKUP(C654,[8]Sheet2!$C$3:$F$1223,2,0),"")</f>
        <v/>
      </c>
      <c r="D654" s="18" t="str">
        <f>IFERROR(VLOOKUP(C654,[8]Sheet2!$C$1:$F$1223,3,0),"")</f>
        <v/>
      </c>
      <c r="E654" s="18" t="str">
        <f>IFERROR(VLOOKUP(C654,[8]Sheet2!$C$1:$F$1223,4,0),"")</f>
        <v/>
      </c>
    </row>
    <row r="655" spans="2:5">
      <c r="B655" s="17" t="str">
        <f>IFERROR(VLOOKUP(C655,[8]Sheet2!$C$3:$F$1223,2,0),"")</f>
        <v/>
      </c>
      <c r="D655" s="18" t="str">
        <f>IFERROR(VLOOKUP(C655,[8]Sheet2!$C$1:$F$1223,3,0),"")</f>
        <v/>
      </c>
      <c r="E655" s="18" t="str">
        <f>IFERROR(VLOOKUP(C655,[8]Sheet2!$C$1:$F$1223,4,0),"")</f>
        <v/>
      </c>
    </row>
    <row r="656" spans="2:5">
      <c r="B656" s="17" t="str">
        <f>IFERROR(VLOOKUP(C656,[8]Sheet2!$C$3:$F$1223,2,0),"")</f>
        <v/>
      </c>
      <c r="D656" s="18" t="str">
        <f>IFERROR(VLOOKUP(C656,[8]Sheet2!$C$1:$F$1223,3,0),"")</f>
        <v/>
      </c>
      <c r="E656" s="18" t="str">
        <f>IFERROR(VLOOKUP(C656,[8]Sheet2!$C$1:$F$1223,4,0),"")</f>
        <v/>
      </c>
    </row>
    <row r="657" spans="2:5">
      <c r="B657" s="17" t="str">
        <f>IFERROR(VLOOKUP(C657,[8]Sheet2!$C$3:$F$1223,2,0),"")</f>
        <v/>
      </c>
      <c r="D657" s="18" t="str">
        <f>IFERROR(VLOOKUP(C657,[8]Sheet2!$C$1:$F$1223,3,0),"")</f>
        <v/>
      </c>
      <c r="E657" s="18" t="str">
        <f>IFERROR(VLOOKUP(C657,[8]Sheet2!$C$1:$F$1223,4,0),"")</f>
        <v/>
      </c>
    </row>
    <row r="658" spans="2:5">
      <c r="B658" s="17" t="str">
        <f>IFERROR(VLOOKUP(C658,[8]Sheet2!$C$3:$F$1223,2,0),"")</f>
        <v/>
      </c>
      <c r="D658" s="18" t="str">
        <f>IFERROR(VLOOKUP(C658,[8]Sheet2!$C$1:$F$1223,3,0),"")</f>
        <v/>
      </c>
      <c r="E658" s="18" t="str">
        <f>IFERROR(VLOOKUP(C658,[8]Sheet2!$C$1:$F$1223,4,0),"")</f>
        <v/>
      </c>
    </row>
    <row r="659" spans="2:5">
      <c r="B659" s="17" t="str">
        <f>IFERROR(VLOOKUP(C659,[8]Sheet2!$C$3:$F$1223,2,0),"")</f>
        <v/>
      </c>
      <c r="D659" s="18" t="str">
        <f>IFERROR(VLOOKUP(C659,[8]Sheet2!$C$1:$F$1223,3,0),"")</f>
        <v/>
      </c>
      <c r="E659" s="18" t="str">
        <f>IFERROR(VLOOKUP(C659,[8]Sheet2!$C$1:$F$1223,4,0),"")</f>
        <v/>
      </c>
    </row>
    <row r="660" spans="2:5">
      <c r="B660" s="17" t="str">
        <f>IFERROR(VLOOKUP(C660,[8]Sheet2!$C$3:$F$1223,2,0),"")</f>
        <v/>
      </c>
      <c r="D660" s="18" t="str">
        <f>IFERROR(VLOOKUP(C660,[8]Sheet2!$C$1:$F$1223,3,0),"")</f>
        <v/>
      </c>
      <c r="E660" s="18" t="str">
        <f>IFERROR(VLOOKUP(C660,[8]Sheet2!$C$1:$F$1223,4,0),"")</f>
        <v/>
      </c>
    </row>
    <row r="661" spans="2:5">
      <c r="B661" s="17" t="str">
        <f>IFERROR(VLOOKUP(C661,[8]Sheet2!$C$3:$F$1223,2,0),"")</f>
        <v/>
      </c>
      <c r="D661" s="18" t="str">
        <f>IFERROR(VLOOKUP(C661,[8]Sheet2!$C$1:$F$1223,3,0),"")</f>
        <v/>
      </c>
      <c r="E661" s="18" t="str">
        <f>IFERROR(VLOOKUP(C661,[8]Sheet2!$C$1:$F$1223,4,0),"")</f>
        <v/>
      </c>
    </row>
    <row r="662" spans="2:5">
      <c r="B662" s="17" t="str">
        <f>IFERROR(VLOOKUP(C662,[8]Sheet2!$C$3:$F$1223,2,0),"")</f>
        <v/>
      </c>
      <c r="D662" s="18" t="str">
        <f>IFERROR(VLOOKUP(C662,[8]Sheet2!$C$1:$F$1223,3,0),"")</f>
        <v/>
      </c>
      <c r="E662" s="18" t="str">
        <f>IFERROR(VLOOKUP(C662,[8]Sheet2!$C$1:$F$1223,4,0),"")</f>
        <v/>
      </c>
    </row>
    <row r="663" spans="2:5">
      <c r="B663" s="17" t="str">
        <f>IFERROR(VLOOKUP(C663,[8]Sheet2!$C$3:$F$1223,2,0),"")</f>
        <v/>
      </c>
      <c r="D663" s="18" t="str">
        <f>IFERROR(VLOOKUP(C663,[8]Sheet2!$C$1:$F$1223,3,0),"")</f>
        <v/>
      </c>
      <c r="E663" s="18" t="str">
        <f>IFERROR(VLOOKUP(C663,[8]Sheet2!$C$1:$F$1223,4,0),"")</f>
        <v/>
      </c>
    </row>
    <row r="664" spans="2:5">
      <c r="B664" s="17" t="str">
        <f>IFERROR(VLOOKUP(C664,[8]Sheet2!$C$3:$F$1223,2,0),"")</f>
        <v/>
      </c>
      <c r="D664" s="18" t="str">
        <f>IFERROR(VLOOKUP(C664,[8]Sheet2!$C$1:$F$1223,3,0),"")</f>
        <v/>
      </c>
      <c r="E664" s="18" t="str">
        <f>IFERROR(VLOOKUP(C664,[8]Sheet2!$C$1:$F$1223,4,0),"")</f>
        <v/>
      </c>
    </row>
    <row r="665" spans="2:5">
      <c r="B665" s="17" t="str">
        <f>IFERROR(VLOOKUP(C665,[8]Sheet2!$C$3:$F$1223,2,0),"")</f>
        <v/>
      </c>
      <c r="D665" s="18" t="str">
        <f>IFERROR(VLOOKUP(C665,[8]Sheet2!$C$1:$F$1223,3,0),"")</f>
        <v/>
      </c>
      <c r="E665" s="18" t="str">
        <f>IFERROR(VLOOKUP(C665,[8]Sheet2!$C$1:$F$1223,4,0),"")</f>
        <v/>
      </c>
    </row>
    <row r="666" spans="2:5">
      <c r="B666" s="17" t="str">
        <f>IFERROR(VLOOKUP(C666,[8]Sheet2!$C$3:$F$1223,2,0),"")</f>
        <v/>
      </c>
      <c r="D666" s="18" t="str">
        <f>IFERROR(VLOOKUP(C666,[8]Sheet2!$C$1:$F$1223,3,0),"")</f>
        <v/>
      </c>
      <c r="E666" s="18" t="str">
        <f>IFERROR(VLOOKUP(C666,[8]Sheet2!$C$1:$F$1223,4,0),"")</f>
        <v/>
      </c>
    </row>
    <row r="667" spans="2:5">
      <c r="B667" s="17" t="str">
        <f>IFERROR(VLOOKUP(C667,[8]Sheet2!$C$3:$F$1223,2,0),"")</f>
        <v/>
      </c>
      <c r="D667" s="18" t="str">
        <f>IFERROR(VLOOKUP(C667,[8]Sheet2!$C$1:$F$1223,3,0),"")</f>
        <v/>
      </c>
      <c r="E667" s="18" t="str">
        <f>IFERROR(VLOOKUP(C667,[8]Sheet2!$C$1:$F$1223,4,0),"")</f>
        <v/>
      </c>
    </row>
    <row r="668" spans="2:5">
      <c r="B668" s="17" t="str">
        <f>IFERROR(VLOOKUP(C668,[8]Sheet2!$C$3:$F$1223,2,0),"")</f>
        <v/>
      </c>
      <c r="D668" s="18" t="str">
        <f>IFERROR(VLOOKUP(C668,[8]Sheet2!$C$1:$F$1223,3,0),"")</f>
        <v/>
      </c>
      <c r="E668" s="18" t="str">
        <f>IFERROR(VLOOKUP(C668,[8]Sheet2!$C$1:$F$1223,4,0),"")</f>
        <v/>
      </c>
    </row>
    <row r="669" spans="2:5">
      <c r="B669" s="17" t="str">
        <f>IFERROR(VLOOKUP(C669,[8]Sheet2!$C$3:$F$1223,2,0),"")</f>
        <v/>
      </c>
      <c r="D669" s="18" t="str">
        <f>IFERROR(VLOOKUP(C669,[8]Sheet2!$C$1:$F$1223,3,0),"")</f>
        <v/>
      </c>
      <c r="E669" s="18" t="str">
        <f>IFERROR(VLOOKUP(C669,[8]Sheet2!$C$1:$F$1223,4,0),"")</f>
        <v/>
      </c>
    </row>
    <row r="670" spans="2:5">
      <c r="B670" s="17" t="str">
        <f>IFERROR(VLOOKUP(C670,[8]Sheet2!$C$3:$F$1223,2,0),"")</f>
        <v/>
      </c>
      <c r="D670" s="18" t="str">
        <f>IFERROR(VLOOKUP(C670,[8]Sheet2!$C$1:$F$1223,3,0),"")</f>
        <v/>
      </c>
      <c r="E670" s="18" t="str">
        <f>IFERROR(VLOOKUP(C670,[8]Sheet2!$C$1:$F$1223,4,0),"")</f>
        <v/>
      </c>
    </row>
    <row r="671" spans="2:5">
      <c r="B671" s="17" t="str">
        <f>IFERROR(VLOOKUP(C671,[8]Sheet2!$C$3:$F$1223,2,0),"")</f>
        <v/>
      </c>
      <c r="D671" s="18" t="str">
        <f>IFERROR(VLOOKUP(C671,[8]Sheet2!$C$1:$F$1223,3,0),"")</f>
        <v/>
      </c>
      <c r="E671" s="18" t="str">
        <f>IFERROR(VLOOKUP(C671,[8]Sheet2!$C$1:$F$1223,4,0),"")</f>
        <v/>
      </c>
    </row>
    <row r="672" spans="2:5">
      <c r="B672" s="17" t="str">
        <f>IFERROR(VLOOKUP(C672,[8]Sheet2!$C$3:$F$1223,2,0),"")</f>
        <v/>
      </c>
      <c r="D672" s="18" t="str">
        <f>IFERROR(VLOOKUP(C672,[8]Sheet2!$C$1:$F$1223,3,0),"")</f>
        <v/>
      </c>
      <c r="E672" s="18" t="str">
        <f>IFERROR(VLOOKUP(C672,[8]Sheet2!$C$1:$F$1223,4,0),"")</f>
        <v/>
      </c>
    </row>
    <row r="673" spans="2:5">
      <c r="B673" s="17" t="str">
        <f>IFERROR(VLOOKUP(C673,[8]Sheet2!$C$3:$F$1223,2,0),"")</f>
        <v/>
      </c>
      <c r="D673" s="18" t="str">
        <f>IFERROR(VLOOKUP(C673,[8]Sheet2!$C$1:$F$1223,3,0),"")</f>
        <v/>
      </c>
      <c r="E673" s="18" t="str">
        <f>IFERROR(VLOOKUP(C673,[8]Sheet2!$C$1:$F$1223,4,0),"")</f>
        <v/>
      </c>
    </row>
    <row r="674" spans="2:5">
      <c r="B674" s="17" t="str">
        <f>IFERROR(VLOOKUP(C674,[8]Sheet2!$C$3:$F$1223,2,0),"")</f>
        <v/>
      </c>
      <c r="D674" s="18" t="str">
        <f>IFERROR(VLOOKUP(C674,[8]Sheet2!$C$1:$F$1223,3,0),"")</f>
        <v/>
      </c>
      <c r="E674" s="18" t="str">
        <f>IFERROR(VLOOKUP(C674,[8]Sheet2!$C$1:$F$1223,4,0),"")</f>
        <v/>
      </c>
    </row>
    <row r="675" spans="2:5">
      <c r="B675" s="17" t="str">
        <f>IFERROR(VLOOKUP(C675,[8]Sheet2!$C$3:$F$1223,2,0),"")</f>
        <v/>
      </c>
      <c r="D675" s="18" t="str">
        <f>IFERROR(VLOOKUP(C675,[8]Sheet2!$C$1:$F$1223,3,0),"")</f>
        <v/>
      </c>
      <c r="E675" s="18" t="str">
        <f>IFERROR(VLOOKUP(C675,[8]Sheet2!$C$1:$F$1223,4,0),"")</f>
        <v/>
      </c>
    </row>
    <row r="676" spans="2:5">
      <c r="B676" s="17" t="str">
        <f>IFERROR(VLOOKUP(C676,[8]Sheet2!$C$3:$F$1223,2,0),"")</f>
        <v/>
      </c>
      <c r="D676" s="18" t="str">
        <f>IFERROR(VLOOKUP(C676,[8]Sheet2!$C$1:$F$1223,3,0),"")</f>
        <v/>
      </c>
      <c r="E676" s="18" t="str">
        <f>IFERROR(VLOOKUP(C676,[8]Sheet2!$C$1:$F$1223,4,0),"")</f>
        <v/>
      </c>
    </row>
    <row r="677" spans="2:5">
      <c r="B677" s="17" t="str">
        <f>IFERROR(VLOOKUP(C677,[8]Sheet2!$C$3:$F$1223,2,0),"")</f>
        <v/>
      </c>
      <c r="D677" s="18" t="str">
        <f>IFERROR(VLOOKUP(C677,[8]Sheet2!$C$1:$F$1223,3,0),"")</f>
        <v/>
      </c>
      <c r="E677" s="18" t="str">
        <f>IFERROR(VLOOKUP(C677,[8]Sheet2!$C$1:$F$1223,4,0),"")</f>
        <v/>
      </c>
    </row>
    <row r="678" spans="2:5">
      <c r="B678" s="17" t="str">
        <f>IFERROR(VLOOKUP(C678,[8]Sheet2!$C$3:$F$1223,2,0),"")</f>
        <v/>
      </c>
      <c r="D678" s="18" t="str">
        <f>IFERROR(VLOOKUP(C678,[8]Sheet2!$C$1:$F$1223,3,0),"")</f>
        <v/>
      </c>
      <c r="E678" s="18" t="str">
        <f>IFERROR(VLOOKUP(C678,[8]Sheet2!$C$1:$F$1223,4,0),"")</f>
        <v/>
      </c>
    </row>
    <row r="679" spans="2:5">
      <c r="B679" s="17" t="str">
        <f>IFERROR(VLOOKUP(C679,[8]Sheet2!$C$3:$F$1223,2,0),"")</f>
        <v/>
      </c>
      <c r="D679" s="18" t="str">
        <f>IFERROR(VLOOKUP(C679,[8]Sheet2!$C$1:$F$1223,3,0),"")</f>
        <v/>
      </c>
      <c r="E679" s="18" t="str">
        <f>IFERROR(VLOOKUP(C679,[8]Sheet2!$C$1:$F$1223,4,0),"")</f>
        <v/>
      </c>
    </row>
    <row r="680" spans="2:5">
      <c r="B680" s="17" t="str">
        <f>IFERROR(VLOOKUP(C680,[8]Sheet2!$C$3:$F$1223,2,0),"")</f>
        <v/>
      </c>
      <c r="D680" s="18" t="str">
        <f>IFERROR(VLOOKUP(C680,[8]Sheet2!$C$1:$F$1223,3,0),"")</f>
        <v/>
      </c>
      <c r="E680" s="18" t="str">
        <f>IFERROR(VLOOKUP(C680,[8]Sheet2!$C$1:$F$1223,4,0),"")</f>
        <v/>
      </c>
    </row>
    <row r="681" spans="2:5">
      <c r="B681" s="17" t="str">
        <f>IFERROR(VLOOKUP(C681,[8]Sheet2!$C$3:$F$1223,2,0),"")</f>
        <v/>
      </c>
      <c r="D681" s="18" t="str">
        <f>IFERROR(VLOOKUP(C681,[8]Sheet2!$C$1:$F$1223,3,0),"")</f>
        <v/>
      </c>
      <c r="E681" s="18" t="str">
        <f>IFERROR(VLOOKUP(C681,[8]Sheet2!$C$1:$F$1223,4,0),"")</f>
        <v/>
      </c>
    </row>
    <row r="682" spans="2:5">
      <c r="B682" s="17" t="str">
        <f>IFERROR(VLOOKUP(C682,[8]Sheet2!$C$3:$F$1223,2,0),"")</f>
        <v/>
      </c>
      <c r="D682" s="18" t="str">
        <f>IFERROR(VLOOKUP(C682,[8]Sheet2!$C$1:$F$1223,3,0),"")</f>
        <v/>
      </c>
      <c r="E682" s="18" t="str">
        <f>IFERROR(VLOOKUP(C682,[8]Sheet2!$C$1:$F$1223,4,0),"")</f>
        <v/>
      </c>
    </row>
    <row r="683" spans="2:5">
      <c r="B683" s="17" t="str">
        <f>IFERROR(VLOOKUP(C683,[8]Sheet2!$C$3:$F$1223,2,0),"")</f>
        <v/>
      </c>
      <c r="D683" s="18" t="str">
        <f>IFERROR(VLOOKUP(C683,[8]Sheet2!$C$1:$F$1223,3,0),"")</f>
        <v/>
      </c>
      <c r="E683" s="18" t="str">
        <f>IFERROR(VLOOKUP(C683,[8]Sheet2!$C$1:$F$1223,4,0),"")</f>
        <v/>
      </c>
    </row>
    <row r="684" spans="2:5">
      <c r="B684" s="17" t="str">
        <f>IFERROR(VLOOKUP(C684,[8]Sheet2!$C$3:$F$1223,2,0),"")</f>
        <v/>
      </c>
      <c r="D684" s="18" t="str">
        <f>IFERROR(VLOOKUP(C684,[8]Sheet2!$C$1:$F$1223,3,0),"")</f>
        <v/>
      </c>
      <c r="E684" s="18" t="str">
        <f>IFERROR(VLOOKUP(C684,[8]Sheet2!$C$1:$F$1223,4,0),"")</f>
        <v/>
      </c>
    </row>
    <row r="685" spans="2:5">
      <c r="B685" s="17" t="str">
        <f>IFERROR(VLOOKUP(C685,[8]Sheet2!$C$3:$F$1223,2,0),"")</f>
        <v/>
      </c>
      <c r="D685" s="18" t="str">
        <f>IFERROR(VLOOKUP(C685,[8]Sheet2!$C$1:$F$1223,3,0),"")</f>
        <v/>
      </c>
      <c r="E685" s="18" t="str">
        <f>IFERROR(VLOOKUP(C685,[8]Sheet2!$C$1:$F$1223,4,0),"")</f>
        <v/>
      </c>
    </row>
    <row r="686" spans="2:5">
      <c r="B686" s="17" t="str">
        <f>IFERROR(VLOOKUP(C686,[8]Sheet2!$C$3:$F$1223,2,0),"")</f>
        <v/>
      </c>
      <c r="D686" s="18" t="str">
        <f>IFERROR(VLOOKUP(C686,[8]Sheet2!$C$1:$F$1223,3,0),"")</f>
        <v/>
      </c>
      <c r="E686" s="18" t="str">
        <f>IFERROR(VLOOKUP(C686,[8]Sheet2!$C$1:$F$1223,4,0),"")</f>
        <v/>
      </c>
    </row>
    <row r="687" spans="2:5">
      <c r="B687" s="17" t="str">
        <f>IFERROR(VLOOKUP(C687,[8]Sheet2!$C$3:$F$1223,2,0),"")</f>
        <v/>
      </c>
      <c r="D687" s="18" t="str">
        <f>IFERROR(VLOOKUP(C687,[8]Sheet2!$C$1:$F$1223,3,0),"")</f>
        <v/>
      </c>
      <c r="E687" s="18" t="str">
        <f>IFERROR(VLOOKUP(C687,[8]Sheet2!$C$1:$F$1223,4,0),"")</f>
        <v/>
      </c>
    </row>
    <row r="688" spans="2:5">
      <c r="B688" s="17" t="str">
        <f>IFERROR(VLOOKUP(C688,[8]Sheet2!$C$3:$F$1223,2,0),"")</f>
        <v/>
      </c>
      <c r="D688" s="18" t="str">
        <f>IFERROR(VLOOKUP(C688,[8]Sheet2!$C$1:$F$1223,3,0),"")</f>
        <v/>
      </c>
      <c r="E688" s="18" t="str">
        <f>IFERROR(VLOOKUP(C688,[8]Sheet2!$C$1:$F$1223,4,0),"")</f>
        <v/>
      </c>
    </row>
    <row r="689" spans="2:5">
      <c r="B689" s="17" t="str">
        <f>IFERROR(VLOOKUP(C689,[8]Sheet2!$C$3:$F$1223,2,0),"")</f>
        <v/>
      </c>
      <c r="D689" s="18" t="str">
        <f>IFERROR(VLOOKUP(C689,[8]Sheet2!$C$1:$F$1223,3,0),"")</f>
        <v/>
      </c>
      <c r="E689" s="18" t="str">
        <f>IFERROR(VLOOKUP(C689,[8]Sheet2!$C$1:$F$1223,4,0),"")</f>
        <v/>
      </c>
    </row>
    <row r="690" spans="2:5">
      <c r="B690" s="17" t="str">
        <f>IFERROR(VLOOKUP(C690,[8]Sheet2!$C$3:$F$1223,2,0),"")</f>
        <v/>
      </c>
      <c r="D690" s="18" t="str">
        <f>IFERROR(VLOOKUP(C690,[8]Sheet2!$C$1:$F$1223,3,0),"")</f>
        <v/>
      </c>
      <c r="E690" s="18" t="str">
        <f>IFERROR(VLOOKUP(C690,[8]Sheet2!$C$1:$F$1223,4,0),"")</f>
        <v/>
      </c>
    </row>
    <row r="691" spans="2:5">
      <c r="B691" s="17" t="str">
        <f>IFERROR(VLOOKUP(C691,[8]Sheet2!$C$3:$F$1223,2,0),"")</f>
        <v/>
      </c>
      <c r="D691" s="18" t="str">
        <f>IFERROR(VLOOKUP(C691,[8]Sheet2!$C$1:$F$1223,3,0),"")</f>
        <v/>
      </c>
      <c r="E691" s="18" t="str">
        <f>IFERROR(VLOOKUP(C691,[8]Sheet2!$C$1:$F$1223,4,0),"")</f>
        <v/>
      </c>
    </row>
    <row r="692" spans="2:5">
      <c r="B692" s="17" t="str">
        <f>IFERROR(VLOOKUP(C692,[8]Sheet2!$C$3:$F$1223,2,0),"")</f>
        <v/>
      </c>
      <c r="D692" s="18" t="str">
        <f>IFERROR(VLOOKUP(C692,[8]Sheet2!$C$1:$F$1223,3,0),"")</f>
        <v/>
      </c>
      <c r="E692" s="18" t="str">
        <f>IFERROR(VLOOKUP(C692,[8]Sheet2!$C$1:$F$1223,4,0),"")</f>
        <v/>
      </c>
    </row>
    <row r="693" spans="2:5">
      <c r="B693" s="17" t="str">
        <f>IFERROR(VLOOKUP(C693,[8]Sheet2!$C$3:$F$1223,2,0),"")</f>
        <v/>
      </c>
      <c r="D693" s="18" t="str">
        <f>IFERROR(VLOOKUP(C693,[8]Sheet2!$C$1:$F$1223,3,0),"")</f>
        <v/>
      </c>
      <c r="E693" s="18" t="str">
        <f>IFERROR(VLOOKUP(C693,[8]Sheet2!$C$1:$F$1223,4,0),"")</f>
        <v/>
      </c>
    </row>
    <row r="694" spans="2:5">
      <c r="B694" s="17" t="str">
        <f>IFERROR(VLOOKUP(C694,[8]Sheet2!$C$3:$F$1223,2,0),"")</f>
        <v/>
      </c>
      <c r="D694" s="18" t="str">
        <f>IFERROR(VLOOKUP(C694,[8]Sheet2!$C$1:$F$1223,3,0),"")</f>
        <v/>
      </c>
      <c r="E694" s="18" t="str">
        <f>IFERROR(VLOOKUP(C694,[8]Sheet2!$C$1:$F$1223,4,0),"")</f>
        <v/>
      </c>
    </row>
    <row r="695" spans="2:5">
      <c r="B695" s="17" t="str">
        <f>IFERROR(VLOOKUP(C695,[8]Sheet2!$C$3:$F$1223,2,0),"")</f>
        <v/>
      </c>
      <c r="D695" s="18" t="str">
        <f>IFERROR(VLOOKUP(C695,[8]Sheet2!$C$1:$F$1223,3,0),"")</f>
        <v/>
      </c>
      <c r="E695" s="18" t="str">
        <f>IFERROR(VLOOKUP(C695,[8]Sheet2!$C$1:$F$1223,4,0),"")</f>
        <v/>
      </c>
    </row>
    <row r="696" spans="2:5">
      <c r="B696" s="17" t="str">
        <f>IFERROR(VLOOKUP(C696,[8]Sheet2!$C$3:$F$1223,2,0),"")</f>
        <v/>
      </c>
      <c r="D696" s="18" t="str">
        <f>IFERROR(VLOOKUP(C696,[8]Sheet2!$C$1:$F$1223,3,0),"")</f>
        <v/>
      </c>
      <c r="E696" s="18" t="str">
        <f>IFERROR(VLOOKUP(C696,[8]Sheet2!$C$1:$F$1223,4,0),"")</f>
        <v/>
      </c>
    </row>
    <row r="697" spans="2:5">
      <c r="B697" s="17" t="str">
        <f>IFERROR(VLOOKUP(C697,[8]Sheet2!$C$3:$F$1223,2,0),"")</f>
        <v/>
      </c>
      <c r="D697" s="18" t="str">
        <f>IFERROR(VLOOKUP(C697,[8]Sheet2!$C$1:$F$1223,3,0),"")</f>
        <v/>
      </c>
      <c r="E697" s="18" t="str">
        <f>IFERROR(VLOOKUP(C697,[8]Sheet2!$C$1:$F$1223,4,0),"")</f>
        <v/>
      </c>
    </row>
    <row r="698" spans="2:5">
      <c r="B698" s="17" t="str">
        <f>IFERROR(VLOOKUP(C698,[8]Sheet2!$C$3:$F$1223,2,0),"")</f>
        <v/>
      </c>
      <c r="D698" s="18" t="str">
        <f>IFERROR(VLOOKUP(C698,[8]Sheet2!$C$1:$F$1223,3,0),"")</f>
        <v/>
      </c>
      <c r="E698" s="18" t="str">
        <f>IFERROR(VLOOKUP(C698,[8]Sheet2!$C$1:$F$1223,4,0),"")</f>
        <v/>
      </c>
    </row>
    <row r="699" spans="2:5">
      <c r="B699" s="17" t="str">
        <f>IFERROR(VLOOKUP(C699,[8]Sheet2!$C$3:$F$1223,2,0),"")</f>
        <v/>
      </c>
      <c r="D699" s="18" t="str">
        <f>IFERROR(VLOOKUP(C699,[8]Sheet2!$C$1:$F$1223,3,0),"")</f>
        <v/>
      </c>
      <c r="E699" s="18" t="str">
        <f>IFERROR(VLOOKUP(C699,[8]Sheet2!$C$1:$F$1223,4,0),"")</f>
        <v/>
      </c>
    </row>
    <row r="700" spans="2:5">
      <c r="B700" s="17" t="str">
        <f>IFERROR(VLOOKUP(C700,[8]Sheet2!$C$3:$F$1223,2,0),"")</f>
        <v/>
      </c>
      <c r="D700" s="18" t="str">
        <f>IFERROR(VLOOKUP(C700,[8]Sheet2!$C$1:$F$1223,3,0),"")</f>
        <v/>
      </c>
      <c r="E700" s="18" t="str">
        <f>IFERROR(VLOOKUP(C700,[8]Sheet2!$C$1:$F$1223,4,0),"")</f>
        <v/>
      </c>
    </row>
    <row r="701" spans="2:5">
      <c r="B701" s="17" t="str">
        <f>IFERROR(VLOOKUP(C701,[8]Sheet2!$C$3:$F$1223,2,0),"")</f>
        <v/>
      </c>
      <c r="D701" s="18" t="str">
        <f>IFERROR(VLOOKUP(C701,[8]Sheet2!$C$1:$F$1223,3,0),"")</f>
        <v/>
      </c>
      <c r="E701" s="18" t="str">
        <f>IFERROR(VLOOKUP(C701,[8]Sheet2!$C$1:$F$1223,4,0),"")</f>
        <v/>
      </c>
    </row>
    <row r="702" spans="2:5">
      <c r="B702" s="17" t="str">
        <f>IFERROR(VLOOKUP(C702,[8]Sheet2!$C$3:$F$1223,2,0),"")</f>
        <v/>
      </c>
      <c r="D702" s="18" t="str">
        <f>IFERROR(VLOOKUP(C702,[8]Sheet2!$C$1:$F$1223,3,0),"")</f>
        <v/>
      </c>
      <c r="E702" s="18" t="str">
        <f>IFERROR(VLOOKUP(C702,[8]Sheet2!$C$1:$F$1223,4,0),"")</f>
        <v/>
      </c>
    </row>
    <row r="703" spans="2:5">
      <c r="B703" s="17" t="str">
        <f>IFERROR(VLOOKUP(C703,[8]Sheet2!$C$3:$F$1223,2,0),"")</f>
        <v/>
      </c>
      <c r="D703" s="18" t="str">
        <f>IFERROR(VLOOKUP(C703,[8]Sheet2!$C$1:$F$1223,3,0),"")</f>
        <v/>
      </c>
      <c r="E703" s="18" t="str">
        <f>IFERROR(VLOOKUP(C703,[8]Sheet2!$C$1:$F$1223,4,0),"")</f>
        <v/>
      </c>
    </row>
    <row r="704" spans="2:5">
      <c r="B704" s="17" t="str">
        <f>IFERROR(VLOOKUP(C704,[8]Sheet2!$C$3:$F$1223,2,0),"")</f>
        <v/>
      </c>
      <c r="D704" s="18" t="str">
        <f>IFERROR(VLOOKUP(C704,[8]Sheet2!$C$1:$F$1223,3,0),"")</f>
        <v/>
      </c>
      <c r="E704" s="18" t="str">
        <f>IFERROR(VLOOKUP(C704,[8]Sheet2!$C$1:$F$1223,4,0),"")</f>
        <v/>
      </c>
    </row>
    <row r="705" spans="2:5">
      <c r="B705" s="17" t="str">
        <f>IFERROR(VLOOKUP(C705,[8]Sheet2!$C$3:$F$1223,2,0),"")</f>
        <v/>
      </c>
      <c r="D705" s="18" t="str">
        <f>IFERROR(VLOOKUP(C705,[8]Sheet2!$C$1:$F$1223,3,0),"")</f>
        <v/>
      </c>
      <c r="E705" s="18" t="str">
        <f>IFERROR(VLOOKUP(C705,[8]Sheet2!$C$1:$F$1223,4,0),"")</f>
        <v/>
      </c>
    </row>
    <row r="706" spans="2:5">
      <c r="B706" s="17" t="str">
        <f>IFERROR(VLOOKUP(C706,[8]Sheet2!$C$3:$F$1223,2,0),"")</f>
        <v/>
      </c>
      <c r="D706" s="18" t="str">
        <f>IFERROR(VLOOKUP(C706,[8]Sheet2!$C$1:$F$1223,3,0),"")</f>
        <v/>
      </c>
      <c r="E706" s="18" t="str">
        <f>IFERROR(VLOOKUP(C706,[8]Sheet2!$C$1:$F$1223,4,0),"")</f>
        <v/>
      </c>
    </row>
    <row r="707" spans="2:5">
      <c r="B707" s="17" t="str">
        <f>IFERROR(VLOOKUP(C707,[8]Sheet2!$C$3:$F$1223,2,0),"")</f>
        <v/>
      </c>
      <c r="D707" s="18" t="str">
        <f>IFERROR(VLOOKUP(C707,[8]Sheet2!$C$1:$F$1223,3,0),"")</f>
        <v/>
      </c>
      <c r="E707" s="18" t="str">
        <f>IFERROR(VLOOKUP(C707,[8]Sheet2!$C$1:$F$1223,4,0),"")</f>
        <v/>
      </c>
    </row>
    <row r="708" spans="2:5">
      <c r="B708" s="17" t="str">
        <f>IFERROR(VLOOKUP(C708,[8]Sheet2!$C$3:$F$1223,2,0),"")</f>
        <v/>
      </c>
      <c r="D708" s="18" t="str">
        <f>IFERROR(VLOOKUP(C708,[8]Sheet2!$C$1:$F$1223,3,0),"")</f>
        <v/>
      </c>
      <c r="E708" s="18" t="str">
        <f>IFERROR(VLOOKUP(C708,[8]Sheet2!$C$1:$F$1223,4,0),"")</f>
        <v/>
      </c>
    </row>
    <row r="709" spans="2:5">
      <c r="B709" s="17" t="str">
        <f>IFERROR(VLOOKUP(C709,[8]Sheet2!$C$3:$F$1223,2,0),"")</f>
        <v/>
      </c>
      <c r="D709" s="18" t="str">
        <f>IFERROR(VLOOKUP(C709,[8]Sheet2!$C$1:$F$1223,3,0),"")</f>
        <v/>
      </c>
      <c r="E709" s="18" t="str">
        <f>IFERROR(VLOOKUP(C709,[8]Sheet2!$C$1:$F$1223,4,0),"")</f>
        <v/>
      </c>
    </row>
    <row r="710" spans="2:5">
      <c r="B710" s="17" t="str">
        <f>IFERROR(VLOOKUP(C710,[8]Sheet2!$C$3:$F$1223,2,0),"")</f>
        <v/>
      </c>
      <c r="D710" s="18" t="str">
        <f>IFERROR(VLOOKUP(C710,[8]Sheet2!$C$1:$F$1223,3,0),"")</f>
        <v/>
      </c>
      <c r="E710" s="18" t="str">
        <f>IFERROR(VLOOKUP(C710,[8]Sheet2!$C$1:$F$1223,4,0),"")</f>
        <v/>
      </c>
    </row>
    <row r="711" spans="2:5">
      <c r="B711" s="17" t="str">
        <f>IFERROR(VLOOKUP(C711,[8]Sheet2!$C$3:$F$1223,2,0),"")</f>
        <v/>
      </c>
      <c r="D711" s="18" t="str">
        <f>IFERROR(VLOOKUP(C711,[8]Sheet2!$C$1:$F$1223,3,0),"")</f>
        <v/>
      </c>
      <c r="E711" s="18" t="str">
        <f>IFERROR(VLOOKUP(C711,[8]Sheet2!$C$1:$F$1223,4,0),"")</f>
        <v/>
      </c>
    </row>
    <row r="712" spans="2:5">
      <c r="B712" s="17" t="str">
        <f>IFERROR(VLOOKUP(C712,[8]Sheet2!$C$3:$F$1223,2,0),"")</f>
        <v/>
      </c>
      <c r="D712" s="18" t="str">
        <f>IFERROR(VLOOKUP(C712,[8]Sheet2!$C$1:$F$1223,3,0),"")</f>
        <v/>
      </c>
      <c r="E712" s="18" t="str">
        <f>IFERROR(VLOOKUP(C712,[8]Sheet2!$C$1:$F$1223,4,0),"")</f>
        <v/>
      </c>
    </row>
    <row r="713" spans="2:5">
      <c r="B713" s="17" t="str">
        <f>IFERROR(VLOOKUP(C713,[8]Sheet2!$C$3:$F$1223,2,0),"")</f>
        <v/>
      </c>
      <c r="D713" s="18" t="str">
        <f>IFERROR(VLOOKUP(C713,[8]Sheet2!$C$1:$F$1223,3,0),"")</f>
        <v/>
      </c>
      <c r="E713" s="18" t="str">
        <f>IFERROR(VLOOKUP(C713,[8]Sheet2!$C$1:$F$1223,4,0),"")</f>
        <v/>
      </c>
    </row>
    <row r="714" spans="2:5">
      <c r="B714" s="17" t="str">
        <f>IFERROR(VLOOKUP(C714,[8]Sheet2!$C$3:$F$1223,2,0),"")</f>
        <v/>
      </c>
      <c r="D714" s="18" t="str">
        <f>IFERROR(VLOOKUP(C714,[8]Sheet2!$C$1:$F$1223,3,0),"")</f>
        <v/>
      </c>
      <c r="E714" s="18" t="str">
        <f>IFERROR(VLOOKUP(C714,[8]Sheet2!$C$1:$F$1223,4,0),"")</f>
        <v/>
      </c>
    </row>
    <row r="715" spans="2:5">
      <c r="B715" s="17" t="str">
        <f>IFERROR(VLOOKUP(C715,[8]Sheet2!$C$3:$F$1223,2,0),"")</f>
        <v/>
      </c>
      <c r="D715" s="18" t="str">
        <f>IFERROR(VLOOKUP(C715,[8]Sheet2!$C$1:$F$1223,3,0),"")</f>
        <v/>
      </c>
      <c r="E715" s="18" t="str">
        <f>IFERROR(VLOOKUP(C715,[8]Sheet2!$C$1:$F$1223,4,0),"")</f>
        <v/>
      </c>
    </row>
    <row r="716" spans="2:5">
      <c r="B716" s="17" t="str">
        <f>IFERROR(VLOOKUP(C716,[8]Sheet2!$C$3:$F$1223,2,0),"")</f>
        <v/>
      </c>
      <c r="D716" s="18" t="str">
        <f>IFERROR(VLOOKUP(C716,[8]Sheet2!$C$1:$F$1223,3,0),"")</f>
        <v/>
      </c>
      <c r="E716" s="18" t="str">
        <f>IFERROR(VLOOKUP(C716,[8]Sheet2!$C$1:$F$1223,4,0),"")</f>
        <v/>
      </c>
    </row>
    <row r="717" spans="2:5">
      <c r="B717" s="17" t="str">
        <f>IFERROR(VLOOKUP(C717,[8]Sheet2!$C$3:$F$1223,2,0),"")</f>
        <v/>
      </c>
      <c r="D717" s="18" t="str">
        <f>IFERROR(VLOOKUP(C717,[8]Sheet2!$C$1:$F$1223,3,0),"")</f>
        <v/>
      </c>
      <c r="E717" s="18" t="str">
        <f>IFERROR(VLOOKUP(C717,[8]Sheet2!$C$1:$F$1223,4,0),"")</f>
        <v/>
      </c>
    </row>
    <row r="718" spans="2:5">
      <c r="B718" s="17" t="str">
        <f>IFERROR(VLOOKUP(C718,[8]Sheet2!$C$3:$F$1223,2,0),"")</f>
        <v/>
      </c>
      <c r="D718" s="18" t="str">
        <f>IFERROR(VLOOKUP(C718,[8]Sheet2!$C$1:$F$1223,3,0),"")</f>
        <v/>
      </c>
      <c r="E718" s="18" t="str">
        <f>IFERROR(VLOOKUP(C718,[8]Sheet2!$C$1:$F$1223,4,0),"")</f>
        <v/>
      </c>
    </row>
    <row r="719" spans="2:5">
      <c r="B719" s="17" t="str">
        <f>IFERROR(VLOOKUP(C719,[8]Sheet2!$C$3:$F$1223,2,0),"")</f>
        <v/>
      </c>
      <c r="D719" s="18" t="str">
        <f>IFERROR(VLOOKUP(C719,[8]Sheet2!$C$1:$F$1223,3,0),"")</f>
        <v/>
      </c>
      <c r="E719" s="18" t="str">
        <f>IFERROR(VLOOKUP(C719,[8]Sheet2!$C$1:$F$1223,4,0),"")</f>
        <v/>
      </c>
    </row>
    <row r="720" spans="2:5">
      <c r="B720" s="17" t="str">
        <f>IFERROR(VLOOKUP(C720,[8]Sheet2!$C$3:$F$1223,2,0),"")</f>
        <v/>
      </c>
      <c r="D720" s="18" t="str">
        <f>IFERROR(VLOOKUP(C720,[8]Sheet2!$C$1:$F$1223,3,0),"")</f>
        <v/>
      </c>
      <c r="E720" s="18" t="str">
        <f>IFERROR(VLOOKUP(C720,[8]Sheet2!$C$1:$F$1223,4,0),"")</f>
        <v/>
      </c>
    </row>
    <row r="721" spans="2:5">
      <c r="B721" s="17" t="str">
        <f>IFERROR(VLOOKUP(C721,[8]Sheet2!$C$3:$F$1223,2,0),"")</f>
        <v/>
      </c>
      <c r="D721" s="18" t="str">
        <f>IFERROR(VLOOKUP(C721,[8]Sheet2!$C$1:$F$1223,3,0),"")</f>
        <v/>
      </c>
      <c r="E721" s="18" t="str">
        <f>IFERROR(VLOOKUP(C721,[8]Sheet2!$C$1:$F$1223,4,0),"")</f>
        <v/>
      </c>
    </row>
    <row r="722" spans="2:5">
      <c r="B722" s="17" t="str">
        <f>IFERROR(VLOOKUP(C722,[8]Sheet2!$C$3:$F$1223,2,0),"")</f>
        <v/>
      </c>
      <c r="D722" s="18" t="str">
        <f>IFERROR(VLOOKUP(C722,[8]Sheet2!$C$1:$F$1223,3,0),"")</f>
        <v/>
      </c>
      <c r="E722" s="18" t="str">
        <f>IFERROR(VLOOKUP(C722,[8]Sheet2!$C$1:$F$1223,4,0),"")</f>
        <v/>
      </c>
    </row>
    <row r="723" spans="2:5">
      <c r="B723" s="17" t="str">
        <f>IFERROR(VLOOKUP(C723,[8]Sheet2!$C$3:$F$1223,2,0),"")</f>
        <v/>
      </c>
      <c r="D723" s="18" t="str">
        <f>IFERROR(VLOOKUP(C723,[8]Sheet2!$C$1:$F$1223,3,0),"")</f>
        <v/>
      </c>
      <c r="E723" s="18" t="str">
        <f>IFERROR(VLOOKUP(C723,[8]Sheet2!$C$1:$F$1223,4,0),"")</f>
        <v/>
      </c>
    </row>
    <row r="724" spans="2:5">
      <c r="B724" s="17" t="str">
        <f>IFERROR(VLOOKUP(C724,[8]Sheet2!$C$3:$F$1223,2,0),"")</f>
        <v/>
      </c>
      <c r="D724" s="18" t="str">
        <f>IFERROR(VLOOKUP(C724,[8]Sheet2!$C$1:$F$1223,3,0),"")</f>
        <v/>
      </c>
      <c r="E724" s="18" t="str">
        <f>IFERROR(VLOOKUP(C724,[8]Sheet2!$C$1:$F$1223,4,0),"")</f>
        <v/>
      </c>
    </row>
    <row r="725" spans="2:5">
      <c r="B725" s="17" t="str">
        <f>IFERROR(VLOOKUP(C725,[8]Sheet2!$C$3:$F$1223,2,0),"")</f>
        <v/>
      </c>
      <c r="D725" s="18" t="str">
        <f>IFERROR(VLOOKUP(C725,[8]Sheet2!$C$1:$F$1223,3,0),"")</f>
        <v/>
      </c>
      <c r="E725" s="18" t="str">
        <f>IFERROR(VLOOKUP(C725,[8]Sheet2!$C$1:$F$1223,4,0),"")</f>
        <v/>
      </c>
    </row>
    <row r="726" spans="2:5">
      <c r="B726" s="17" t="str">
        <f>IFERROR(VLOOKUP(C726,[8]Sheet2!$C$3:$F$1223,2,0),"")</f>
        <v/>
      </c>
      <c r="D726" s="18" t="str">
        <f>IFERROR(VLOOKUP(C726,[8]Sheet2!$C$1:$F$1223,3,0),"")</f>
        <v/>
      </c>
      <c r="E726" s="18" t="str">
        <f>IFERROR(VLOOKUP(C726,[8]Sheet2!$C$1:$F$1223,4,0),"")</f>
        <v/>
      </c>
    </row>
    <row r="727" spans="2:5">
      <c r="B727" s="17" t="str">
        <f>IFERROR(VLOOKUP(C727,[8]Sheet2!$C$3:$F$1223,2,0),"")</f>
        <v/>
      </c>
      <c r="D727" s="18" t="str">
        <f>IFERROR(VLOOKUP(C727,[8]Sheet2!$C$1:$F$1223,3,0),"")</f>
        <v/>
      </c>
      <c r="E727" s="18" t="str">
        <f>IFERROR(VLOOKUP(C727,[8]Sheet2!$C$1:$F$1223,4,0),"")</f>
        <v/>
      </c>
    </row>
    <row r="728" spans="2:5">
      <c r="B728" s="17" t="str">
        <f>IFERROR(VLOOKUP(C728,[8]Sheet2!$C$3:$F$1223,2,0),"")</f>
        <v/>
      </c>
      <c r="D728" s="18" t="str">
        <f>IFERROR(VLOOKUP(C728,[8]Sheet2!$C$1:$F$1223,3,0),"")</f>
        <v/>
      </c>
      <c r="E728" s="18" t="str">
        <f>IFERROR(VLOOKUP(C728,[8]Sheet2!$C$1:$F$1223,4,0),"")</f>
        <v/>
      </c>
    </row>
    <row r="729" spans="2:5">
      <c r="B729" s="17" t="str">
        <f>IFERROR(VLOOKUP(C729,[8]Sheet2!$C$3:$F$1223,2,0),"")</f>
        <v/>
      </c>
      <c r="D729" s="18" t="str">
        <f>IFERROR(VLOOKUP(C729,[8]Sheet2!$C$1:$F$1223,3,0),"")</f>
        <v/>
      </c>
      <c r="E729" s="18" t="str">
        <f>IFERROR(VLOOKUP(C729,[8]Sheet2!$C$1:$F$1223,4,0),"")</f>
        <v/>
      </c>
    </row>
    <row r="730" spans="2:5">
      <c r="B730" s="17" t="str">
        <f>IFERROR(VLOOKUP(C730,[8]Sheet2!$C$3:$F$1223,2,0),"")</f>
        <v/>
      </c>
      <c r="D730" s="18" t="str">
        <f>IFERROR(VLOOKUP(C730,[8]Sheet2!$C$1:$F$1223,3,0),"")</f>
        <v/>
      </c>
      <c r="E730" s="18" t="str">
        <f>IFERROR(VLOOKUP(C730,[8]Sheet2!$C$1:$F$1223,4,0),"")</f>
        <v/>
      </c>
    </row>
    <row r="731" spans="2:5">
      <c r="B731" s="17" t="str">
        <f>IFERROR(VLOOKUP(C731,[8]Sheet2!$C$3:$F$1223,2,0),"")</f>
        <v/>
      </c>
      <c r="D731" s="18" t="str">
        <f>IFERROR(VLOOKUP(C731,[8]Sheet2!$C$1:$F$1223,3,0),"")</f>
        <v/>
      </c>
      <c r="E731" s="18" t="str">
        <f>IFERROR(VLOOKUP(C731,[8]Sheet2!$C$1:$F$1223,4,0),"")</f>
        <v/>
      </c>
    </row>
    <row r="732" spans="2:5">
      <c r="B732" s="17" t="str">
        <f>IFERROR(VLOOKUP(C732,[8]Sheet2!$C$3:$F$1223,2,0),"")</f>
        <v/>
      </c>
      <c r="D732" s="18" t="str">
        <f>IFERROR(VLOOKUP(C732,[8]Sheet2!$C$1:$F$1223,3,0),"")</f>
        <v/>
      </c>
      <c r="E732" s="18" t="str">
        <f>IFERROR(VLOOKUP(C732,[8]Sheet2!$C$1:$F$1223,4,0),"")</f>
        <v/>
      </c>
    </row>
    <row r="733" spans="2:5">
      <c r="B733" s="17" t="str">
        <f>IFERROR(VLOOKUP(C733,[8]Sheet2!$C$3:$F$1223,2,0),"")</f>
        <v/>
      </c>
      <c r="D733" s="18" t="str">
        <f>IFERROR(VLOOKUP(C733,[8]Sheet2!$C$1:$F$1223,3,0),"")</f>
        <v/>
      </c>
      <c r="E733" s="18" t="str">
        <f>IFERROR(VLOOKUP(C733,[8]Sheet2!$C$1:$F$1223,4,0),"")</f>
        <v/>
      </c>
    </row>
    <row r="734" spans="2:5">
      <c r="B734" s="17" t="str">
        <f>IFERROR(VLOOKUP(C734,[8]Sheet2!$C$3:$F$1223,2,0),"")</f>
        <v/>
      </c>
      <c r="D734" s="18" t="str">
        <f>IFERROR(VLOOKUP(C734,[8]Sheet2!$C$1:$F$1223,3,0),"")</f>
        <v/>
      </c>
      <c r="E734" s="18" t="str">
        <f>IFERROR(VLOOKUP(C734,[8]Sheet2!$C$1:$F$1223,4,0),"")</f>
        <v/>
      </c>
    </row>
    <row r="735" spans="2:5">
      <c r="B735" s="17" t="str">
        <f>IFERROR(VLOOKUP(C735,[8]Sheet2!$C$3:$F$1223,2,0),"")</f>
        <v/>
      </c>
    </row>
    <row r="736" spans="2:5">
      <c r="B736" s="17" t="str">
        <f>IFERROR(VLOOKUP(C736,[8]Sheet2!$C$3:$F$1223,2,0),"")</f>
        <v/>
      </c>
    </row>
    <row r="737" spans="2:2">
      <c r="B737" s="17" t="str">
        <f>IFERROR(VLOOKUP(C737,[8]Sheet2!$C$3:$F$1223,2,0),"")</f>
        <v/>
      </c>
    </row>
    <row r="738" spans="2:2">
      <c r="B738" s="17" t="str">
        <f>IFERROR(VLOOKUP(C738,[8]Sheet2!$C$3:$F$1223,2,0),"")</f>
        <v/>
      </c>
    </row>
    <row r="739" spans="2:2">
      <c r="B739" s="17" t="str">
        <f>IFERROR(VLOOKUP(C739,[8]Sheet2!$C$3:$F$1223,2,0),"")</f>
        <v/>
      </c>
    </row>
    <row r="740" spans="2:2">
      <c r="B740" s="17" t="str">
        <f>IFERROR(VLOOKUP(C740,[8]Sheet2!$C$3:$F$1223,2,0),"")</f>
        <v/>
      </c>
    </row>
    <row r="741" spans="2:2">
      <c r="B741" s="17" t="str">
        <f>IFERROR(VLOOKUP(C741,[8]Sheet2!$C$3:$F$1223,2,0),"")</f>
        <v/>
      </c>
    </row>
    <row r="742" spans="2:2">
      <c r="B742" s="17" t="str">
        <f>IFERROR(VLOOKUP(C742,[8]Sheet2!$C$3:$F$1223,2,0),"")</f>
        <v/>
      </c>
    </row>
    <row r="743" spans="2:2">
      <c r="B743" s="17" t="str">
        <f>IFERROR(VLOOKUP(C743,[8]Sheet2!$C$3:$F$1223,2,0),"")</f>
        <v/>
      </c>
    </row>
  </sheetData>
  <autoFilter ref="B2:V743"/>
  <mergeCells count="2">
    <mergeCell ref="K1:V1"/>
    <mergeCell ref="X1:AI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AI743"/>
  <sheetViews>
    <sheetView showGridLines="0" zoomScale="85" zoomScaleNormal="85" workbookViewId="0">
      <selection activeCell="E14" sqref="E14"/>
    </sheetView>
  </sheetViews>
  <sheetFormatPr defaultRowHeight="17" outlineLevelCol="1"/>
  <cols>
    <col min="2" max="2" width="9.08203125" style="19" bestFit="1" customWidth="1"/>
    <col min="3" max="3" width="6.5" style="20" bestFit="1" customWidth="1"/>
    <col min="4" max="4" width="7.08203125" style="21" bestFit="1" customWidth="1"/>
    <col min="5" max="5" width="20.58203125" style="21" bestFit="1" customWidth="1"/>
    <col min="6" max="6" width="31.33203125" style="20" bestFit="1" customWidth="1"/>
    <col min="7" max="7" width="8.08203125" style="39" bestFit="1" customWidth="1"/>
    <col min="8" max="8" width="11" style="20" customWidth="1" outlineLevel="1"/>
    <col min="9" max="9" width="14.83203125" style="20" customWidth="1" outlineLevel="1"/>
    <col min="10" max="10" width="54.25" style="20" customWidth="1" outlineLevel="1"/>
    <col min="11" max="21" width="9" style="32"/>
    <col min="22" max="22" width="9" style="33"/>
    <col min="23" max="23" width="9" style="30"/>
    <col min="24" max="24" width="9" style="31"/>
    <col min="25" max="34" width="9" style="32"/>
    <col min="35" max="35" width="9" style="33"/>
  </cols>
  <sheetData>
    <row r="1" spans="1:35">
      <c r="A1" s="44"/>
      <c r="B1" s="45"/>
      <c r="C1" s="44"/>
      <c r="D1" s="45"/>
      <c r="E1" s="45"/>
      <c r="F1" s="44"/>
      <c r="G1" s="46"/>
      <c r="H1" s="44"/>
      <c r="I1" s="44"/>
      <c r="J1" s="44"/>
      <c r="K1" s="107" t="s">
        <v>3681</v>
      </c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44"/>
      <c r="X1" s="107" t="s">
        <v>3682</v>
      </c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9"/>
    </row>
    <row r="2" spans="1:35">
      <c r="A2" s="44"/>
      <c r="B2" s="47" t="s">
        <v>3683</v>
      </c>
      <c r="C2" s="48" t="s">
        <v>0</v>
      </c>
      <c r="D2" s="49" t="s">
        <v>3684</v>
      </c>
      <c r="E2" s="49" t="s">
        <v>1</v>
      </c>
      <c r="F2" s="48" t="s">
        <v>3685</v>
      </c>
      <c r="G2" s="48" t="s">
        <v>17</v>
      </c>
      <c r="H2" s="48" t="s">
        <v>14</v>
      </c>
      <c r="I2" s="48" t="s">
        <v>15</v>
      </c>
      <c r="J2" s="50" t="s">
        <v>16</v>
      </c>
      <c r="K2" s="51" t="s">
        <v>2</v>
      </c>
      <c r="L2" s="52" t="s">
        <v>3</v>
      </c>
      <c r="M2" s="52" t="s">
        <v>4</v>
      </c>
      <c r="N2" s="52" t="s">
        <v>5</v>
      </c>
      <c r="O2" s="52" t="s">
        <v>6</v>
      </c>
      <c r="P2" s="52" t="s">
        <v>7</v>
      </c>
      <c r="Q2" s="52" t="s">
        <v>8</v>
      </c>
      <c r="R2" s="52" t="s">
        <v>9</v>
      </c>
      <c r="S2" s="52" t="s">
        <v>10</v>
      </c>
      <c r="T2" s="52" t="s">
        <v>11</v>
      </c>
      <c r="U2" s="52" t="s">
        <v>12</v>
      </c>
      <c r="V2" s="53" t="s">
        <v>13</v>
      </c>
      <c r="W2" s="44"/>
      <c r="X2" s="51" t="s">
        <v>2</v>
      </c>
      <c r="Y2" s="52" t="s">
        <v>3</v>
      </c>
      <c r="Z2" s="52" t="s">
        <v>4</v>
      </c>
      <c r="AA2" s="52" t="s">
        <v>5</v>
      </c>
      <c r="AB2" s="52" t="s">
        <v>6</v>
      </c>
      <c r="AC2" s="52" t="s">
        <v>7</v>
      </c>
      <c r="AD2" s="52" t="s">
        <v>8</v>
      </c>
      <c r="AE2" s="52" t="s">
        <v>9</v>
      </c>
      <c r="AF2" s="52" t="s">
        <v>10</v>
      </c>
      <c r="AG2" s="52" t="s">
        <v>11</v>
      </c>
      <c r="AH2" s="52" t="s">
        <v>12</v>
      </c>
      <c r="AI2" s="53" t="s">
        <v>13</v>
      </c>
    </row>
    <row r="3" spans="1:35">
      <c r="A3" s="44"/>
      <c r="B3" s="71" t="str">
        <f>IFERROR(VLOOKUP(C3,[7]Sheet2!$C$3:$F$1223,2,0),"")</f>
        <v>Gwangju</v>
      </c>
      <c r="C3" s="72">
        <v>83875</v>
      </c>
      <c r="D3" s="73" t="str">
        <f>IFERROR(VLOOKUP(C3,[7]Sheet2!$C$1:$F$1223,3,0),"")</f>
        <v>변재영</v>
      </c>
      <c r="E3" s="73" t="str">
        <f>IFERROR(VLOOKUP(C3,[7]Sheet2!$C$1:$F$1223,4,0),"")</f>
        <v>일신중국주류</v>
      </c>
      <c r="F3" s="74" t="s">
        <v>3339</v>
      </c>
      <c r="G3" s="72" t="s">
        <v>3483</v>
      </c>
      <c r="H3" s="75" t="s">
        <v>3481</v>
      </c>
      <c r="I3" s="75" t="s">
        <v>2507</v>
      </c>
      <c r="J3" s="76" t="s">
        <v>3482</v>
      </c>
      <c r="K3" s="77"/>
      <c r="L3" s="75"/>
      <c r="M3" s="75"/>
      <c r="N3" s="75">
        <v>3</v>
      </c>
      <c r="O3" s="75">
        <v>5</v>
      </c>
      <c r="P3" s="75"/>
      <c r="Q3" s="75">
        <v>5</v>
      </c>
      <c r="R3" s="75"/>
      <c r="S3" s="75"/>
      <c r="T3" s="75"/>
      <c r="U3" s="75"/>
      <c r="V3" s="78"/>
      <c r="W3" s="44"/>
      <c r="X3" s="77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8"/>
    </row>
    <row r="4" spans="1:35">
      <c r="A4" s="44"/>
      <c r="B4" s="71" t="str">
        <f>IFERROR(VLOOKUP(C4,[7]Sheet2!$C$3:$F$1223,2,0),"")</f>
        <v>Gwangju</v>
      </c>
      <c r="C4" s="72">
        <v>83875</v>
      </c>
      <c r="D4" s="73" t="str">
        <f>IFERROR(VLOOKUP(C4,[7]Sheet2!$C$1:$F$1223,3,0),"")</f>
        <v>변재영</v>
      </c>
      <c r="E4" s="73" t="str">
        <f>IFERROR(VLOOKUP(C4,[7]Sheet2!$C$1:$F$1223,4,0),"")</f>
        <v>일신중국주류</v>
      </c>
      <c r="F4" s="74" t="s">
        <v>3340</v>
      </c>
      <c r="G4" s="72" t="s">
        <v>3483</v>
      </c>
      <c r="H4" s="75" t="s">
        <v>3481</v>
      </c>
      <c r="I4" s="75" t="s">
        <v>2507</v>
      </c>
      <c r="J4" s="76" t="s">
        <v>3484</v>
      </c>
      <c r="K4" s="77"/>
      <c r="L4" s="75"/>
      <c r="M4" s="75"/>
      <c r="N4" s="75">
        <v>1</v>
      </c>
      <c r="O4" s="75"/>
      <c r="P4" s="75"/>
      <c r="Q4" s="75"/>
      <c r="R4" s="75"/>
      <c r="S4" s="75"/>
      <c r="T4" s="75"/>
      <c r="U4" s="75"/>
      <c r="V4" s="78"/>
      <c r="W4" s="44"/>
      <c r="X4" s="77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8"/>
    </row>
    <row r="5" spans="1:35">
      <c r="A5" s="44"/>
      <c r="B5" s="71" t="str">
        <f>IFERROR(VLOOKUP(C5,[7]Sheet2!$C$3:$F$1223,2,0),"")</f>
        <v>Gwangju</v>
      </c>
      <c r="C5" s="72">
        <v>83875</v>
      </c>
      <c r="D5" s="73" t="str">
        <f>IFERROR(VLOOKUP(C5,[7]Sheet2!$C$1:$F$1223,3,0),"")</f>
        <v>변재영</v>
      </c>
      <c r="E5" s="73" t="str">
        <f>IFERROR(VLOOKUP(C5,[7]Sheet2!$C$1:$F$1223,4,0),"")</f>
        <v>일신중국주류</v>
      </c>
      <c r="F5" s="74" t="s">
        <v>3341</v>
      </c>
      <c r="G5" s="72" t="s">
        <v>3483</v>
      </c>
      <c r="H5" s="75" t="s">
        <v>3481</v>
      </c>
      <c r="I5" s="75" t="s">
        <v>2507</v>
      </c>
      <c r="J5" s="76" t="s">
        <v>3485</v>
      </c>
      <c r="K5" s="77"/>
      <c r="L5" s="75"/>
      <c r="M5" s="75"/>
      <c r="N5" s="75">
        <v>2</v>
      </c>
      <c r="O5" s="75">
        <v>2</v>
      </c>
      <c r="P5" s="75"/>
      <c r="Q5" s="75"/>
      <c r="R5" s="75"/>
      <c r="S5" s="75"/>
      <c r="T5" s="75"/>
      <c r="U5" s="75"/>
      <c r="V5" s="78"/>
      <c r="W5" s="44"/>
      <c r="X5" s="77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8"/>
    </row>
    <row r="6" spans="1:35">
      <c r="A6" s="44"/>
      <c r="B6" s="71" t="str">
        <f>IFERROR(VLOOKUP(C6,[7]Sheet2!$C$3:$F$1223,2,0),"")</f>
        <v>Gwangju</v>
      </c>
      <c r="C6" s="72">
        <v>83875</v>
      </c>
      <c r="D6" s="73" t="str">
        <f>IFERROR(VLOOKUP(C6,[7]Sheet2!$C$1:$F$1223,3,0),"")</f>
        <v>변재영</v>
      </c>
      <c r="E6" s="73" t="str">
        <f>IFERROR(VLOOKUP(C6,[7]Sheet2!$C$1:$F$1223,4,0),"")</f>
        <v>일신중국주류</v>
      </c>
      <c r="F6" s="74" t="s">
        <v>3342</v>
      </c>
      <c r="G6" s="72" t="s">
        <v>3483</v>
      </c>
      <c r="H6" s="75" t="s">
        <v>3481</v>
      </c>
      <c r="I6" s="75" t="s">
        <v>132</v>
      </c>
      <c r="J6" s="76" t="s">
        <v>3486</v>
      </c>
      <c r="K6" s="77"/>
      <c r="L6" s="75"/>
      <c r="M6" s="75"/>
      <c r="N6" s="75">
        <v>3</v>
      </c>
      <c r="O6" s="75"/>
      <c r="P6" s="75"/>
      <c r="Q6" s="75"/>
      <c r="R6" s="75"/>
      <c r="S6" s="75"/>
      <c r="T6" s="75"/>
      <c r="U6" s="75"/>
      <c r="V6" s="78"/>
      <c r="W6" s="44"/>
      <c r="X6" s="77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8"/>
    </row>
    <row r="7" spans="1:35">
      <c r="A7" s="44"/>
      <c r="B7" s="71" t="str">
        <f>IFERROR(VLOOKUP(C7,[7]Sheet2!$C$3:$F$1223,2,0),"")</f>
        <v>Gwangju</v>
      </c>
      <c r="C7" s="72">
        <v>83875</v>
      </c>
      <c r="D7" s="73" t="str">
        <f>IFERROR(VLOOKUP(C7,[7]Sheet2!$C$1:$F$1223,3,0),"")</f>
        <v>변재영</v>
      </c>
      <c r="E7" s="73" t="str">
        <f>IFERROR(VLOOKUP(C7,[7]Sheet2!$C$1:$F$1223,4,0),"")</f>
        <v>일신중국주류</v>
      </c>
      <c r="F7" s="74" t="s">
        <v>3343</v>
      </c>
      <c r="G7" s="72" t="s">
        <v>3483</v>
      </c>
      <c r="H7" s="75" t="s">
        <v>3481</v>
      </c>
      <c r="I7" s="75" t="s">
        <v>2507</v>
      </c>
      <c r="J7" s="76" t="s">
        <v>3487</v>
      </c>
      <c r="K7" s="77"/>
      <c r="L7" s="75"/>
      <c r="M7" s="75"/>
      <c r="N7" s="75">
        <v>3</v>
      </c>
      <c r="O7" s="75">
        <v>5</v>
      </c>
      <c r="P7" s="75">
        <v>3</v>
      </c>
      <c r="Q7" s="75"/>
      <c r="R7" s="75"/>
      <c r="S7" s="75"/>
      <c r="T7" s="75"/>
      <c r="U7" s="75"/>
      <c r="V7" s="78"/>
      <c r="W7" s="44"/>
      <c r="X7" s="77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8"/>
    </row>
    <row r="8" spans="1:35">
      <c r="A8" s="44"/>
      <c r="B8" s="71" t="str">
        <f>IFERROR(VLOOKUP(C8,[7]Sheet2!$C$3:$F$1223,2,0),"")</f>
        <v>Gwangju</v>
      </c>
      <c r="C8" s="72">
        <v>83875</v>
      </c>
      <c r="D8" s="73" t="str">
        <f>IFERROR(VLOOKUP(C8,[7]Sheet2!$C$1:$F$1223,3,0),"")</f>
        <v>변재영</v>
      </c>
      <c r="E8" s="73" t="str">
        <f>IFERROR(VLOOKUP(C8,[7]Sheet2!$C$1:$F$1223,4,0),"")</f>
        <v>일신중국주류</v>
      </c>
      <c r="F8" s="74" t="s">
        <v>3344</v>
      </c>
      <c r="G8" s="72" t="s">
        <v>3686</v>
      </c>
      <c r="H8" s="75" t="s">
        <v>3481</v>
      </c>
      <c r="I8" s="75" t="s">
        <v>2519</v>
      </c>
      <c r="J8" s="76" t="s">
        <v>3488</v>
      </c>
      <c r="K8" s="77"/>
      <c r="L8" s="75"/>
      <c r="M8" s="75"/>
      <c r="N8" s="75">
        <v>3</v>
      </c>
      <c r="O8" s="75"/>
      <c r="P8" s="75"/>
      <c r="Q8" s="75"/>
      <c r="R8" s="75"/>
      <c r="S8" s="75"/>
      <c r="T8" s="75"/>
      <c r="U8" s="75"/>
      <c r="V8" s="78"/>
      <c r="W8" s="44"/>
      <c r="X8" s="77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8"/>
    </row>
    <row r="9" spans="1:35">
      <c r="A9" s="44"/>
      <c r="B9" s="71" t="str">
        <f>IFERROR(VLOOKUP(C9,[7]Sheet2!$C$3:$F$1223,2,0),"")</f>
        <v>Gwangju</v>
      </c>
      <c r="C9" s="72">
        <v>83875</v>
      </c>
      <c r="D9" s="73" t="str">
        <f>IFERROR(VLOOKUP(C9,[7]Sheet2!$C$1:$F$1223,3,0),"")</f>
        <v>변재영</v>
      </c>
      <c r="E9" s="73" t="str">
        <f>IFERROR(VLOOKUP(C9,[7]Sheet2!$C$1:$F$1223,4,0),"")</f>
        <v>일신중국주류</v>
      </c>
      <c r="F9" s="74" t="s">
        <v>3345</v>
      </c>
      <c r="G9" s="72" t="s">
        <v>3483</v>
      </c>
      <c r="H9" s="75" t="s">
        <v>3481</v>
      </c>
      <c r="I9" s="75" t="s">
        <v>132</v>
      </c>
      <c r="J9" s="76" t="s">
        <v>3489</v>
      </c>
      <c r="K9" s="77"/>
      <c r="L9" s="75"/>
      <c r="M9" s="75"/>
      <c r="N9" s="75">
        <v>20</v>
      </c>
      <c r="O9" s="75"/>
      <c r="P9" s="75"/>
      <c r="Q9" s="75"/>
      <c r="R9" s="75">
        <v>15</v>
      </c>
      <c r="S9" s="75">
        <v>10</v>
      </c>
      <c r="T9" s="75"/>
      <c r="U9" s="75"/>
      <c r="V9" s="78"/>
      <c r="W9" s="44"/>
      <c r="X9" s="77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8"/>
    </row>
    <row r="10" spans="1:35">
      <c r="A10" s="44"/>
      <c r="B10" s="71" t="str">
        <f>IFERROR(VLOOKUP(C10,[7]Sheet2!$C$3:$F$1223,2,0),"")</f>
        <v>Gwangju</v>
      </c>
      <c r="C10" s="72">
        <v>83875</v>
      </c>
      <c r="D10" s="73" t="str">
        <f>IFERROR(VLOOKUP(C10,[7]Sheet2!$C$1:$F$1223,3,0),"")</f>
        <v>변재영</v>
      </c>
      <c r="E10" s="73" t="str">
        <f>IFERROR(VLOOKUP(C10,[7]Sheet2!$C$1:$F$1223,4,0),"")</f>
        <v>일신중국주류</v>
      </c>
      <c r="F10" s="74" t="s">
        <v>3346</v>
      </c>
      <c r="G10" s="72" t="s">
        <v>3686</v>
      </c>
      <c r="H10" s="75" t="s">
        <v>3490</v>
      </c>
      <c r="I10" s="75" t="s">
        <v>3491</v>
      </c>
      <c r="J10" s="76" t="s">
        <v>3492</v>
      </c>
      <c r="K10" s="77"/>
      <c r="L10" s="75"/>
      <c r="M10" s="75"/>
      <c r="N10" s="75">
        <v>5</v>
      </c>
      <c r="O10" s="75"/>
      <c r="P10" s="75"/>
      <c r="Q10" s="75"/>
      <c r="R10" s="75">
        <v>1</v>
      </c>
      <c r="S10" s="75">
        <v>1</v>
      </c>
      <c r="T10" s="75">
        <v>1</v>
      </c>
      <c r="U10" s="75">
        <v>1</v>
      </c>
      <c r="V10" s="78"/>
      <c r="W10" s="44"/>
      <c r="X10" s="77">
        <v>1</v>
      </c>
      <c r="Y10" s="75">
        <v>2</v>
      </c>
      <c r="Z10" s="75"/>
      <c r="AA10" s="75"/>
      <c r="AB10" s="75"/>
      <c r="AC10" s="75"/>
      <c r="AD10" s="75"/>
      <c r="AE10" s="75"/>
      <c r="AF10" s="75"/>
      <c r="AG10" s="75"/>
      <c r="AH10" s="75"/>
      <c r="AI10" s="78"/>
    </row>
    <row r="11" spans="1:35">
      <c r="A11" s="44"/>
      <c r="B11" s="71" t="str">
        <f>IFERROR(VLOOKUP(C11,[7]Sheet2!$C$3:$F$1223,2,0),"")</f>
        <v>Gwangju</v>
      </c>
      <c r="C11" s="72">
        <v>83875</v>
      </c>
      <c r="D11" s="73" t="str">
        <f>IFERROR(VLOOKUP(C11,[7]Sheet2!$C$1:$F$1223,3,0),"")</f>
        <v>변재영</v>
      </c>
      <c r="E11" s="73" t="str">
        <f>IFERROR(VLOOKUP(C11,[7]Sheet2!$C$1:$F$1223,4,0),"")</f>
        <v>일신중국주류</v>
      </c>
      <c r="F11" s="74" t="s">
        <v>3347</v>
      </c>
      <c r="G11" s="72" t="s">
        <v>3686</v>
      </c>
      <c r="H11" s="75" t="s">
        <v>3490</v>
      </c>
      <c r="I11" s="75" t="s">
        <v>3491</v>
      </c>
      <c r="J11" s="76" t="s">
        <v>3493</v>
      </c>
      <c r="K11" s="77"/>
      <c r="L11" s="75"/>
      <c r="M11" s="75"/>
      <c r="N11" s="75">
        <v>5</v>
      </c>
      <c r="O11" s="75"/>
      <c r="P11" s="75">
        <v>2</v>
      </c>
      <c r="Q11" s="75"/>
      <c r="R11" s="75"/>
      <c r="S11" s="75"/>
      <c r="T11" s="75">
        <v>2</v>
      </c>
      <c r="U11" s="75"/>
      <c r="V11" s="78"/>
      <c r="W11" s="44"/>
      <c r="X11" s="77">
        <v>2</v>
      </c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8"/>
    </row>
    <row r="12" spans="1:35">
      <c r="A12" s="44"/>
      <c r="B12" s="71" t="str">
        <f>IFERROR(VLOOKUP(C12,[7]Sheet2!$C$3:$F$1223,2,0),"")</f>
        <v>Gwangju</v>
      </c>
      <c r="C12" s="72">
        <v>83875</v>
      </c>
      <c r="D12" s="73" t="str">
        <f>IFERROR(VLOOKUP(C12,[7]Sheet2!$C$1:$F$1223,3,0),"")</f>
        <v>변재영</v>
      </c>
      <c r="E12" s="73" t="str">
        <f>IFERROR(VLOOKUP(C12,[7]Sheet2!$C$1:$F$1223,4,0),"")</f>
        <v>일신중국주류</v>
      </c>
      <c r="F12" s="74" t="s">
        <v>3348</v>
      </c>
      <c r="G12" s="72" t="s">
        <v>3686</v>
      </c>
      <c r="H12" s="75" t="s">
        <v>3490</v>
      </c>
      <c r="I12" s="75" t="s">
        <v>3491</v>
      </c>
      <c r="J12" s="76" t="s">
        <v>3494</v>
      </c>
      <c r="K12" s="77"/>
      <c r="L12" s="75"/>
      <c r="M12" s="75"/>
      <c r="N12" s="75">
        <v>2</v>
      </c>
      <c r="O12" s="75"/>
      <c r="P12" s="75"/>
      <c r="Q12" s="75"/>
      <c r="R12" s="75"/>
      <c r="S12" s="75"/>
      <c r="T12" s="75"/>
      <c r="U12" s="75"/>
      <c r="V12" s="78"/>
      <c r="W12" s="44"/>
      <c r="X12" s="77"/>
      <c r="Y12" s="75">
        <v>3</v>
      </c>
      <c r="Z12" s="75"/>
      <c r="AA12" s="75"/>
      <c r="AB12" s="75"/>
      <c r="AC12" s="75"/>
      <c r="AD12" s="75"/>
      <c r="AE12" s="75"/>
      <c r="AF12" s="75"/>
      <c r="AG12" s="75"/>
      <c r="AH12" s="75"/>
      <c r="AI12" s="78"/>
    </row>
    <row r="13" spans="1:35">
      <c r="A13" s="44"/>
      <c r="B13" s="71" t="str">
        <f>IFERROR(VLOOKUP(C13,[7]Sheet2!$C$3:$F$1223,2,0),"")</f>
        <v>Gwangju</v>
      </c>
      <c r="C13" s="72">
        <v>33966</v>
      </c>
      <c r="D13" s="73" t="str">
        <f>IFERROR(VLOOKUP(C13,[7]Sheet2!$C$1:$F$1223,3,0),"")</f>
        <v>변재영</v>
      </c>
      <c r="E13" s="73" t="str">
        <f>IFERROR(VLOOKUP(C13,[7]Sheet2!$C$1:$F$1223,4,0),"")</f>
        <v>강남종합광주</v>
      </c>
      <c r="F13" s="74" t="s">
        <v>3349</v>
      </c>
      <c r="G13" s="72" t="s">
        <v>3483</v>
      </c>
      <c r="H13" s="75" t="s">
        <v>3481</v>
      </c>
      <c r="I13" s="75" t="s">
        <v>2507</v>
      </c>
      <c r="J13" s="76" t="s">
        <v>3495</v>
      </c>
      <c r="K13" s="77"/>
      <c r="L13" s="75"/>
      <c r="M13" s="75"/>
      <c r="N13" s="75">
        <v>10</v>
      </c>
      <c r="O13" s="75"/>
      <c r="P13" s="75"/>
      <c r="Q13" s="75"/>
      <c r="R13" s="75"/>
      <c r="S13" s="75"/>
      <c r="T13" s="75"/>
      <c r="U13" s="75"/>
      <c r="V13" s="78">
        <v>1</v>
      </c>
      <c r="W13" s="44"/>
      <c r="X13" s="77"/>
      <c r="Y13" s="75">
        <v>5</v>
      </c>
      <c r="Z13" s="75"/>
      <c r="AA13" s="75"/>
      <c r="AB13" s="75"/>
      <c r="AC13" s="75"/>
      <c r="AD13" s="75"/>
      <c r="AE13" s="75"/>
      <c r="AF13" s="75"/>
      <c r="AG13" s="75"/>
      <c r="AH13" s="75"/>
      <c r="AI13" s="78"/>
    </row>
    <row r="14" spans="1:35">
      <c r="A14" s="44"/>
      <c r="B14" s="71" t="str">
        <f>IFERROR(VLOOKUP(C14,[7]Sheet2!$C$3:$F$1223,2,0),"")</f>
        <v>Gwangju</v>
      </c>
      <c r="C14" s="72">
        <v>33969</v>
      </c>
      <c r="D14" s="73" t="str">
        <f>IFERROR(VLOOKUP(C14,[7]Sheet2!$C$1:$F$1223,3,0),"")</f>
        <v>변재영</v>
      </c>
      <c r="E14" s="73" t="str">
        <f>IFERROR(VLOOKUP(C14,[7]Sheet2!$C$1:$F$1223,4,0),"")</f>
        <v>고창주류(유)</v>
      </c>
      <c r="F14" s="74" t="s">
        <v>3350</v>
      </c>
      <c r="G14" s="72" t="s">
        <v>3483</v>
      </c>
      <c r="H14" s="75" t="s">
        <v>3490</v>
      </c>
      <c r="I14" s="75" t="s">
        <v>3496</v>
      </c>
      <c r="J14" s="76" t="s">
        <v>3497</v>
      </c>
      <c r="K14" s="77"/>
      <c r="L14" s="75"/>
      <c r="M14" s="75"/>
      <c r="N14" s="75">
        <v>1</v>
      </c>
      <c r="O14" s="75">
        <v>2</v>
      </c>
      <c r="P14" s="75">
        <v>2</v>
      </c>
      <c r="Q14" s="75">
        <v>4</v>
      </c>
      <c r="R14" s="75">
        <v>2</v>
      </c>
      <c r="S14" s="75">
        <v>2</v>
      </c>
      <c r="T14" s="75"/>
      <c r="U14" s="75"/>
      <c r="V14" s="78"/>
      <c r="W14" s="44"/>
      <c r="X14" s="77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8"/>
    </row>
    <row r="15" spans="1:35">
      <c r="A15" s="44"/>
      <c r="B15" s="71" t="str">
        <f>IFERROR(VLOOKUP(C15,[7]Sheet2!$C$3:$F$1223,2,0),"")</f>
        <v>Gwangju</v>
      </c>
      <c r="C15" s="72">
        <v>33969</v>
      </c>
      <c r="D15" s="73" t="str">
        <f>IFERROR(VLOOKUP(C15,[7]Sheet2!$C$1:$F$1223,3,0),"")</f>
        <v>변재영</v>
      </c>
      <c r="E15" s="73" t="str">
        <f>IFERROR(VLOOKUP(C15,[7]Sheet2!$C$1:$F$1223,4,0),"")</f>
        <v>고창주류(유)</v>
      </c>
      <c r="F15" s="74" t="s">
        <v>3351</v>
      </c>
      <c r="G15" s="72" t="s">
        <v>3483</v>
      </c>
      <c r="H15" s="75" t="s">
        <v>3481</v>
      </c>
      <c r="I15" s="75" t="s">
        <v>132</v>
      </c>
      <c r="J15" s="76" t="s">
        <v>3498</v>
      </c>
      <c r="K15" s="77"/>
      <c r="L15" s="75"/>
      <c r="M15" s="75"/>
      <c r="N15" s="75">
        <v>3</v>
      </c>
      <c r="O15" s="75">
        <v>8</v>
      </c>
      <c r="P15" s="75">
        <v>10</v>
      </c>
      <c r="Q15" s="75">
        <v>9</v>
      </c>
      <c r="R15" s="75">
        <v>8</v>
      </c>
      <c r="S15" s="75">
        <v>7</v>
      </c>
      <c r="T15" s="75">
        <v>8</v>
      </c>
      <c r="U15" s="75">
        <v>5</v>
      </c>
      <c r="V15" s="78">
        <v>10</v>
      </c>
      <c r="W15" s="44"/>
      <c r="X15" s="77">
        <v>8</v>
      </c>
      <c r="Y15" s="75">
        <v>11</v>
      </c>
      <c r="Z15" s="75"/>
      <c r="AA15" s="75"/>
      <c r="AB15" s="75"/>
      <c r="AC15" s="75"/>
      <c r="AD15" s="75"/>
      <c r="AE15" s="75"/>
      <c r="AF15" s="75"/>
      <c r="AG15" s="75"/>
      <c r="AH15" s="75"/>
      <c r="AI15" s="78"/>
    </row>
    <row r="16" spans="1:35">
      <c r="A16" s="44"/>
      <c r="B16" s="71" t="str">
        <f>IFERROR(VLOOKUP(C16,[7]Sheet2!$C$3:$F$1223,2,0),"")</f>
        <v>Gwangju</v>
      </c>
      <c r="C16" s="72">
        <v>33969</v>
      </c>
      <c r="D16" s="73" t="str">
        <f>IFERROR(VLOOKUP(C16,[7]Sheet2!$C$1:$F$1223,3,0),"")</f>
        <v>변재영</v>
      </c>
      <c r="E16" s="73" t="str">
        <f>IFERROR(VLOOKUP(C16,[7]Sheet2!$C$1:$F$1223,4,0),"")</f>
        <v>고창주류(유)</v>
      </c>
      <c r="F16" s="74" t="s">
        <v>3352</v>
      </c>
      <c r="G16" s="72" t="s">
        <v>3483</v>
      </c>
      <c r="H16" s="75" t="s">
        <v>3499</v>
      </c>
      <c r="I16" s="75" t="s">
        <v>3500</v>
      </c>
      <c r="J16" s="76" t="s">
        <v>3501</v>
      </c>
      <c r="K16" s="77"/>
      <c r="L16" s="75"/>
      <c r="M16" s="75"/>
      <c r="N16" s="75">
        <v>4</v>
      </c>
      <c r="O16" s="75">
        <v>8</v>
      </c>
      <c r="P16" s="75">
        <v>8</v>
      </c>
      <c r="Q16" s="75">
        <v>5</v>
      </c>
      <c r="R16" s="75">
        <v>9</v>
      </c>
      <c r="S16" s="75">
        <v>6</v>
      </c>
      <c r="T16" s="75">
        <v>7</v>
      </c>
      <c r="U16" s="75">
        <v>4</v>
      </c>
      <c r="V16" s="78">
        <v>12</v>
      </c>
      <c r="W16" s="44"/>
      <c r="X16" s="77">
        <v>5</v>
      </c>
      <c r="Y16" s="75">
        <v>9</v>
      </c>
      <c r="Z16" s="75"/>
      <c r="AA16" s="75"/>
      <c r="AB16" s="75"/>
      <c r="AC16" s="75"/>
      <c r="AD16" s="75"/>
      <c r="AE16" s="75"/>
      <c r="AF16" s="75"/>
      <c r="AG16" s="75"/>
      <c r="AH16" s="75"/>
      <c r="AI16" s="78"/>
    </row>
    <row r="17" spans="1:35">
      <c r="A17" s="44"/>
      <c r="B17" s="71" t="str">
        <f>IFERROR(VLOOKUP(C17,[7]Sheet2!$C$3:$F$1223,2,0),"")</f>
        <v>Gwangju</v>
      </c>
      <c r="C17" s="72">
        <v>33969</v>
      </c>
      <c r="D17" s="73" t="str">
        <f>IFERROR(VLOOKUP(C17,[7]Sheet2!$C$1:$F$1223,3,0),"")</f>
        <v>변재영</v>
      </c>
      <c r="E17" s="73" t="str">
        <f>IFERROR(VLOOKUP(C17,[7]Sheet2!$C$1:$F$1223,4,0),"")</f>
        <v>고창주류(유)</v>
      </c>
      <c r="F17" s="74" t="s">
        <v>3353</v>
      </c>
      <c r="G17" s="72" t="s">
        <v>3686</v>
      </c>
      <c r="H17" s="75" t="s">
        <v>3499</v>
      </c>
      <c r="I17" s="75" t="s">
        <v>3502</v>
      </c>
      <c r="J17" s="76" t="s">
        <v>3503</v>
      </c>
      <c r="K17" s="77"/>
      <c r="L17" s="75"/>
      <c r="M17" s="75"/>
      <c r="N17" s="75">
        <v>2</v>
      </c>
      <c r="O17" s="75">
        <v>3</v>
      </c>
      <c r="P17" s="75"/>
      <c r="Q17" s="75"/>
      <c r="R17" s="75"/>
      <c r="S17" s="75"/>
      <c r="T17" s="75"/>
      <c r="U17" s="75"/>
      <c r="V17" s="78"/>
      <c r="W17" s="44"/>
      <c r="X17" s="77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8"/>
    </row>
    <row r="18" spans="1:35">
      <c r="A18" s="44"/>
      <c r="B18" s="71" t="str">
        <f>IFERROR(VLOOKUP(C18,[7]Sheet2!$C$3:$F$1223,2,0),"")</f>
        <v>Gwangju</v>
      </c>
      <c r="C18" s="72">
        <v>34018</v>
      </c>
      <c r="D18" s="73" t="str">
        <f>IFERROR(VLOOKUP(C18,[7]Sheet2!$C$1:$F$1223,3,0),"")</f>
        <v>변재영</v>
      </c>
      <c r="E18" s="73" t="str">
        <f>IFERROR(VLOOKUP(C18,[7]Sheet2!$C$1:$F$1223,4,0),"")</f>
        <v>전북종합주류</v>
      </c>
      <c r="F18" s="74" t="s">
        <v>3354</v>
      </c>
      <c r="G18" s="72" t="s">
        <v>3483</v>
      </c>
      <c r="H18" s="75" t="s">
        <v>3490</v>
      </c>
      <c r="I18" s="75" t="s">
        <v>3504</v>
      </c>
      <c r="J18" s="76" t="s">
        <v>3505</v>
      </c>
      <c r="K18" s="77"/>
      <c r="L18" s="75"/>
      <c r="M18" s="75"/>
      <c r="N18" s="75">
        <v>1</v>
      </c>
      <c r="O18" s="75">
        <v>7</v>
      </c>
      <c r="P18" s="75">
        <v>3</v>
      </c>
      <c r="Q18" s="75">
        <v>1</v>
      </c>
      <c r="R18" s="75">
        <v>4</v>
      </c>
      <c r="S18" s="75">
        <v>5</v>
      </c>
      <c r="T18" s="75">
        <v>4</v>
      </c>
      <c r="U18" s="75">
        <v>3</v>
      </c>
      <c r="V18" s="78">
        <v>4</v>
      </c>
      <c r="W18" s="44"/>
      <c r="X18" s="77">
        <v>3</v>
      </c>
      <c r="Y18" s="75">
        <v>2</v>
      </c>
      <c r="Z18" s="75"/>
      <c r="AA18" s="75"/>
      <c r="AB18" s="75"/>
      <c r="AC18" s="75"/>
      <c r="AD18" s="75"/>
      <c r="AE18" s="75"/>
      <c r="AF18" s="75"/>
      <c r="AG18" s="75"/>
      <c r="AH18" s="75"/>
      <c r="AI18" s="78"/>
    </row>
    <row r="19" spans="1:35">
      <c r="A19" s="44"/>
      <c r="B19" s="71" t="str">
        <f>IFERROR(VLOOKUP(C19,[7]Sheet2!$C$3:$F$1223,2,0),"")</f>
        <v>Gwangju</v>
      </c>
      <c r="C19" s="72">
        <v>34018</v>
      </c>
      <c r="D19" s="73" t="str">
        <f>IFERROR(VLOOKUP(C19,[7]Sheet2!$C$1:$F$1223,3,0),"")</f>
        <v>변재영</v>
      </c>
      <c r="E19" s="73" t="str">
        <f>IFERROR(VLOOKUP(C19,[7]Sheet2!$C$1:$F$1223,4,0),"")</f>
        <v>전북종합주류</v>
      </c>
      <c r="F19" s="74" t="s">
        <v>3355</v>
      </c>
      <c r="G19" s="72" t="s">
        <v>3686</v>
      </c>
      <c r="H19" s="75" t="s">
        <v>3481</v>
      </c>
      <c r="I19" s="75" t="s">
        <v>2519</v>
      </c>
      <c r="J19" s="76" t="s">
        <v>3506</v>
      </c>
      <c r="K19" s="77"/>
      <c r="L19" s="75"/>
      <c r="M19" s="75"/>
      <c r="N19" s="75">
        <v>2</v>
      </c>
      <c r="O19" s="75">
        <v>4</v>
      </c>
      <c r="P19" s="75">
        <v>3</v>
      </c>
      <c r="Q19" s="75">
        <v>5</v>
      </c>
      <c r="R19" s="75">
        <v>7</v>
      </c>
      <c r="S19" s="75">
        <v>3</v>
      </c>
      <c r="T19" s="75">
        <v>5</v>
      </c>
      <c r="U19" s="75">
        <v>6</v>
      </c>
      <c r="V19" s="78">
        <v>7</v>
      </c>
      <c r="W19" s="44"/>
      <c r="X19" s="77">
        <v>4</v>
      </c>
      <c r="Y19" s="75">
        <v>7</v>
      </c>
      <c r="Z19" s="75"/>
      <c r="AA19" s="75"/>
      <c r="AB19" s="75"/>
      <c r="AC19" s="75"/>
      <c r="AD19" s="75"/>
      <c r="AE19" s="75"/>
      <c r="AF19" s="75"/>
      <c r="AG19" s="75"/>
      <c r="AH19" s="75"/>
      <c r="AI19" s="78"/>
    </row>
    <row r="20" spans="1:35">
      <c r="A20" s="44"/>
      <c r="B20" s="71" t="str">
        <f>IFERROR(VLOOKUP(C20,[7]Sheet2!$C$3:$F$1223,2,0),"")</f>
        <v>Gwangju</v>
      </c>
      <c r="C20" s="72">
        <v>34018</v>
      </c>
      <c r="D20" s="73" t="str">
        <f>IFERROR(VLOOKUP(C20,[7]Sheet2!$C$1:$F$1223,3,0),"")</f>
        <v>변재영</v>
      </c>
      <c r="E20" s="73" t="str">
        <f>IFERROR(VLOOKUP(C20,[7]Sheet2!$C$1:$F$1223,4,0),"")</f>
        <v>전북종합주류</v>
      </c>
      <c r="F20" s="74" t="s">
        <v>3356</v>
      </c>
      <c r="G20" s="72" t="s">
        <v>3686</v>
      </c>
      <c r="H20" s="75" t="s">
        <v>3490</v>
      </c>
      <c r="I20" s="75" t="s">
        <v>3491</v>
      </c>
      <c r="J20" s="76" t="s">
        <v>3507</v>
      </c>
      <c r="K20" s="77"/>
      <c r="L20" s="75"/>
      <c r="M20" s="75"/>
      <c r="N20" s="75">
        <v>3</v>
      </c>
      <c r="O20" s="75">
        <v>3</v>
      </c>
      <c r="P20" s="75">
        <v>8</v>
      </c>
      <c r="Q20" s="75">
        <v>3</v>
      </c>
      <c r="R20" s="75">
        <v>2</v>
      </c>
      <c r="S20" s="75">
        <v>3</v>
      </c>
      <c r="T20" s="75">
        <v>5</v>
      </c>
      <c r="U20" s="75">
        <v>1</v>
      </c>
      <c r="V20" s="78">
        <v>6</v>
      </c>
      <c r="W20" s="44"/>
      <c r="X20" s="77">
        <v>5</v>
      </c>
      <c r="Y20" s="75">
        <v>5</v>
      </c>
      <c r="Z20" s="75"/>
      <c r="AA20" s="75"/>
      <c r="AB20" s="75"/>
      <c r="AC20" s="75"/>
      <c r="AD20" s="75"/>
      <c r="AE20" s="75"/>
      <c r="AF20" s="75"/>
      <c r="AG20" s="75"/>
      <c r="AH20" s="75"/>
      <c r="AI20" s="78"/>
    </row>
    <row r="21" spans="1:35">
      <c r="A21" s="44"/>
      <c r="B21" s="71" t="str">
        <f>IFERROR(VLOOKUP(C21,[7]Sheet2!$C$3:$F$1223,2,0),"")</f>
        <v>Gwangju</v>
      </c>
      <c r="C21" s="72">
        <v>34018</v>
      </c>
      <c r="D21" s="73" t="str">
        <f>IFERROR(VLOOKUP(C21,[7]Sheet2!$C$1:$F$1223,3,0),"")</f>
        <v>변재영</v>
      </c>
      <c r="E21" s="73" t="str">
        <f>IFERROR(VLOOKUP(C21,[7]Sheet2!$C$1:$F$1223,4,0),"")</f>
        <v>전북종합주류</v>
      </c>
      <c r="F21" s="74" t="s">
        <v>3357</v>
      </c>
      <c r="G21" s="72"/>
      <c r="H21" s="75" t="s">
        <v>1145</v>
      </c>
      <c r="I21" s="75" t="s">
        <v>516</v>
      </c>
      <c r="J21" s="76" t="s">
        <v>3508</v>
      </c>
      <c r="K21" s="77"/>
      <c r="L21" s="75"/>
      <c r="M21" s="75"/>
      <c r="N21" s="75">
        <v>2</v>
      </c>
      <c r="O21" s="75">
        <v>4</v>
      </c>
      <c r="P21" s="75">
        <v>5</v>
      </c>
      <c r="Q21" s="75">
        <v>3</v>
      </c>
      <c r="R21" s="75">
        <v>7</v>
      </c>
      <c r="S21" s="75">
        <v>8</v>
      </c>
      <c r="T21" s="75">
        <v>4</v>
      </c>
      <c r="U21" s="75">
        <v>6</v>
      </c>
      <c r="V21" s="78">
        <v>7</v>
      </c>
      <c r="W21" s="44"/>
      <c r="X21" s="77">
        <v>4</v>
      </c>
      <c r="Y21" s="75">
        <v>5</v>
      </c>
      <c r="Z21" s="75"/>
      <c r="AA21" s="75"/>
      <c r="AB21" s="75"/>
      <c r="AC21" s="75"/>
      <c r="AD21" s="75"/>
      <c r="AE21" s="75"/>
      <c r="AF21" s="75"/>
      <c r="AG21" s="75"/>
      <c r="AH21" s="75"/>
      <c r="AI21" s="78"/>
    </row>
    <row r="22" spans="1:35">
      <c r="A22" s="44"/>
      <c r="B22" s="71" t="str">
        <f>IFERROR(VLOOKUP(C22,[7]Sheet2!$C$3:$F$1223,2,0),"")</f>
        <v>Gwangju</v>
      </c>
      <c r="C22" s="72">
        <v>34018</v>
      </c>
      <c r="D22" s="73" t="str">
        <f>IFERROR(VLOOKUP(C22,[7]Sheet2!$C$1:$F$1223,3,0),"")</f>
        <v>변재영</v>
      </c>
      <c r="E22" s="73" t="str">
        <f>IFERROR(VLOOKUP(C22,[7]Sheet2!$C$1:$F$1223,4,0),"")</f>
        <v>전북종합주류</v>
      </c>
      <c r="F22" s="74" t="s">
        <v>3358</v>
      </c>
      <c r="G22" s="72"/>
      <c r="H22" s="75" t="s">
        <v>1145</v>
      </c>
      <c r="I22" s="75" t="s">
        <v>516</v>
      </c>
      <c r="J22" s="76" t="s">
        <v>3509</v>
      </c>
      <c r="K22" s="77"/>
      <c r="L22" s="75"/>
      <c r="M22" s="75"/>
      <c r="N22" s="75">
        <v>2</v>
      </c>
      <c r="O22" s="75">
        <v>7</v>
      </c>
      <c r="P22" s="75">
        <v>7</v>
      </c>
      <c r="Q22" s="75">
        <v>8</v>
      </c>
      <c r="R22" s="75">
        <v>6</v>
      </c>
      <c r="S22" s="75">
        <v>8</v>
      </c>
      <c r="T22" s="75">
        <v>4</v>
      </c>
      <c r="U22" s="75">
        <v>4</v>
      </c>
      <c r="V22" s="78">
        <v>8</v>
      </c>
      <c r="W22" s="44"/>
      <c r="X22" s="77">
        <v>5</v>
      </c>
      <c r="Y22" s="75">
        <v>3</v>
      </c>
      <c r="Z22" s="75"/>
      <c r="AA22" s="75"/>
      <c r="AB22" s="75"/>
      <c r="AC22" s="75"/>
      <c r="AD22" s="75"/>
      <c r="AE22" s="75"/>
      <c r="AF22" s="75"/>
      <c r="AG22" s="75"/>
      <c r="AH22" s="75"/>
      <c r="AI22" s="78"/>
    </row>
    <row r="23" spans="1:35">
      <c r="A23" s="44"/>
      <c r="B23" s="71" t="str">
        <f>IFERROR(VLOOKUP(C23,[7]Sheet2!$C$3:$F$1223,2,0),"")</f>
        <v>Gwangju</v>
      </c>
      <c r="C23" s="72">
        <v>34018</v>
      </c>
      <c r="D23" s="73" t="str">
        <f>IFERROR(VLOOKUP(C23,[7]Sheet2!$C$1:$F$1223,3,0),"")</f>
        <v>변재영</v>
      </c>
      <c r="E23" s="73" t="str">
        <f>IFERROR(VLOOKUP(C23,[7]Sheet2!$C$1:$F$1223,4,0),"")</f>
        <v>전북종합주류</v>
      </c>
      <c r="F23" s="74" t="s">
        <v>3359</v>
      </c>
      <c r="G23" s="72"/>
      <c r="H23" s="75" t="s">
        <v>3510</v>
      </c>
      <c r="I23" s="75" t="s">
        <v>132</v>
      </c>
      <c r="J23" s="76" t="s">
        <v>3511</v>
      </c>
      <c r="K23" s="77"/>
      <c r="L23" s="75"/>
      <c r="M23" s="75"/>
      <c r="N23" s="75">
        <v>6</v>
      </c>
      <c r="O23" s="75">
        <v>2</v>
      </c>
      <c r="P23" s="75">
        <v>10</v>
      </c>
      <c r="Q23" s="75">
        <v>6</v>
      </c>
      <c r="R23" s="75">
        <v>6</v>
      </c>
      <c r="S23" s="75">
        <v>7</v>
      </c>
      <c r="T23" s="75">
        <v>7</v>
      </c>
      <c r="U23" s="75">
        <v>11</v>
      </c>
      <c r="V23" s="78">
        <v>9</v>
      </c>
      <c r="W23" s="44"/>
      <c r="X23" s="77">
        <v>7</v>
      </c>
      <c r="Y23" s="75">
        <v>8</v>
      </c>
      <c r="Z23" s="75"/>
      <c r="AA23" s="75"/>
      <c r="AB23" s="75"/>
      <c r="AC23" s="75"/>
      <c r="AD23" s="75"/>
      <c r="AE23" s="75"/>
      <c r="AF23" s="75"/>
      <c r="AG23" s="75"/>
      <c r="AH23" s="75"/>
      <c r="AI23" s="78"/>
    </row>
    <row r="24" spans="1:35">
      <c r="A24" s="44"/>
      <c r="B24" s="71" t="str">
        <f>IFERROR(VLOOKUP(C24,[7]Sheet2!$C$3:$F$1223,2,0),"")</f>
        <v>Gwangju</v>
      </c>
      <c r="C24" s="72">
        <v>34018</v>
      </c>
      <c r="D24" s="73" t="str">
        <f>IFERROR(VLOOKUP(C24,[7]Sheet2!$C$1:$F$1223,3,0),"")</f>
        <v>변재영</v>
      </c>
      <c r="E24" s="73" t="str">
        <f>IFERROR(VLOOKUP(C24,[7]Sheet2!$C$1:$F$1223,4,0),"")</f>
        <v>전북종합주류</v>
      </c>
      <c r="F24" s="74" t="s">
        <v>3360</v>
      </c>
      <c r="G24" s="72" t="s">
        <v>3483</v>
      </c>
      <c r="H24" s="75" t="s">
        <v>3481</v>
      </c>
      <c r="I24" s="75" t="s">
        <v>921</v>
      </c>
      <c r="J24" s="76" t="s">
        <v>3512</v>
      </c>
      <c r="K24" s="77"/>
      <c r="L24" s="75"/>
      <c r="M24" s="75"/>
      <c r="N24" s="75">
        <v>2</v>
      </c>
      <c r="O24" s="75">
        <v>8</v>
      </c>
      <c r="P24" s="75">
        <v>3</v>
      </c>
      <c r="Q24" s="75">
        <v>10</v>
      </c>
      <c r="R24" s="75">
        <v>4</v>
      </c>
      <c r="S24" s="75">
        <v>6</v>
      </c>
      <c r="T24" s="75">
        <v>6</v>
      </c>
      <c r="U24" s="75">
        <v>5</v>
      </c>
      <c r="V24" s="78">
        <v>5</v>
      </c>
      <c r="W24" s="44"/>
      <c r="X24" s="77">
        <v>5</v>
      </c>
      <c r="Y24" s="75">
        <v>8</v>
      </c>
      <c r="Z24" s="75"/>
      <c r="AA24" s="75"/>
      <c r="AB24" s="75"/>
      <c r="AC24" s="75"/>
      <c r="AD24" s="75"/>
      <c r="AE24" s="75"/>
      <c r="AF24" s="75"/>
      <c r="AG24" s="75"/>
      <c r="AH24" s="75"/>
      <c r="AI24" s="78"/>
    </row>
    <row r="25" spans="1:35">
      <c r="A25" s="44"/>
      <c r="B25" s="71" t="str">
        <f>IFERROR(VLOOKUP(C25,[7]Sheet2!$C$3:$F$1223,2,0),"")</f>
        <v>Gwangju</v>
      </c>
      <c r="C25" s="72">
        <v>34018</v>
      </c>
      <c r="D25" s="73" t="str">
        <f>IFERROR(VLOOKUP(C25,[7]Sheet2!$C$1:$F$1223,3,0),"")</f>
        <v>변재영</v>
      </c>
      <c r="E25" s="73" t="str">
        <f>IFERROR(VLOOKUP(C25,[7]Sheet2!$C$1:$F$1223,4,0),"")</f>
        <v>전북종합주류</v>
      </c>
      <c r="F25" s="74" t="s">
        <v>3361</v>
      </c>
      <c r="G25" s="72"/>
      <c r="H25" s="75" t="s">
        <v>3510</v>
      </c>
      <c r="I25" s="75" t="s">
        <v>3169</v>
      </c>
      <c r="J25" s="76" t="s">
        <v>3513</v>
      </c>
      <c r="K25" s="77"/>
      <c r="L25" s="75"/>
      <c r="M25" s="75"/>
      <c r="N25" s="75">
        <v>2</v>
      </c>
      <c r="O25" s="75">
        <v>10</v>
      </c>
      <c r="P25" s="75">
        <v>8</v>
      </c>
      <c r="Q25" s="75">
        <v>7</v>
      </c>
      <c r="R25" s="75">
        <v>9</v>
      </c>
      <c r="S25" s="75">
        <v>13</v>
      </c>
      <c r="T25" s="75">
        <v>7</v>
      </c>
      <c r="U25" s="75">
        <v>9</v>
      </c>
      <c r="V25" s="78">
        <v>10</v>
      </c>
      <c r="W25" s="44"/>
      <c r="X25" s="77">
        <v>8</v>
      </c>
      <c r="Y25" s="75">
        <v>11</v>
      </c>
      <c r="Z25" s="75"/>
      <c r="AA25" s="75"/>
      <c r="AB25" s="75"/>
      <c r="AC25" s="75"/>
      <c r="AD25" s="75"/>
      <c r="AE25" s="75"/>
      <c r="AF25" s="75"/>
      <c r="AG25" s="75"/>
      <c r="AH25" s="75"/>
      <c r="AI25" s="78"/>
    </row>
    <row r="26" spans="1:35">
      <c r="A26" s="44"/>
      <c r="B26" s="71" t="str">
        <f>IFERROR(VLOOKUP(C26,[7]Sheet2!$C$3:$F$1223,2,0),"")</f>
        <v>Gwangju</v>
      </c>
      <c r="C26" s="72">
        <v>33999</v>
      </c>
      <c r="D26" s="73" t="str">
        <f>IFERROR(VLOOKUP(C26,[7]Sheet2!$C$1:$F$1223,3,0),"")</f>
        <v>변재영</v>
      </c>
      <c r="E26" s="73" t="str">
        <f>IFERROR(VLOOKUP(C26,[7]Sheet2!$C$1:$F$1223,4,0),"")</f>
        <v>부안주류전북</v>
      </c>
      <c r="F26" s="74" t="s">
        <v>3362</v>
      </c>
      <c r="G26" s="72" t="s">
        <v>3686</v>
      </c>
      <c r="H26" s="75" t="s">
        <v>3490</v>
      </c>
      <c r="I26" s="75" t="s">
        <v>3514</v>
      </c>
      <c r="J26" s="76" t="s">
        <v>3515</v>
      </c>
      <c r="K26" s="77"/>
      <c r="L26" s="75"/>
      <c r="M26" s="75"/>
      <c r="N26" s="75">
        <v>3</v>
      </c>
      <c r="O26" s="75"/>
      <c r="P26" s="75"/>
      <c r="Q26" s="75"/>
      <c r="R26" s="75"/>
      <c r="S26" s="75">
        <v>2</v>
      </c>
      <c r="T26" s="75"/>
      <c r="U26" s="75"/>
      <c r="V26" s="78"/>
      <c r="W26" s="44"/>
      <c r="X26" s="77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8"/>
    </row>
    <row r="27" spans="1:35">
      <c r="A27" s="44"/>
      <c r="B27" s="71" t="str">
        <f>IFERROR(VLOOKUP(C27,[7]Sheet2!$C$3:$F$1223,2,0),"")</f>
        <v>Gwangju</v>
      </c>
      <c r="C27" s="72">
        <v>83875</v>
      </c>
      <c r="D27" s="73" t="str">
        <f>IFERROR(VLOOKUP(C27,[7]Sheet2!$C$1:$F$1223,3,0),"")</f>
        <v>변재영</v>
      </c>
      <c r="E27" s="73" t="str">
        <f>IFERROR(VLOOKUP(C27,[7]Sheet2!$C$1:$F$1223,4,0),"")</f>
        <v>일신중국주류</v>
      </c>
      <c r="F27" s="74" t="s">
        <v>3363</v>
      </c>
      <c r="G27" s="72" t="s">
        <v>3483</v>
      </c>
      <c r="H27" s="75" t="s">
        <v>3490</v>
      </c>
      <c r="I27" s="75" t="s">
        <v>3504</v>
      </c>
      <c r="J27" s="76" t="s">
        <v>3516</v>
      </c>
      <c r="K27" s="77"/>
      <c r="L27" s="75"/>
      <c r="M27" s="75"/>
      <c r="N27" s="75">
        <v>8</v>
      </c>
      <c r="O27" s="75">
        <v>5</v>
      </c>
      <c r="P27" s="75"/>
      <c r="Q27" s="75"/>
      <c r="R27" s="75"/>
      <c r="S27" s="75"/>
      <c r="T27" s="75"/>
      <c r="U27" s="75"/>
      <c r="V27" s="78"/>
      <c r="W27" s="44"/>
      <c r="X27" s="77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8"/>
    </row>
    <row r="28" spans="1:35">
      <c r="A28" s="44"/>
      <c r="B28" s="71" t="str">
        <f>IFERROR(VLOOKUP(C28,[7]Sheet2!$C$3:$F$1223,2,0),"")</f>
        <v>Gwangju</v>
      </c>
      <c r="C28" s="72">
        <v>83875</v>
      </c>
      <c r="D28" s="73" t="str">
        <f>IFERROR(VLOOKUP(C28,[7]Sheet2!$C$1:$F$1223,3,0),"")</f>
        <v>변재영</v>
      </c>
      <c r="E28" s="73" t="str">
        <f>IFERROR(VLOOKUP(C28,[7]Sheet2!$C$1:$F$1223,4,0),"")</f>
        <v>일신중국주류</v>
      </c>
      <c r="F28" s="74" t="s">
        <v>3364</v>
      </c>
      <c r="G28" s="72" t="s">
        <v>3686</v>
      </c>
      <c r="H28" s="75" t="s">
        <v>3481</v>
      </c>
      <c r="I28" s="75" t="s">
        <v>2519</v>
      </c>
      <c r="J28" s="76" t="s">
        <v>3517</v>
      </c>
      <c r="K28" s="77"/>
      <c r="L28" s="75"/>
      <c r="M28" s="75"/>
      <c r="N28" s="75">
        <v>3</v>
      </c>
      <c r="O28" s="75">
        <v>5</v>
      </c>
      <c r="P28" s="75"/>
      <c r="Q28" s="75"/>
      <c r="R28" s="75">
        <v>4</v>
      </c>
      <c r="S28" s="75">
        <v>10</v>
      </c>
      <c r="T28" s="75"/>
      <c r="U28" s="75"/>
      <c r="V28" s="78">
        <v>5</v>
      </c>
      <c r="W28" s="44"/>
      <c r="X28" s="77">
        <v>10</v>
      </c>
      <c r="Y28" s="75">
        <v>15</v>
      </c>
      <c r="Z28" s="75"/>
      <c r="AA28" s="75"/>
      <c r="AB28" s="75"/>
      <c r="AC28" s="75"/>
      <c r="AD28" s="75"/>
      <c r="AE28" s="75"/>
      <c r="AF28" s="75"/>
      <c r="AG28" s="75"/>
      <c r="AH28" s="75"/>
      <c r="AI28" s="78"/>
    </row>
    <row r="29" spans="1:35">
      <c r="A29" s="44"/>
      <c r="B29" s="71" t="str">
        <f>IFERROR(VLOOKUP(C29,[7]Sheet2!$C$3:$F$1223,2,0),"")</f>
        <v>Gwangju</v>
      </c>
      <c r="C29" s="72">
        <v>83875</v>
      </c>
      <c r="D29" s="73" t="str">
        <f>IFERROR(VLOOKUP(C29,[7]Sheet2!$C$1:$F$1223,3,0),"")</f>
        <v>변재영</v>
      </c>
      <c r="E29" s="73" t="str">
        <f>IFERROR(VLOOKUP(C29,[7]Sheet2!$C$1:$F$1223,4,0),"")</f>
        <v>일신중국주류</v>
      </c>
      <c r="F29" s="74" t="s">
        <v>3365</v>
      </c>
      <c r="G29" s="72" t="s">
        <v>3483</v>
      </c>
      <c r="H29" s="75" t="s">
        <v>3481</v>
      </c>
      <c r="I29" s="75" t="s">
        <v>2507</v>
      </c>
      <c r="J29" s="76" t="s">
        <v>3518</v>
      </c>
      <c r="K29" s="77"/>
      <c r="L29" s="75"/>
      <c r="M29" s="75"/>
      <c r="N29" s="75">
        <v>3</v>
      </c>
      <c r="O29" s="75"/>
      <c r="P29" s="75"/>
      <c r="Q29" s="75"/>
      <c r="R29" s="75"/>
      <c r="S29" s="75"/>
      <c r="T29" s="75"/>
      <c r="U29" s="75"/>
      <c r="V29" s="78"/>
      <c r="W29" s="44"/>
      <c r="X29" s="77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8"/>
    </row>
    <row r="30" spans="1:35">
      <c r="A30" s="44"/>
      <c r="B30" s="71" t="str">
        <f>IFERROR(VLOOKUP(C30,[7]Sheet2!$C$3:$F$1223,2,0),"")</f>
        <v>Gwangju</v>
      </c>
      <c r="C30" s="72">
        <v>83875</v>
      </c>
      <c r="D30" s="73" t="str">
        <f>IFERROR(VLOOKUP(C30,[7]Sheet2!$C$1:$F$1223,3,0),"")</f>
        <v>변재영</v>
      </c>
      <c r="E30" s="73" t="str">
        <f>IFERROR(VLOOKUP(C30,[7]Sheet2!$C$1:$F$1223,4,0),"")</f>
        <v>일신중국주류</v>
      </c>
      <c r="F30" s="74" t="s">
        <v>3366</v>
      </c>
      <c r="G30" s="72" t="s">
        <v>3483</v>
      </c>
      <c r="H30" s="75" t="s">
        <v>3481</v>
      </c>
      <c r="I30" s="75" t="s">
        <v>2507</v>
      </c>
      <c r="J30" s="76" t="s">
        <v>3519</v>
      </c>
      <c r="K30" s="77"/>
      <c r="L30" s="75"/>
      <c r="M30" s="75"/>
      <c r="N30" s="75">
        <v>1</v>
      </c>
      <c r="O30" s="75"/>
      <c r="P30" s="75"/>
      <c r="Q30" s="75"/>
      <c r="R30" s="75"/>
      <c r="S30" s="75"/>
      <c r="T30" s="75"/>
      <c r="U30" s="75"/>
      <c r="V30" s="78"/>
      <c r="W30" s="44"/>
      <c r="X30" s="77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8"/>
    </row>
    <row r="31" spans="1:35">
      <c r="A31" s="44"/>
      <c r="B31" s="71" t="str">
        <f>IFERROR(VLOOKUP(C31,[7]Sheet2!$C$3:$F$1223,2,0),"")</f>
        <v>Gwangju</v>
      </c>
      <c r="C31" s="72">
        <v>83875</v>
      </c>
      <c r="D31" s="73" t="str">
        <f>IFERROR(VLOOKUP(C31,[7]Sheet2!$C$1:$F$1223,3,0),"")</f>
        <v>변재영</v>
      </c>
      <c r="E31" s="73" t="str">
        <f>IFERROR(VLOOKUP(C31,[7]Sheet2!$C$1:$F$1223,4,0),"")</f>
        <v>일신중국주류</v>
      </c>
      <c r="F31" s="74" t="s">
        <v>3367</v>
      </c>
      <c r="G31" s="72" t="s">
        <v>3483</v>
      </c>
      <c r="H31" s="75" t="s">
        <v>3490</v>
      </c>
      <c r="I31" s="75" t="s">
        <v>3496</v>
      </c>
      <c r="J31" s="76" t="s">
        <v>3520</v>
      </c>
      <c r="K31" s="77"/>
      <c r="L31" s="75"/>
      <c r="M31" s="75"/>
      <c r="N31" s="75">
        <v>4</v>
      </c>
      <c r="O31" s="75"/>
      <c r="P31" s="75"/>
      <c r="Q31" s="75"/>
      <c r="R31" s="75">
        <v>10</v>
      </c>
      <c r="S31" s="75"/>
      <c r="T31" s="75"/>
      <c r="U31" s="75"/>
      <c r="V31" s="78"/>
      <c r="W31" s="44"/>
      <c r="X31" s="77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8"/>
    </row>
    <row r="32" spans="1:35">
      <c r="A32" s="44"/>
      <c r="B32" s="71" t="str">
        <f>IFERROR(VLOOKUP(C32,[7]Sheet2!$C$3:$F$1223,2,0),"")</f>
        <v>Gwangju</v>
      </c>
      <c r="C32" s="72">
        <v>83875</v>
      </c>
      <c r="D32" s="73" t="str">
        <f>IFERROR(VLOOKUP(C32,[7]Sheet2!$C$1:$F$1223,3,0),"")</f>
        <v>변재영</v>
      </c>
      <c r="E32" s="73" t="str">
        <f>IFERROR(VLOOKUP(C32,[7]Sheet2!$C$1:$F$1223,4,0),"")</f>
        <v>일신중국주류</v>
      </c>
      <c r="F32" s="74" t="s">
        <v>3368</v>
      </c>
      <c r="G32" s="72" t="s">
        <v>3686</v>
      </c>
      <c r="H32" s="75" t="s">
        <v>3490</v>
      </c>
      <c r="I32" s="75" t="s">
        <v>3491</v>
      </c>
      <c r="J32" s="76" t="s">
        <v>3521</v>
      </c>
      <c r="K32" s="77"/>
      <c r="L32" s="75"/>
      <c r="M32" s="75"/>
      <c r="N32" s="75">
        <v>1</v>
      </c>
      <c r="O32" s="75"/>
      <c r="P32" s="75">
        <v>1</v>
      </c>
      <c r="Q32" s="75"/>
      <c r="R32" s="75"/>
      <c r="S32" s="75"/>
      <c r="T32" s="75"/>
      <c r="U32" s="75"/>
      <c r="V32" s="78"/>
      <c r="W32" s="44"/>
      <c r="X32" s="77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8"/>
    </row>
    <row r="33" spans="1:35">
      <c r="A33" s="44"/>
      <c r="B33" s="71" t="str">
        <f>IFERROR(VLOOKUP(C33,[7]Sheet2!$C$3:$F$1223,2,0),"")</f>
        <v>Gwangju</v>
      </c>
      <c r="C33" s="72">
        <v>83875</v>
      </c>
      <c r="D33" s="73" t="str">
        <f>IFERROR(VLOOKUP(C33,[7]Sheet2!$C$1:$F$1223,3,0),"")</f>
        <v>변재영</v>
      </c>
      <c r="E33" s="73" t="str">
        <f>IFERROR(VLOOKUP(C33,[7]Sheet2!$C$1:$F$1223,4,0),"")</f>
        <v>일신중국주류</v>
      </c>
      <c r="F33" s="74" t="s">
        <v>3369</v>
      </c>
      <c r="G33" s="72" t="s">
        <v>3483</v>
      </c>
      <c r="H33" s="75" t="s">
        <v>3490</v>
      </c>
      <c r="I33" s="75" t="s">
        <v>3504</v>
      </c>
      <c r="J33" s="76" t="s">
        <v>3522</v>
      </c>
      <c r="K33" s="77"/>
      <c r="L33" s="75"/>
      <c r="M33" s="75"/>
      <c r="N33" s="75">
        <v>6</v>
      </c>
      <c r="O33" s="75">
        <v>10</v>
      </c>
      <c r="P33" s="75">
        <v>5</v>
      </c>
      <c r="Q33" s="75">
        <v>5</v>
      </c>
      <c r="R33" s="75">
        <v>10</v>
      </c>
      <c r="S33" s="75">
        <v>10</v>
      </c>
      <c r="T33" s="75">
        <v>5</v>
      </c>
      <c r="U33" s="75">
        <v>10</v>
      </c>
      <c r="V33" s="78"/>
      <c r="W33" s="44"/>
      <c r="X33" s="77">
        <v>5</v>
      </c>
      <c r="Y33" s="75">
        <v>5</v>
      </c>
      <c r="Z33" s="75"/>
      <c r="AA33" s="75"/>
      <c r="AB33" s="75"/>
      <c r="AC33" s="75"/>
      <c r="AD33" s="75"/>
      <c r="AE33" s="75"/>
      <c r="AF33" s="75"/>
      <c r="AG33" s="75"/>
      <c r="AH33" s="75"/>
      <c r="AI33" s="78"/>
    </row>
    <row r="34" spans="1:35">
      <c r="A34" s="44"/>
      <c r="B34" s="71" t="str">
        <f>IFERROR(VLOOKUP(C34,[7]Sheet2!$C$3:$F$1223,2,0),"")</f>
        <v>Gwangju</v>
      </c>
      <c r="C34" s="72">
        <v>83875</v>
      </c>
      <c r="D34" s="73" t="str">
        <f>IFERROR(VLOOKUP(C34,[7]Sheet2!$C$1:$F$1223,3,0),"")</f>
        <v>변재영</v>
      </c>
      <c r="E34" s="73" t="str">
        <f>IFERROR(VLOOKUP(C34,[7]Sheet2!$C$1:$F$1223,4,0),"")</f>
        <v>일신중국주류</v>
      </c>
      <c r="F34" s="74" t="s">
        <v>3370</v>
      </c>
      <c r="G34" s="72" t="s">
        <v>3483</v>
      </c>
      <c r="H34" s="75" t="s">
        <v>3490</v>
      </c>
      <c r="I34" s="75" t="s">
        <v>3504</v>
      </c>
      <c r="J34" s="76" t="s">
        <v>3523</v>
      </c>
      <c r="K34" s="77"/>
      <c r="L34" s="75"/>
      <c r="M34" s="75"/>
      <c r="N34" s="75">
        <v>5</v>
      </c>
      <c r="O34" s="75">
        <v>5</v>
      </c>
      <c r="P34" s="75"/>
      <c r="Q34" s="75">
        <v>10</v>
      </c>
      <c r="R34" s="75"/>
      <c r="S34" s="75"/>
      <c r="T34" s="75">
        <v>10</v>
      </c>
      <c r="U34" s="75"/>
      <c r="V34" s="78"/>
      <c r="W34" s="44"/>
      <c r="X34" s="77"/>
      <c r="Y34" s="75">
        <v>5</v>
      </c>
      <c r="Z34" s="75"/>
      <c r="AA34" s="75"/>
      <c r="AB34" s="75"/>
      <c r="AC34" s="75"/>
      <c r="AD34" s="75"/>
      <c r="AE34" s="75"/>
      <c r="AF34" s="75"/>
      <c r="AG34" s="75"/>
      <c r="AH34" s="75"/>
      <c r="AI34" s="78"/>
    </row>
    <row r="35" spans="1:35">
      <c r="A35" s="44"/>
      <c r="B35" s="71" t="str">
        <f>IFERROR(VLOOKUP(C35,[7]Sheet2!$C$3:$F$1223,2,0),"")</f>
        <v>Gwangju</v>
      </c>
      <c r="C35" s="72">
        <v>83875</v>
      </c>
      <c r="D35" s="73" t="str">
        <f>IFERROR(VLOOKUP(C35,[7]Sheet2!$C$1:$F$1223,3,0),"")</f>
        <v>변재영</v>
      </c>
      <c r="E35" s="73" t="str">
        <f>IFERROR(VLOOKUP(C35,[7]Sheet2!$C$1:$F$1223,4,0),"")</f>
        <v>일신중국주류</v>
      </c>
      <c r="F35" s="74" t="s">
        <v>3371</v>
      </c>
      <c r="G35" s="72" t="s">
        <v>3483</v>
      </c>
      <c r="H35" s="75" t="s">
        <v>3499</v>
      </c>
      <c r="I35" s="75" t="s">
        <v>3524</v>
      </c>
      <c r="J35" s="76" t="s">
        <v>3525</v>
      </c>
      <c r="K35" s="77"/>
      <c r="L35" s="75"/>
      <c r="M35" s="75"/>
      <c r="N35" s="75">
        <v>3</v>
      </c>
      <c r="O35" s="75"/>
      <c r="P35" s="75"/>
      <c r="Q35" s="75">
        <v>13</v>
      </c>
      <c r="R35" s="75"/>
      <c r="S35" s="75">
        <v>6</v>
      </c>
      <c r="T35" s="75">
        <v>3</v>
      </c>
      <c r="U35" s="75">
        <v>13</v>
      </c>
      <c r="V35" s="78"/>
      <c r="W35" s="44"/>
      <c r="X35" s="77"/>
      <c r="Y35" s="75">
        <v>5</v>
      </c>
      <c r="Z35" s="75"/>
      <c r="AA35" s="75"/>
      <c r="AB35" s="75"/>
      <c r="AC35" s="75"/>
      <c r="AD35" s="75"/>
      <c r="AE35" s="75"/>
      <c r="AF35" s="75"/>
      <c r="AG35" s="75"/>
      <c r="AH35" s="75"/>
      <c r="AI35" s="78"/>
    </row>
    <row r="36" spans="1:35">
      <c r="A36" s="44"/>
      <c r="B36" s="71" t="str">
        <f>IFERROR(VLOOKUP(C36,[7]Sheet2!$C$3:$F$1223,2,0),"")</f>
        <v>Gwangju</v>
      </c>
      <c r="C36" s="72">
        <v>33905</v>
      </c>
      <c r="D36" s="73" t="str">
        <f>IFERROR(VLOOKUP(C36,[7]Sheet2!$C$1:$F$1223,3,0),"")</f>
        <v>변재영</v>
      </c>
      <c r="E36" s="73" t="str">
        <f>IFERROR(VLOOKUP(C36,[7]Sheet2!$C$1:$F$1223,4,0),"")</f>
        <v>화순주류합동(자)</v>
      </c>
      <c r="F36" s="74" t="s">
        <v>3372</v>
      </c>
      <c r="G36" s="72" t="s">
        <v>3686</v>
      </c>
      <c r="H36" s="75" t="s">
        <v>3481</v>
      </c>
      <c r="I36" s="75" t="s">
        <v>2519</v>
      </c>
      <c r="J36" s="76" t="s">
        <v>3526</v>
      </c>
      <c r="K36" s="77"/>
      <c r="L36" s="75"/>
      <c r="M36" s="75"/>
      <c r="N36" s="75">
        <v>10</v>
      </c>
      <c r="O36" s="75"/>
      <c r="P36" s="75"/>
      <c r="Q36" s="75"/>
      <c r="R36" s="75"/>
      <c r="S36" s="75"/>
      <c r="T36" s="75"/>
      <c r="U36" s="75"/>
      <c r="V36" s="78"/>
      <c r="W36" s="44"/>
      <c r="X36" s="77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8"/>
    </row>
    <row r="37" spans="1:35">
      <c r="A37" s="44"/>
      <c r="B37" s="71" t="str">
        <f>IFERROR(VLOOKUP(C37,[7]Sheet2!$C$3:$F$1223,2,0),"")</f>
        <v>Gwangju</v>
      </c>
      <c r="C37" s="72">
        <v>34023</v>
      </c>
      <c r="D37" s="73" t="str">
        <f>IFERROR(VLOOKUP(C37,[7]Sheet2!$C$1:$F$1223,3,0),"")</f>
        <v>변재영</v>
      </c>
      <c r="E37" s="73" t="str">
        <f>IFERROR(VLOOKUP(C37,[7]Sheet2!$C$1:$F$1223,4,0),"")</f>
        <v>우리주류전북</v>
      </c>
      <c r="F37" s="74" t="s">
        <v>3373</v>
      </c>
      <c r="G37" s="72" t="s">
        <v>3483</v>
      </c>
      <c r="H37" s="75" t="s">
        <v>3490</v>
      </c>
      <c r="I37" s="75" t="s">
        <v>3504</v>
      </c>
      <c r="J37" s="76" t="s">
        <v>3527</v>
      </c>
      <c r="K37" s="77"/>
      <c r="L37" s="75"/>
      <c r="M37" s="75"/>
      <c r="N37" s="75">
        <v>5</v>
      </c>
      <c r="O37" s="75"/>
      <c r="P37" s="75"/>
      <c r="Q37" s="75"/>
      <c r="R37" s="75"/>
      <c r="S37" s="75"/>
      <c r="T37" s="75"/>
      <c r="U37" s="75"/>
      <c r="V37" s="78"/>
      <c r="W37" s="44"/>
      <c r="X37" s="77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8"/>
    </row>
    <row r="38" spans="1:35">
      <c r="A38" s="44"/>
      <c r="B38" s="71" t="str">
        <f>IFERROR(VLOOKUP(C38,[7]Sheet2!$C$3:$F$1223,2,0),"")</f>
        <v>Gwangju</v>
      </c>
      <c r="C38" s="72">
        <v>33991</v>
      </c>
      <c r="D38" s="73" t="str">
        <f>IFERROR(VLOOKUP(C38,[7]Sheet2!$C$1:$F$1223,3,0),"")</f>
        <v>변재영</v>
      </c>
      <c r="E38" s="73" t="str">
        <f>IFERROR(VLOOKUP(C38,[7]Sheet2!$C$1:$F$1223,4,0),"")</f>
        <v>동아상사전북</v>
      </c>
      <c r="F38" s="74" t="s">
        <v>3374</v>
      </c>
      <c r="G38" s="72" t="s">
        <v>3686</v>
      </c>
      <c r="H38" s="75" t="s">
        <v>3490</v>
      </c>
      <c r="I38" s="75" t="s">
        <v>3491</v>
      </c>
      <c r="J38" s="76" t="s">
        <v>3528</v>
      </c>
      <c r="K38" s="77"/>
      <c r="L38" s="75"/>
      <c r="M38" s="75"/>
      <c r="N38" s="75">
        <v>1</v>
      </c>
      <c r="O38" s="75"/>
      <c r="P38" s="75"/>
      <c r="Q38" s="75"/>
      <c r="R38" s="75"/>
      <c r="S38" s="75"/>
      <c r="T38" s="75"/>
      <c r="U38" s="75"/>
      <c r="V38" s="78"/>
      <c r="W38" s="44"/>
      <c r="X38" s="77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8"/>
    </row>
    <row r="39" spans="1:35">
      <c r="A39" s="44"/>
      <c r="B39" s="71" t="str">
        <f>IFERROR(VLOOKUP(C39,[7]Sheet2!$C$3:$F$1223,2,0),"")</f>
        <v>Gwangju</v>
      </c>
      <c r="C39" s="72">
        <v>33991</v>
      </c>
      <c r="D39" s="73" t="str">
        <f>IFERROR(VLOOKUP(C39,[7]Sheet2!$C$1:$F$1223,3,0),"")</f>
        <v>변재영</v>
      </c>
      <c r="E39" s="73" t="str">
        <f>IFERROR(VLOOKUP(C39,[7]Sheet2!$C$1:$F$1223,4,0),"")</f>
        <v>동아상사전북</v>
      </c>
      <c r="F39" s="74" t="s">
        <v>3375</v>
      </c>
      <c r="G39" s="72" t="s">
        <v>3686</v>
      </c>
      <c r="H39" s="75" t="s">
        <v>3490</v>
      </c>
      <c r="I39" s="75" t="s">
        <v>3491</v>
      </c>
      <c r="J39" s="76" t="s">
        <v>3529</v>
      </c>
      <c r="K39" s="77"/>
      <c r="L39" s="75"/>
      <c r="M39" s="75"/>
      <c r="N39" s="75">
        <v>1</v>
      </c>
      <c r="O39" s="75"/>
      <c r="P39" s="75"/>
      <c r="Q39" s="75"/>
      <c r="R39" s="75"/>
      <c r="S39" s="75"/>
      <c r="T39" s="75"/>
      <c r="U39" s="75"/>
      <c r="V39" s="78"/>
      <c r="W39" s="44"/>
      <c r="X39" s="77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8"/>
    </row>
    <row r="40" spans="1:35">
      <c r="A40" s="44"/>
      <c r="B40" s="71" t="str">
        <f>IFERROR(VLOOKUP(C40,[7]Sheet2!$C$3:$F$1223,2,0),"")</f>
        <v>Gwangju</v>
      </c>
      <c r="C40" s="72">
        <v>33991</v>
      </c>
      <c r="D40" s="73" t="str">
        <f>IFERROR(VLOOKUP(C40,[7]Sheet2!$C$1:$F$1223,3,0),"")</f>
        <v>변재영</v>
      </c>
      <c r="E40" s="73" t="str">
        <f>IFERROR(VLOOKUP(C40,[7]Sheet2!$C$1:$F$1223,4,0),"")</f>
        <v>동아상사전북</v>
      </c>
      <c r="F40" s="74" t="s">
        <v>3376</v>
      </c>
      <c r="G40" s="72" t="s">
        <v>3686</v>
      </c>
      <c r="H40" s="75" t="s">
        <v>3490</v>
      </c>
      <c r="I40" s="75" t="s">
        <v>3491</v>
      </c>
      <c r="J40" s="76" t="s">
        <v>3530</v>
      </c>
      <c r="K40" s="77"/>
      <c r="L40" s="75"/>
      <c r="M40" s="75"/>
      <c r="N40" s="75">
        <v>1</v>
      </c>
      <c r="O40" s="75"/>
      <c r="P40" s="75">
        <v>1</v>
      </c>
      <c r="Q40" s="75"/>
      <c r="R40" s="75"/>
      <c r="S40" s="75"/>
      <c r="T40" s="75"/>
      <c r="U40" s="75"/>
      <c r="V40" s="78"/>
      <c r="W40" s="44"/>
      <c r="X40" s="77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8"/>
    </row>
    <row r="41" spans="1:35">
      <c r="A41" s="44"/>
      <c r="B41" s="71" t="str">
        <f>IFERROR(VLOOKUP(C41,[7]Sheet2!$C$3:$F$1223,2,0),"")</f>
        <v>Gwangju</v>
      </c>
      <c r="C41" s="72">
        <v>33991</v>
      </c>
      <c r="D41" s="73" t="str">
        <f>IFERROR(VLOOKUP(C41,[7]Sheet2!$C$1:$F$1223,3,0),"")</f>
        <v>변재영</v>
      </c>
      <c r="E41" s="73" t="str">
        <f>IFERROR(VLOOKUP(C41,[7]Sheet2!$C$1:$F$1223,4,0),"")</f>
        <v>동아상사전북</v>
      </c>
      <c r="F41" s="74" t="s">
        <v>3377</v>
      </c>
      <c r="G41" s="72" t="s">
        <v>3686</v>
      </c>
      <c r="H41" s="75" t="s">
        <v>3490</v>
      </c>
      <c r="I41" s="75" t="s">
        <v>3491</v>
      </c>
      <c r="J41" s="76" t="s">
        <v>3531</v>
      </c>
      <c r="K41" s="77"/>
      <c r="L41" s="75"/>
      <c r="M41" s="75"/>
      <c r="N41" s="75">
        <v>1</v>
      </c>
      <c r="O41" s="75"/>
      <c r="P41" s="75"/>
      <c r="Q41" s="75"/>
      <c r="R41" s="75"/>
      <c r="S41" s="75"/>
      <c r="T41" s="75"/>
      <c r="U41" s="75"/>
      <c r="V41" s="78"/>
      <c r="W41" s="44"/>
      <c r="X41" s="77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8"/>
    </row>
    <row r="42" spans="1:35">
      <c r="A42" s="44"/>
      <c r="B42" s="71" t="str">
        <f>IFERROR(VLOOKUP(C42,[7]Sheet2!$C$3:$F$1223,2,0),"")</f>
        <v>Gwangju</v>
      </c>
      <c r="C42" s="72">
        <v>33991</v>
      </c>
      <c r="D42" s="73" t="str">
        <f>IFERROR(VLOOKUP(C42,[7]Sheet2!$C$1:$F$1223,3,0),"")</f>
        <v>변재영</v>
      </c>
      <c r="E42" s="73" t="str">
        <f>IFERROR(VLOOKUP(C42,[7]Sheet2!$C$1:$F$1223,4,0),"")</f>
        <v>동아상사전북</v>
      </c>
      <c r="F42" s="74" t="s">
        <v>3378</v>
      </c>
      <c r="G42" s="72" t="s">
        <v>3686</v>
      </c>
      <c r="H42" s="75" t="s">
        <v>3490</v>
      </c>
      <c r="I42" s="75" t="s">
        <v>3491</v>
      </c>
      <c r="J42" s="76" t="s">
        <v>3532</v>
      </c>
      <c r="K42" s="77"/>
      <c r="L42" s="75"/>
      <c r="M42" s="75"/>
      <c r="N42" s="75">
        <v>1</v>
      </c>
      <c r="O42" s="75"/>
      <c r="P42" s="75"/>
      <c r="Q42" s="75"/>
      <c r="R42" s="75"/>
      <c r="S42" s="75"/>
      <c r="T42" s="75"/>
      <c r="U42" s="75"/>
      <c r="V42" s="78"/>
      <c r="W42" s="44"/>
      <c r="X42" s="77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8"/>
    </row>
    <row r="43" spans="1:35">
      <c r="A43" s="44"/>
      <c r="B43" s="71" t="str">
        <f>IFERROR(VLOOKUP(C43,[7]Sheet2!$C$3:$F$1223,2,0),"")</f>
        <v>Gwangju</v>
      </c>
      <c r="C43" s="72">
        <v>83875</v>
      </c>
      <c r="D43" s="73" t="str">
        <f>IFERROR(VLOOKUP(C43,[7]Sheet2!$C$1:$F$1223,3,0),"")</f>
        <v>변재영</v>
      </c>
      <c r="E43" s="73" t="str">
        <f>IFERROR(VLOOKUP(C43,[7]Sheet2!$C$1:$F$1223,4,0),"")</f>
        <v>일신중국주류</v>
      </c>
      <c r="F43" s="74" t="s">
        <v>3379</v>
      </c>
      <c r="G43" s="72" t="s">
        <v>3483</v>
      </c>
      <c r="H43" s="75" t="s">
        <v>3481</v>
      </c>
      <c r="I43" s="75" t="s">
        <v>2507</v>
      </c>
      <c r="J43" s="76" t="s">
        <v>3533</v>
      </c>
      <c r="K43" s="77"/>
      <c r="L43" s="75"/>
      <c r="M43" s="75"/>
      <c r="N43" s="75">
        <v>1</v>
      </c>
      <c r="O43" s="75">
        <v>3</v>
      </c>
      <c r="P43" s="75">
        <v>1</v>
      </c>
      <c r="Q43" s="75">
        <v>2</v>
      </c>
      <c r="R43" s="75">
        <v>2</v>
      </c>
      <c r="S43" s="75">
        <v>1</v>
      </c>
      <c r="T43" s="75">
        <v>1</v>
      </c>
      <c r="U43" s="75"/>
      <c r="V43" s="78">
        <v>1</v>
      </c>
      <c r="W43" s="44"/>
      <c r="X43" s="77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8"/>
    </row>
    <row r="44" spans="1:35">
      <c r="A44" s="44"/>
      <c r="B44" s="71" t="str">
        <f>IFERROR(VLOOKUP(C44,[7]Sheet2!$C$3:$F$1223,2,0),"")</f>
        <v>Gwangju</v>
      </c>
      <c r="C44" s="72">
        <v>83875</v>
      </c>
      <c r="D44" s="73" t="str">
        <f>IFERROR(VLOOKUP(C44,[7]Sheet2!$C$1:$F$1223,3,0),"")</f>
        <v>변재영</v>
      </c>
      <c r="E44" s="73" t="str">
        <f>IFERROR(VLOOKUP(C44,[7]Sheet2!$C$1:$F$1223,4,0),"")</f>
        <v>일신중국주류</v>
      </c>
      <c r="F44" s="74" t="s">
        <v>3380</v>
      </c>
      <c r="G44" s="72" t="s">
        <v>3483</v>
      </c>
      <c r="H44" s="75" t="s">
        <v>3481</v>
      </c>
      <c r="I44" s="75" t="s">
        <v>2507</v>
      </c>
      <c r="J44" s="76" t="s">
        <v>3534</v>
      </c>
      <c r="K44" s="77"/>
      <c r="L44" s="75"/>
      <c r="M44" s="75"/>
      <c r="N44" s="75">
        <v>6</v>
      </c>
      <c r="O44" s="75"/>
      <c r="P44" s="75"/>
      <c r="Q44" s="75">
        <v>4</v>
      </c>
      <c r="R44" s="75"/>
      <c r="S44" s="75"/>
      <c r="T44" s="75"/>
      <c r="U44" s="75"/>
      <c r="V44" s="78"/>
      <c r="W44" s="44"/>
      <c r="X44" s="77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8"/>
    </row>
    <row r="45" spans="1:35">
      <c r="A45" s="44"/>
      <c r="B45" s="71" t="str">
        <f>IFERROR(VLOOKUP(C45,[7]Sheet2!$C$3:$F$1223,2,0),"")</f>
        <v>Gwangju</v>
      </c>
      <c r="C45" s="72">
        <v>83875</v>
      </c>
      <c r="D45" s="73" t="str">
        <f>IFERROR(VLOOKUP(C45,[7]Sheet2!$C$1:$F$1223,3,0),"")</f>
        <v>변재영</v>
      </c>
      <c r="E45" s="73" t="str">
        <f>IFERROR(VLOOKUP(C45,[7]Sheet2!$C$1:$F$1223,4,0),"")</f>
        <v>일신중국주류</v>
      </c>
      <c r="F45" s="74" t="s">
        <v>3381</v>
      </c>
      <c r="G45" s="72" t="s">
        <v>3483</v>
      </c>
      <c r="H45" s="75" t="s">
        <v>3499</v>
      </c>
      <c r="I45" s="75" t="s">
        <v>3500</v>
      </c>
      <c r="J45" s="76" t="s">
        <v>3535</v>
      </c>
      <c r="K45" s="77"/>
      <c r="L45" s="75"/>
      <c r="M45" s="75"/>
      <c r="N45" s="75">
        <v>3</v>
      </c>
      <c r="O45" s="75">
        <v>5</v>
      </c>
      <c r="P45" s="75">
        <v>2</v>
      </c>
      <c r="Q45" s="75">
        <v>3</v>
      </c>
      <c r="R45" s="75">
        <v>6</v>
      </c>
      <c r="S45" s="75"/>
      <c r="T45" s="75">
        <v>3</v>
      </c>
      <c r="U45" s="75">
        <v>10</v>
      </c>
      <c r="V45" s="78"/>
      <c r="W45" s="44"/>
      <c r="X45" s="77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8"/>
    </row>
    <row r="46" spans="1:35">
      <c r="A46" s="44"/>
      <c r="B46" s="71" t="str">
        <f>IFERROR(VLOOKUP(C46,[7]Sheet2!$C$3:$F$1223,2,0),"")</f>
        <v>Gwangju</v>
      </c>
      <c r="C46" s="72">
        <v>83875</v>
      </c>
      <c r="D46" s="73" t="str">
        <f>IFERROR(VLOOKUP(C46,[7]Sheet2!$C$1:$F$1223,3,0),"")</f>
        <v>변재영</v>
      </c>
      <c r="E46" s="73" t="str">
        <f>IFERROR(VLOOKUP(C46,[7]Sheet2!$C$1:$F$1223,4,0),"")</f>
        <v>일신중국주류</v>
      </c>
      <c r="F46" s="74" t="s">
        <v>3382</v>
      </c>
      <c r="G46" s="72" t="s">
        <v>3483</v>
      </c>
      <c r="H46" s="75" t="s">
        <v>3481</v>
      </c>
      <c r="I46" s="75" t="s">
        <v>132</v>
      </c>
      <c r="J46" s="76" t="s">
        <v>3536</v>
      </c>
      <c r="K46" s="77"/>
      <c r="L46" s="75"/>
      <c r="M46" s="75"/>
      <c r="N46" s="75">
        <v>3</v>
      </c>
      <c r="O46" s="75"/>
      <c r="P46" s="75">
        <v>3</v>
      </c>
      <c r="Q46" s="75"/>
      <c r="R46" s="75"/>
      <c r="S46" s="75">
        <v>2</v>
      </c>
      <c r="T46" s="75"/>
      <c r="U46" s="75">
        <v>2</v>
      </c>
      <c r="V46" s="78"/>
      <c r="W46" s="44"/>
      <c r="X46" s="77"/>
      <c r="Y46" s="75">
        <v>2</v>
      </c>
      <c r="Z46" s="75"/>
      <c r="AA46" s="75"/>
      <c r="AB46" s="75"/>
      <c r="AC46" s="75"/>
      <c r="AD46" s="75"/>
      <c r="AE46" s="75"/>
      <c r="AF46" s="75"/>
      <c r="AG46" s="75"/>
      <c r="AH46" s="75"/>
      <c r="AI46" s="78"/>
    </row>
    <row r="47" spans="1:35">
      <c r="A47" s="44"/>
      <c r="B47" s="71" t="str">
        <f>IFERROR(VLOOKUP(C47,[7]Sheet2!$C$3:$F$1223,2,0),"")</f>
        <v>Gwangju</v>
      </c>
      <c r="C47" s="72">
        <v>83875</v>
      </c>
      <c r="D47" s="73" t="str">
        <f>IFERROR(VLOOKUP(C47,[7]Sheet2!$C$1:$F$1223,3,0),"")</f>
        <v>변재영</v>
      </c>
      <c r="E47" s="73" t="str">
        <f>IFERROR(VLOOKUP(C47,[7]Sheet2!$C$1:$F$1223,4,0),"")</f>
        <v>일신중국주류</v>
      </c>
      <c r="F47" s="74" t="s">
        <v>3383</v>
      </c>
      <c r="G47" s="72" t="s">
        <v>3483</v>
      </c>
      <c r="H47" s="75" t="s">
        <v>3481</v>
      </c>
      <c r="I47" s="75" t="s">
        <v>921</v>
      </c>
      <c r="J47" s="76" t="s">
        <v>3537</v>
      </c>
      <c r="K47" s="77"/>
      <c r="L47" s="75"/>
      <c r="M47" s="75"/>
      <c r="N47" s="75">
        <v>1</v>
      </c>
      <c r="O47" s="75">
        <v>2</v>
      </c>
      <c r="P47" s="75"/>
      <c r="Q47" s="75"/>
      <c r="R47" s="75"/>
      <c r="S47" s="75"/>
      <c r="T47" s="75"/>
      <c r="U47" s="75"/>
      <c r="V47" s="78"/>
      <c r="W47" s="44"/>
      <c r="X47" s="77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8"/>
    </row>
    <row r="48" spans="1:35">
      <c r="A48" s="44"/>
      <c r="B48" s="71" t="str">
        <f>IFERROR(VLOOKUP(C48,[7]Sheet2!$C$3:$F$1223,2,0),"")</f>
        <v>Gwangju</v>
      </c>
      <c r="C48" s="72">
        <v>83875</v>
      </c>
      <c r="D48" s="73" t="str">
        <f>IFERROR(VLOOKUP(C48,[7]Sheet2!$C$1:$F$1223,3,0),"")</f>
        <v>변재영</v>
      </c>
      <c r="E48" s="73" t="str">
        <f>IFERROR(VLOOKUP(C48,[7]Sheet2!$C$1:$F$1223,4,0),"")</f>
        <v>일신중국주류</v>
      </c>
      <c r="F48" s="74" t="s">
        <v>3384</v>
      </c>
      <c r="G48" s="72" t="s">
        <v>3483</v>
      </c>
      <c r="H48" s="75" t="s">
        <v>3490</v>
      </c>
      <c r="I48" s="75" t="s">
        <v>3504</v>
      </c>
      <c r="J48" s="76" t="s">
        <v>3538</v>
      </c>
      <c r="K48" s="77"/>
      <c r="L48" s="75"/>
      <c r="M48" s="75"/>
      <c r="N48" s="75">
        <v>5</v>
      </c>
      <c r="O48" s="75">
        <v>2</v>
      </c>
      <c r="P48" s="75">
        <v>3</v>
      </c>
      <c r="Q48" s="75">
        <v>2</v>
      </c>
      <c r="R48" s="75"/>
      <c r="S48" s="75">
        <v>3</v>
      </c>
      <c r="T48" s="75"/>
      <c r="U48" s="75"/>
      <c r="V48" s="78">
        <v>2</v>
      </c>
      <c r="W48" s="44"/>
      <c r="X48" s="77">
        <v>3</v>
      </c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8"/>
    </row>
    <row r="49" spans="1:35">
      <c r="A49" s="44"/>
      <c r="B49" s="71" t="str">
        <f>IFERROR(VLOOKUP(C49,[7]Sheet2!$C$3:$F$1223,2,0),"")</f>
        <v>Gwangju</v>
      </c>
      <c r="C49" s="72">
        <v>83875</v>
      </c>
      <c r="D49" s="73" t="str">
        <f>IFERROR(VLOOKUP(C49,[7]Sheet2!$C$1:$F$1223,3,0),"")</f>
        <v>변재영</v>
      </c>
      <c r="E49" s="73" t="str">
        <f>IFERROR(VLOOKUP(C49,[7]Sheet2!$C$1:$F$1223,4,0),"")</f>
        <v>일신중국주류</v>
      </c>
      <c r="F49" s="74" t="s">
        <v>3385</v>
      </c>
      <c r="G49" s="72" t="s">
        <v>3483</v>
      </c>
      <c r="H49" s="75" t="s">
        <v>3490</v>
      </c>
      <c r="I49" s="75" t="s">
        <v>3504</v>
      </c>
      <c r="J49" s="76" t="s">
        <v>3539</v>
      </c>
      <c r="K49" s="77"/>
      <c r="L49" s="75"/>
      <c r="M49" s="75"/>
      <c r="N49" s="75">
        <v>1</v>
      </c>
      <c r="O49" s="75">
        <v>3</v>
      </c>
      <c r="P49" s="75">
        <v>2</v>
      </c>
      <c r="Q49" s="75">
        <v>2</v>
      </c>
      <c r="R49" s="75">
        <v>2</v>
      </c>
      <c r="S49" s="75">
        <v>3</v>
      </c>
      <c r="T49" s="75">
        <v>1</v>
      </c>
      <c r="U49" s="75">
        <v>4</v>
      </c>
      <c r="V49" s="78">
        <v>6</v>
      </c>
      <c r="W49" s="44"/>
      <c r="X49" s="77">
        <v>2</v>
      </c>
      <c r="Y49" s="75">
        <v>3</v>
      </c>
      <c r="Z49" s="75"/>
      <c r="AA49" s="75"/>
      <c r="AB49" s="75"/>
      <c r="AC49" s="75"/>
      <c r="AD49" s="75"/>
      <c r="AE49" s="75"/>
      <c r="AF49" s="75"/>
      <c r="AG49" s="75"/>
      <c r="AH49" s="75"/>
      <c r="AI49" s="78"/>
    </row>
    <row r="50" spans="1:35">
      <c r="A50" s="44"/>
      <c r="B50" s="71" t="str">
        <f>IFERROR(VLOOKUP(C50,[7]Sheet2!$C$3:$F$1223,2,0),"")</f>
        <v>Gwangju</v>
      </c>
      <c r="C50" s="72">
        <v>33954</v>
      </c>
      <c r="D50" s="73" t="str">
        <f>IFERROR(VLOOKUP(C50,[7]Sheet2!$C$1:$F$1223,3,0),"")</f>
        <v>변재영</v>
      </c>
      <c r="E50" s="73" t="str">
        <f>IFERROR(VLOOKUP(C50,[7]Sheet2!$C$1:$F$1223,4,0),"")</f>
        <v>광주맥주판매</v>
      </c>
      <c r="F50" s="74" t="s">
        <v>3386</v>
      </c>
      <c r="G50" s="72" t="s">
        <v>3483</v>
      </c>
      <c r="H50" s="75" t="s">
        <v>3481</v>
      </c>
      <c r="I50" s="75" t="s">
        <v>2507</v>
      </c>
      <c r="J50" s="76" t="s">
        <v>3540</v>
      </c>
      <c r="K50" s="77"/>
      <c r="L50" s="75"/>
      <c r="M50" s="75"/>
      <c r="N50" s="75">
        <v>1</v>
      </c>
      <c r="O50" s="75"/>
      <c r="P50" s="75"/>
      <c r="Q50" s="75"/>
      <c r="R50" s="75"/>
      <c r="S50" s="75"/>
      <c r="T50" s="75"/>
      <c r="U50" s="75"/>
      <c r="V50" s="78"/>
      <c r="W50" s="44"/>
      <c r="X50" s="77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8"/>
    </row>
    <row r="51" spans="1:35">
      <c r="A51" s="44"/>
      <c r="B51" s="71" t="str">
        <f>IFERROR(VLOOKUP(C51,[7]Sheet2!$C$3:$F$1223,2,0),"")</f>
        <v>Gwangju</v>
      </c>
      <c r="C51" s="72">
        <v>33948</v>
      </c>
      <c r="D51" s="73" t="str">
        <f>IFERROR(VLOOKUP(C51,[7]Sheet2!$C$1:$F$1223,3,0),"")</f>
        <v>변재영</v>
      </c>
      <c r="E51" s="73" t="str">
        <f>IFERROR(VLOOKUP(C51,[7]Sheet2!$C$1:$F$1223,4,0),"")</f>
        <v>동서주류광주</v>
      </c>
      <c r="F51" s="74" t="s">
        <v>3387</v>
      </c>
      <c r="G51" s="72" t="s">
        <v>3483</v>
      </c>
      <c r="H51" s="75" t="s">
        <v>3481</v>
      </c>
      <c r="I51" s="75" t="s">
        <v>132</v>
      </c>
      <c r="J51" s="76" t="s">
        <v>3541</v>
      </c>
      <c r="K51" s="77"/>
      <c r="L51" s="75"/>
      <c r="M51" s="75"/>
      <c r="N51" s="75">
        <v>2</v>
      </c>
      <c r="O51" s="75"/>
      <c r="P51" s="75"/>
      <c r="Q51" s="75"/>
      <c r="R51" s="75"/>
      <c r="S51" s="75"/>
      <c r="T51" s="75"/>
      <c r="U51" s="75"/>
      <c r="V51" s="78"/>
      <c r="W51" s="44"/>
      <c r="X51" s="77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8"/>
    </row>
    <row r="52" spans="1:35">
      <c r="A52" s="44"/>
      <c r="B52" s="71" t="str">
        <f>IFERROR(VLOOKUP(C52,[7]Sheet2!$C$3:$F$1223,2,0),"")</f>
        <v>Gwangju</v>
      </c>
      <c r="C52" s="72">
        <v>34018</v>
      </c>
      <c r="D52" s="73" t="str">
        <f>IFERROR(VLOOKUP(C52,[7]Sheet2!$C$1:$F$1223,3,0),"")</f>
        <v>변재영</v>
      </c>
      <c r="E52" s="73" t="str">
        <f>IFERROR(VLOOKUP(C52,[7]Sheet2!$C$1:$F$1223,4,0),"")</f>
        <v>전북종합주류</v>
      </c>
      <c r="F52" s="74" t="s">
        <v>3388</v>
      </c>
      <c r="G52" s="72" t="s">
        <v>3686</v>
      </c>
      <c r="H52" s="75" t="s">
        <v>3490</v>
      </c>
      <c r="I52" s="75" t="s">
        <v>3491</v>
      </c>
      <c r="J52" s="76" t="s">
        <v>3542</v>
      </c>
      <c r="K52" s="77"/>
      <c r="L52" s="75"/>
      <c r="M52" s="75"/>
      <c r="N52" s="75">
        <v>1</v>
      </c>
      <c r="O52" s="75">
        <v>4</v>
      </c>
      <c r="P52" s="75">
        <v>4</v>
      </c>
      <c r="Q52" s="75">
        <v>3</v>
      </c>
      <c r="R52" s="75">
        <v>5</v>
      </c>
      <c r="S52" s="75">
        <v>6</v>
      </c>
      <c r="T52" s="75">
        <v>2</v>
      </c>
      <c r="U52" s="75">
        <v>4</v>
      </c>
      <c r="V52" s="78">
        <v>5</v>
      </c>
      <c r="W52" s="44"/>
      <c r="X52" s="77">
        <v>3</v>
      </c>
      <c r="Y52" s="75">
        <v>3</v>
      </c>
      <c r="Z52" s="75"/>
      <c r="AA52" s="75"/>
      <c r="AB52" s="75"/>
      <c r="AC52" s="75"/>
      <c r="AD52" s="75"/>
      <c r="AE52" s="75"/>
      <c r="AF52" s="75"/>
      <c r="AG52" s="75"/>
      <c r="AH52" s="75"/>
      <c r="AI52" s="78"/>
    </row>
    <row r="53" spans="1:35">
      <c r="A53" s="44"/>
      <c r="B53" s="71" t="str">
        <f>IFERROR(VLOOKUP(C53,[7]Sheet2!$C$3:$F$1223,2,0),"")</f>
        <v>Gwangju</v>
      </c>
      <c r="C53" s="72">
        <v>33991</v>
      </c>
      <c r="D53" s="73" t="str">
        <f>IFERROR(VLOOKUP(C53,[7]Sheet2!$C$1:$F$1223,3,0),"")</f>
        <v>변재영</v>
      </c>
      <c r="E53" s="73" t="str">
        <f>IFERROR(VLOOKUP(C53,[7]Sheet2!$C$1:$F$1223,4,0),"")</f>
        <v>동아상사전북</v>
      </c>
      <c r="F53" s="74" t="s">
        <v>3389</v>
      </c>
      <c r="G53" s="72" t="s">
        <v>3686</v>
      </c>
      <c r="H53" s="75" t="s">
        <v>3490</v>
      </c>
      <c r="I53" s="75" t="s">
        <v>3491</v>
      </c>
      <c r="J53" s="76" t="s">
        <v>3543</v>
      </c>
      <c r="K53" s="77"/>
      <c r="L53" s="75"/>
      <c r="M53" s="75"/>
      <c r="N53" s="75">
        <v>2</v>
      </c>
      <c r="O53" s="75"/>
      <c r="P53" s="75"/>
      <c r="Q53" s="75"/>
      <c r="R53" s="75"/>
      <c r="S53" s="75"/>
      <c r="T53" s="75"/>
      <c r="U53" s="75"/>
      <c r="V53" s="78"/>
      <c r="W53" s="44"/>
      <c r="X53" s="77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8"/>
    </row>
    <row r="54" spans="1:35">
      <c r="A54" s="44"/>
      <c r="B54" s="71" t="str">
        <f>IFERROR(VLOOKUP(C54,[7]Sheet2!$C$3:$F$1223,2,0),"")</f>
        <v>Gwangju</v>
      </c>
      <c r="C54" s="72">
        <v>33991</v>
      </c>
      <c r="D54" s="73" t="str">
        <f>IFERROR(VLOOKUP(C54,[7]Sheet2!$C$1:$F$1223,3,0),"")</f>
        <v>변재영</v>
      </c>
      <c r="E54" s="73" t="str">
        <f>IFERROR(VLOOKUP(C54,[7]Sheet2!$C$1:$F$1223,4,0),"")</f>
        <v>동아상사전북</v>
      </c>
      <c r="F54" s="74" t="s">
        <v>3390</v>
      </c>
      <c r="G54" s="72" t="s">
        <v>3686</v>
      </c>
      <c r="H54" s="75" t="s">
        <v>3490</v>
      </c>
      <c r="I54" s="75" t="s">
        <v>3491</v>
      </c>
      <c r="J54" s="76" t="s">
        <v>3544</v>
      </c>
      <c r="K54" s="77"/>
      <c r="L54" s="75"/>
      <c r="M54" s="75"/>
      <c r="N54" s="75">
        <v>1</v>
      </c>
      <c r="O54" s="75"/>
      <c r="P54" s="75"/>
      <c r="Q54" s="75"/>
      <c r="R54" s="75"/>
      <c r="S54" s="75"/>
      <c r="T54" s="75"/>
      <c r="U54" s="75"/>
      <c r="V54" s="78"/>
      <c r="W54" s="44"/>
      <c r="X54" s="77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8"/>
    </row>
    <row r="55" spans="1:35">
      <c r="A55" s="44"/>
      <c r="B55" s="71" t="str">
        <f>IFERROR(VLOOKUP(C55,[7]Sheet2!$C$3:$F$1223,2,0),"")</f>
        <v>Gwangju</v>
      </c>
      <c r="C55" s="72">
        <v>33991</v>
      </c>
      <c r="D55" s="73" t="str">
        <f>IFERROR(VLOOKUP(C55,[7]Sheet2!$C$1:$F$1223,3,0),"")</f>
        <v>변재영</v>
      </c>
      <c r="E55" s="73" t="str">
        <f>IFERROR(VLOOKUP(C55,[7]Sheet2!$C$1:$F$1223,4,0),"")</f>
        <v>동아상사전북</v>
      </c>
      <c r="F55" s="74" t="s">
        <v>3391</v>
      </c>
      <c r="G55" s="72" t="s">
        <v>3686</v>
      </c>
      <c r="H55" s="75" t="s">
        <v>3490</v>
      </c>
      <c r="I55" s="75" t="s">
        <v>3545</v>
      </c>
      <c r="J55" s="76" t="s">
        <v>3546</v>
      </c>
      <c r="K55" s="77"/>
      <c r="L55" s="75"/>
      <c r="M55" s="75"/>
      <c r="N55" s="75">
        <v>1</v>
      </c>
      <c r="O55" s="75"/>
      <c r="P55" s="75"/>
      <c r="Q55" s="75"/>
      <c r="R55" s="75"/>
      <c r="S55" s="75"/>
      <c r="T55" s="75"/>
      <c r="U55" s="75"/>
      <c r="V55" s="78"/>
      <c r="W55" s="44"/>
      <c r="X55" s="77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8"/>
    </row>
    <row r="56" spans="1:35">
      <c r="A56" s="44"/>
      <c r="B56" s="71" t="str">
        <f>IFERROR(VLOOKUP(C56,[7]Sheet2!$C$3:$F$1223,2,0),"")</f>
        <v>Gwangju</v>
      </c>
      <c r="C56" s="72">
        <v>33896</v>
      </c>
      <c r="D56" s="73" t="str">
        <f>IFERROR(VLOOKUP(C56,[7]Sheet2!$C$1:$F$1223,3,0),"")</f>
        <v>변재영</v>
      </c>
      <c r="E56" s="73" t="str">
        <f>IFERROR(VLOOKUP(C56,[7]Sheet2!$C$1:$F$1223,4,0),"")</f>
        <v>여수주류전남</v>
      </c>
      <c r="F56" s="74" t="s">
        <v>3392</v>
      </c>
      <c r="G56" s="72" t="s">
        <v>3686</v>
      </c>
      <c r="H56" s="75" t="s">
        <v>3499</v>
      </c>
      <c r="I56" s="75" t="s">
        <v>3547</v>
      </c>
      <c r="J56" s="76" t="s">
        <v>3548</v>
      </c>
      <c r="K56" s="77"/>
      <c r="L56" s="75"/>
      <c r="M56" s="75"/>
      <c r="N56" s="75"/>
      <c r="O56" s="75">
        <v>2</v>
      </c>
      <c r="P56" s="75"/>
      <c r="Q56" s="75"/>
      <c r="R56" s="75"/>
      <c r="S56" s="75"/>
      <c r="T56" s="75"/>
      <c r="U56" s="75"/>
      <c r="V56" s="78"/>
      <c r="W56" s="44"/>
      <c r="X56" s="77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8"/>
    </row>
    <row r="57" spans="1:35">
      <c r="A57" s="44"/>
      <c r="B57" s="71" t="str">
        <f>IFERROR(VLOOKUP(C57,[7]Sheet2!$C$3:$F$1223,2,0),"")</f>
        <v>Gwangju</v>
      </c>
      <c r="C57" s="72">
        <v>83875</v>
      </c>
      <c r="D57" s="73" t="str">
        <f>IFERROR(VLOOKUP(C57,[7]Sheet2!$C$1:$F$1223,3,0),"")</f>
        <v>변재영</v>
      </c>
      <c r="E57" s="73" t="str">
        <f>IFERROR(VLOOKUP(C57,[7]Sheet2!$C$1:$F$1223,4,0),"")</f>
        <v>일신중국주류</v>
      </c>
      <c r="F57" s="74" t="s">
        <v>3393</v>
      </c>
      <c r="G57" s="72" t="s">
        <v>3686</v>
      </c>
      <c r="H57" s="75" t="s">
        <v>3490</v>
      </c>
      <c r="I57" s="75" t="s">
        <v>3549</v>
      </c>
      <c r="J57" s="76" t="s">
        <v>3550</v>
      </c>
      <c r="K57" s="77"/>
      <c r="L57" s="75"/>
      <c r="M57" s="75"/>
      <c r="N57" s="75"/>
      <c r="O57" s="75">
        <v>10</v>
      </c>
      <c r="P57" s="75"/>
      <c r="Q57" s="75"/>
      <c r="R57" s="75"/>
      <c r="S57" s="75"/>
      <c r="T57" s="75"/>
      <c r="U57" s="75"/>
      <c r="V57" s="78"/>
      <c r="W57" s="44"/>
      <c r="X57" s="77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8"/>
    </row>
    <row r="58" spans="1:35">
      <c r="A58" s="44"/>
      <c r="B58" s="71" t="str">
        <f>IFERROR(VLOOKUP(C58,[7]Sheet2!$C$3:$F$1223,2,0),"")</f>
        <v>Gwangju</v>
      </c>
      <c r="C58" s="72">
        <v>83875</v>
      </c>
      <c r="D58" s="73" t="str">
        <f>IFERROR(VLOOKUP(C58,[7]Sheet2!$C$1:$F$1223,3,0),"")</f>
        <v>변재영</v>
      </c>
      <c r="E58" s="73" t="str">
        <f>IFERROR(VLOOKUP(C58,[7]Sheet2!$C$1:$F$1223,4,0),"")</f>
        <v>일신중국주류</v>
      </c>
      <c r="F58" s="74" t="s">
        <v>3394</v>
      </c>
      <c r="G58" s="72" t="s">
        <v>3686</v>
      </c>
      <c r="H58" s="75" t="s">
        <v>3499</v>
      </c>
      <c r="I58" s="75" t="s">
        <v>3502</v>
      </c>
      <c r="J58" s="76" t="s">
        <v>3551</v>
      </c>
      <c r="K58" s="77"/>
      <c r="L58" s="75"/>
      <c r="M58" s="75"/>
      <c r="N58" s="75"/>
      <c r="O58" s="75">
        <v>7</v>
      </c>
      <c r="P58" s="75">
        <v>10</v>
      </c>
      <c r="Q58" s="75"/>
      <c r="R58" s="75">
        <v>5</v>
      </c>
      <c r="S58" s="75">
        <v>10</v>
      </c>
      <c r="T58" s="75">
        <v>15</v>
      </c>
      <c r="U58" s="75"/>
      <c r="V58" s="78"/>
      <c r="W58" s="44"/>
      <c r="X58" s="77"/>
      <c r="Y58" s="75">
        <v>2</v>
      </c>
      <c r="Z58" s="75"/>
      <c r="AA58" s="75"/>
      <c r="AB58" s="75"/>
      <c r="AC58" s="75"/>
      <c r="AD58" s="75"/>
      <c r="AE58" s="75"/>
      <c r="AF58" s="75"/>
      <c r="AG58" s="75"/>
      <c r="AH58" s="75"/>
      <c r="AI58" s="78"/>
    </row>
    <row r="59" spans="1:35">
      <c r="A59" s="44"/>
      <c r="B59" s="71" t="str">
        <f>IFERROR(VLOOKUP(C59,[7]Sheet2!$C$3:$F$1223,2,0),"")</f>
        <v>Gwangju</v>
      </c>
      <c r="C59" s="72">
        <v>83875</v>
      </c>
      <c r="D59" s="73" t="str">
        <f>IFERROR(VLOOKUP(C59,[7]Sheet2!$C$1:$F$1223,3,0),"")</f>
        <v>변재영</v>
      </c>
      <c r="E59" s="73" t="str">
        <f>IFERROR(VLOOKUP(C59,[7]Sheet2!$C$1:$F$1223,4,0),"")</f>
        <v>일신중국주류</v>
      </c>
      <c r="F59" s="74" t="s">
        <v>3395</v>
      </c>
      <c r="G59" s="72" t="s">
        <v>3483</v>
      </c>
      <c r="H59" s="75" t="s">
        <v>3481</v>
      </c>
      <c r="I59" s="75" t="s">
        <v>921</v>
      </c>
      <c r="J59" s="76" t="s">
        <v>3552</v>
      </c>
      <c r="K59" s="77"/>
      <c r="L59" s="75"/>
      <c r="M59" s="75"/>
      <c r="N59" s="75"/>
      <c r="O59" s="75">
        <v>7</v>
      </c>
      <c r="P59" s="75"/>
      <c r="Q59" s="75"/>
      <c r="R59" s="75">
        <v>3</v>
      </c>
      <c r="S59" s="75"/>
      <c r="T59" s="75">
        <v>3</v>
      </c>
      <c r="U59" s="75"/>
      <c r="V59" s="78"/>
      <c r="W59" s="44"/>
      <c r="X59" s="77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8"/>
    </row>
    <row r="60" spans="1:35">
      <c r="A60" s="44"/>
      <c r="B60" s="71" t="str">
        <f>IFERROR(VLOOKUP(C60,[7]Sheet2!$C$3:$F$1223,2,0),"")</f>
        <v>Gwangju</v>
      </c>
      <c r="C60" s="72">
        <v>83875</v>
      </c>
      <c r="D60" s="73" t="str">
        <f>IFERROR(VLOOKUP(C60,[7]Sheet2!$C$1:$F$1223,3,0),"")</f>
        <v>변재영</v>
      </c>
      <c r="E60" s="73" t="str">
        <f>IFERROR(VLOOKUP(C60,[7]Sheet2!$C$1:$F$1223,4,0),"")</f>
        <v>일신중국주류</v>
      </c>
      <c r="F60" s="74" t="s">
        <v>3396</v>
      </c>
      <c r="G60" s="72" t="s">
        <v>3686</v>
      </c>
      <c r="H60" s="75" t="s">
        <v>3490</v>
      </c>
      <c r="I60" s="75" t="s">
        <v>3491</v>
      </c>
      <c r="J60" s="76" t="s">
        <v>3494</v>
      </c>
      <c r="K60" s="77"/>
      <c r="L60" s="75"/>
      <c r="M60" s="75"/>
      <c r="N60" s="75"/>
      <c r="O60" s="75">
        <v>3</v>
      </c>
      <c r="P60" s="75"/>
      <c r="Q60" s="75"/>
      <c r="R60" s="75"/>
      <c r="S60" s="75"/>
      <c r="T60" s="75"/>
      <c r="U60" s="75"/>
      <c r="V60" s="78"/>
      <c r="W60" s="44"/>
      <c r="X60" s="77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8"/>
    </row>
    <row r="61" spans="1:35">
      <c r="A61" s="44"/>
      <c r="B61" s="71" t="str">
        <f>IFERROR(VLOOKUP(C61,[7]Sheet2!$C$3:$F$1223,2,0),"")</f>
        <v>Gwangju</v>
      </c>
      <c r="C61" s="72">
        <v>83875</v>
      </c>
      <c r="D61" s="73" t="str">
        <f>IFERROR(VLOOKUP(C61,[7]Sheet2!$C$1:$F$1223,3,0),"")</f>
        <v>변재영</v>
      </c>
      <c r="E61" s="73" t="str">
        <f>IFERROR(VLOOKUP(C61,[7]Sheet2!$C$1:$F$1223,4,0),"")</f>
        <v>일신중국주류</v>
      </c>
      <c r="F61" s="74" t="s">
        <v>3397</v>
      </c>
      <c r="G61" s="72" t="s">
        <v>3686</v>
      </c>
      <c r="H61" s="75" t="s">
        <v>3490</v>
      </c>
      <c r="I61" s="75" t="s">
        <v>3491</v>
      </c>
      <c r="J61" s="76" t="s">
        <v>3553</v>
      </c>
      <c r="K61" s="77"/>
      <c r="L61" s="75"/>
      <c r="M61" s="75"/>
      <c r="N61" s="75"/>
      <c r="O61" s="75">
        <v>4</v>
      </c>
      <c r="P61" s="75">
        <v>7</v>
      </c>
      <c r="Q61" s="75">
        <v>5</v>
      </c>
      <c r="R61" s="75">
        <v>5</v>
      </c>
      <c r="S61" s="75"/>
      <c r="T61" s="75"/>
      <c r="U61" s="75">
        <v>4</v>
      </c>
      <c r="V61" s="78">
        <v>2</v>
      </c>
      <c r="W61" s="44"/>
      <c r="X61" s="77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8"/>
    </row>
    <row r="62" spans="1:35">
      <c r="A62" s="44"/>
      <c r="B62" s="71" t="str">
        <f>IFERROR(VLOOKUP(C62,[7]Sheet2!$C$3:$F$1223,2,0),"")</f>
        <v>Gwangju</v>
      </c>
      <c r="C62" s="72">
        <v>83875</v>
      </c>
      <c r="D62" s="73" t="str">
        <f>IFERROR(VLOOKUP(C62,[7]Sheet2!$C$1:$F$1223,3,0),"")</f>
        <v>변재영</v>
      </c>
      <c r="E62" s="73" t="str">
        <f>IFERROR(VLOOKUP(C62,[7]Sheet2!$C$1:$F$1223,4,0),"")</f>
        <v>일신중국주류</v>
      </c>
      <c r="F62" s="74" t="s">
        <v>3398</v>
      </c>
      <c r="G62" s="72" t="s">
        <v>3483</v>
      </c>
      <c r="H62" s="75" t="s">
        <v>3481</v>
      </c>
      <c r="I62" s="75" t="s">
        <v>921</v>
      </c>
      <c r="J62" s="76" t="s">
        <v>3554</v>
      </c>
      <c r="K62" s="77"/>
      <c r="L62" s="75"/>
      <c r="M62" s="75"/>
      <c r="N62" s="75"/>
      <c r="O62" s="75">
        <v>1</v>
      </c>
      <c r="P62" s="75"/>
      <c r="Q62" s="75"/>
      <c r="R62" s="75"/>
      <c r="S62" s="75"/>
      <c r="T62" s="75"/>
      <c r="U62" s="75"/>
      <c r="V62" s="78"/>
      <c r="W62" s="44"/>
      <c r="X62" s="77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8"/>
    </row>
    <row r="63" spans="1:35">
      <c r="A63" s="44"/>
      <c r="B63" s="71" t="str">
        <f>IFERROR(VLOOKUP(C63,[7]Sheet2!$C$3:$F$1223,2,0),"")</f>
        <v>Gwangju</v>
      </c>
      <c r="C63" s="72">
        <v>83875</v>
      </c>
      <c r="D63" s="73" t="str">
        <f>IFERROR(VLOOKUP(C63,[7]Sheet2!$C$1:$F$1223,3,0),"")</f>
        <v>변재영</v>
      </c>
      <c r="E63" s="73" t="str">
        <f>IFERROR(VLOOKUP(C63,[7]Sheet2!$C$1:$F$1223,4,0),"")</f>
        <v>일신중국주류</v>
      </c>
      <c r="F63" s="74" t="s">
        <v>3399</v>
      </c>
      <c r="G63" s="72" t="s">
        <v>3686</v>
      </c>
      <c r="H63" s="75" t="s">
        <v>3490</v>
      </c>
      <c r="I63" s="75" t="s">
        <v>3491</v>
      </c>
      <c r="J63" s="76" t="s">
        <v>3555</v>
      </c>
      <c r="K63" s="77"/>
      <c r="L63" s="75"/>
      <c r="M63" s="75"/>
      <c r="N63" s="75"/>
      <c r="O63" s="75">
        <v>2</v>
      </c>
      <c r="P63" s="75"/>
      <c r="Q63" s="75"/>
      <c r="R63" s="75"/>
      <c r="S63" s="75"/>
      <c r="T63" s="75"/>
      <c r="U63" s="75">
        <v>5</v>
      </c>
      <c r="V63" s="78"/>
      <c r="W63" s="44"/>
      <c r="X63" s="77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8"/>
    </row>
    <row r="64" spans="1:35">
      <c r="A64" s="44"/>
      <c r="B64" s="71" t="str">
        <f>IFERROR(VLOOKUP(C64,[7]Sheet2!$C$3:$F$1223,2,0),"")</f>
        <v>Gwangju</v>
      </c>
      <c r="C64" s="72">
        <v>83875</v>
      </c>
      <c r="D64" s="73" t="str">
        <f>IFERROR(VLOOKUP(C64,[7]Sheet2!$C$1:$F$1223,3,0),"")</f>
        <v>변재영</v>
      </c>
      <c r="E64" s="73" t="str">
        <f>IFERROR(VLOOKUP(C64,[7]Sheet2!$C$1:$F$1223,4,0),"")</f>
        <v>일신중국주류</v>
      </c>
      <c r="F64" s="74" t="s">
        <v>3400</v>
      </c>
      <c r="G64" s="72" t="s">
        <v>3483</v>
      </c>
      <c r="H64" s="75" t="s">
        <v>3490</v>
      </c>
      <c r="I64" s="75" t="s">
        <v>3496</v>
      </c>
      <c r="J64" s="76" t="s">
        <v>3556</v>
      </c>
      <c r="K64" s="77"/>
      <c r="L64" s="75"/>
      <c r="M64" s="75"/>
      <c r="N64" s="75"/>
      <c r="O64" s="75">
        <v>2</v>
      </c>
      <c r="P64" s="75"/>
      <c r="Q64" s="75"/>
      <c r="R64" s="75"/>
      <c r="S64" s="75"/>
      <c r="T64" s="75"/>
      <c r="U64" s="75"/>
      <c r="V64" s="78"/>
      <c r="W64" s="44"/>
      <c r="X64" s="77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8"/>
    </row>
    <row r="65" spans="1:35">
      <c r="A65" s="44"/>
      <c r="B65" s="71" t="str">
        <f>IFERROR(VLOOKUP(C65,[7]Sheet2!$C$3:$F$1223,2,0),"")</f>
        <v>Gwangju</v>
      </c>
      <c r="C65" s="72">
        <v>83875</v>
      </c>
      <c r="D65" s="73" t="str">
        <f>IFERROR(VLOOKUP(C65,[7]Sheet2!$C$1:$F$1223,3,0),"")</f>
        <v>변재영</v>
      </c>
      <c r="E65" s="73" t="str">
        <f>IFERROR(VLOOKUP(C65,[7]Sheet2!$C$1:$F$1223,4,0),"")</f>
        <v>일신중국주류</v>
      </c>
      <c r="F65" s="74" t="s">
        <v>3401</v>
      </c>
      <c r="G65" s="72" t="s">
        <v>3686</v>
      </c>
      <c r="H65" s="75" t="s">
        <v>3499</v>
      </c>
      <c r="I65" s="75" t="s">
        <v>3557</v>
      </c>
      <c r="J65" s="76" t="s">
        <v>3558</v>
      </c>
      <c r="K65" s="77"/>
      <c r="L65" s="75"/>
      <c r="M65" s="75"/>
      <c r="N65" s="75"/>
      <c r="O65" s="75">
        <v>2</v>
      </c>
      <c r="P65" s="75">
        <v>2</v>
      </c>
      <c r="Q65" s="75">
        <v>3</v>
      </c>
      <c r="R65" s="75">
        <v>2</v>
      </c>
      <c r="S65" s="75">
        <v>2</v>
      </c>
      <c r="T65" s="75"/>
      <c r="U65" s="75"/>
      <c r="V65" s="78"/>
      <c r="W65" s="44"/>
      <c r="X65" s="77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8"/>
    </row>
    <row r="66" spans="1:35">
      <c r="A66" s="44"/>
      <c r="B66" s="71" t="str">
        <f>IFERROR(VLOOKUP(C66,[7]Sheet2!$C$3:$F$1223,2,0),"")</f>
        <v>Gwangju</v>
      </c>
      <c r="C66" s="72">
        <v>33987</v>
      </c>
      <c r="D66" s="73" t="str">
        <f>IFERROR(VLOOKUP(C66,[7]Sheet2!$C$1:$F$1223,3,0),"")</f>
        <v>변재영</v>
      </c>
      <c r="E66" s="73" t="str">
        <f>IFERROR(VLOOKUP(C66,[7]Sheet2!$C$1:$F$1223,4,0),"")</f>
        <v>전주호남주류</v>
      </c>
      <c r="F66" s="74" t="s">
        <v>3402</v>
      </c>
      <c r="G66" s="72" t="s">
        <v>3483</v>
      </c>
      <c r="H66" s="75" t="s">
        <v>3499</v>
      </c>
      <c r="I66" s="75" t="s">
        <v>3559</v>
      </c>
      <c r="J66" s="76" t="s">
        <v>3560</v>
      </c>
      <c r="K66" s="77"/>
      <c r="L66" s="75"/>
      <c r="M66" s="75"/>
      <c r="N66" s="75"/>
      <c r="O66" s="75">
        <v>3</v>
      </c>
      <c r="P66" s="75">
        <v>1</v>
      </c>
      <c r="Q66" s="75">
        <v>3</v>
      </c>
      <c r="R66" s="75"/>
      <c r="S66" s="75">
        <v>3</v>
      </c>
      <c r="T66" s="75"/>
      <c r="U66" s="75"/>
      <c r="V66" s="78"/>
      <c r="W66" s="44"/>
      <c r="X66" s="77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8"/>
    </row>
    <row r="67" spans="1:35">
      <c r="A67" s="44"/>
      <c r="B67" s="71" t="str">
        <f>IFERROR(VLOOKUP(C67,[7]Sheet2!$C$3:$F$1223,2,0),"")</f>
        <v>Gwangju</v>
      </c>
      <c r="C67" s="72">
        <v>33948</v>
      </c>
      <c r="D67" s="73" t="str">
        <f>IFERROR(VLOOKUP(C67,[7]Sheet2!$C$1:$F$1223,3,0),"")</f>
        <v>변재영</v>
      </c>
      <c r="E67" s="73" t="str">
        <f>IFERROR(VLOOKUP(C67,[7]Sheet2!$C$1:$F$1223,4,0),"")</f>
        <v>동서주류광주</v>
      </c>
      <c r="F67" s="74" t="s">
        <v>3403</v>
      </c>
      <c r="G67" s="72" t="s">
        <v>3483</v>
      </c>
      <c r="H67" s="75" t="s">
        <v>3481</v>
      </c>
      <c r="I67" s="75" t="s">
        <v>921</v>
      </c>
      <c r="J67" s="76" t="s">
        <v>3561</v>
      </c>
      <c r="K67" s="77"/>
      <c r="L67" s="75"/>
      <c r="M67" s="75"/>
      <c r="N67" s="75"/>
      <c r="O67" s="75">
        <v>1</v>
      </c>
      <c r="P67" s="75"/>
      <c r="Q67" s="75"/>
      <c r="R67" s="75"/>
      <c r="S67" s="75"/>
      <c r="T67" s="75"/>
      <c r="U67" s="75"/>
      <c r="V67" s="78"/>
      <c r="W67" s="44"/>
      <c r="X67" s="77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8"/>
    </row>
    <row r="68" spans="1:35">
      <c r="A68" s="44"/>
      <c r="B68" s="71" t="str">
        <f>IFERROR(VLOOKUP(C68,[7]Sheet2!$C$3:$F$1223,2,0),"")</f>
        <v>Gwangju</v>
      </c>
      <c r="C68" s="72">
        <v>33994</v>
      </c>
      <c r="D68" s="73" t="str">
        <f>IFERROR(VLOOKUP(C68,[7]Sheet2!$C$1:$F$1223,3,0),"")</f>
        <v>변재영</v>
      </c>
      <c r="E68" s="73" t="str">
        <f>IFERROR(VLOOKUP(C68,[7]Sheet2!$C$1:$F$1223,4,0),"")</f>
        <v>신일상사전북</v>
      </c>
      <c r="F68" s="74" t="s">
        <v>3404</v>
      </c>
      <c r="G68" s="72" t="s">
        <v>3483</v>
      </c>
      <c r="H68" s="75" t="s">
        <v>3490</v>
      </c>
      <c r="I68" s="75" t="s">
        <v>3504</v>
      </c>
      <c r="J68" s="76" t="s">
        <v>3562</v>
      </c>
      <c r="K68" s="77"/>
      <c r="L68" s="75"/>
      <c r="M68" s="75"/>
      <c r="N68" s="75"/>
      <c r="O68" s="75">
        <v>2</v>
      </c>
      <c r="P68" s="75">
        <v>2</v>
      </c>
      <c r="Q68" s="75"/>
      <c r="R68" s="75"/>
      <c r="S68" s="75"/>
      <c r="T68" s="75"/>
      <c r="U68" s="75"/>
      <c r="V68" s="78"/>
      <c r="W68" s="44"/>
      <c r="X68" s="77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8"/>
    </row>
    <row r="69" spans="1:35">
      <c r="A69" s="44"/>
      <c r="B69" s="71" t="str">
        <f>IFERROR(VLOOKUP(C69,[7]Sheet2!$C$3:$F$1223,2,0),"")</f>
        <v>Gwangju</v>
      </c>
      <c r="C69" s="72">
        <v>33994</v>
      </c>
      <c r="D69" s="73" t="str">
        <f>IFERROR(VLOOKUP(C69,[7]Sheet2!$C$1:$F$1223,3,0),"")</f>
        <v>변재영</v>
      </c>
      <c r="E69" s="73" t="str">
        <f>IFERROR(VLOOKUP(C69,[7]Sheet2!$C$1:$F$1223,4,0),"")</f>
        <v>신일상사전북</v>
      </c>
      <c r="F69" s="74" t="s">
        <v>3405</v>
      </c>
      <c r="G69" s="72" t="s">
        <v>3483</v>
      </c>
      <c r="H69" s="75" t="s">
        <v>3490</v>
      </c>
      <c r="I69" s="75" t="s">
        <v>3504</v>
      </c>
      <c r="J69" s="76" t="s">
        <v>3563</v>
      </c>
      <c r="K69" s="77"/>
      <c r="L69" s="75"/>
      <c r="M69" s="75"/>
      <c r="N69" s="75"/>
      <c r="O69" s="75">
        <v>1</v>
      </c>
      <c r="P69" s="75"/>
      <c r="Q69" s="75"/>
      <c r="R69" s="75"/>
      <c r="S69" s="75"/>
      <c r="T69" s="75">
        <v>10</v>
      </c>
      <c r="U69" s="75"/>
      <c r="V69" s="78"/>
      <c r="W69" s="44"/>
      <c r="X69" s="77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8"/>
    </row>
    <row r="70" spans="1:35">
      <c r="A70" s="44"/>
      <c r="B70" s="71" t="str">
        <f>IFERROR(VLOOKUP(C70,[7]Sheet2!$C$3:$F$1223,2,0),"")</f>
        <v>Gwangju</v>
      </c>
      <c r="C70" s="72">
        <v>83875</v>
      </c>
      <c r="D70" s="73" t="str">
        <f>IFERROR(VLOOKUP(C70,[7]Sheet2!$C$1:$F$1223,3,0),"")</f>
        <v>변재영</v>
      </c>
      <c r="E70" s="73" t="str">
        <f>IFERROR(VLOOKUP(C70,[7]Sheet2!$C$1:$F$1223,4,0),"")</f>
        <v>일신중국주류</v>
      </c>
      <c r="F70" s="74" t="s">
        <v>3406</v>
      </c>
      <c r="G70" s="72" t="s">
        <v>3686</v>
      </c>
      <c r="H70" s="75" t="s">
        <v>3481</v>
      </c>
      <c r="I70" s="75" t="s">
        <v>878</v>
      </c>
      <c r="J70" s="76" t="s">
        <v>3564</v>
      </c>
      <c r="K70" s="77"/>
      <c r="L70" s="75"/>
      <c r="M70" s="75"/>
      <c r="N70" s="75"/>
      <c r="O70" s="75">
        <v>1</v>
      </c>
      <c r="P70" s="75"/>
      <c r="Q70" s="75"/>
      <c r="R70" s="75"/>
      <c r="S70" s="75"/>
      <c r="T70" s="75"/>
      <c r="U70" s="75"/>
      <c r="V70" s="78"/>
      <c r="W70" s="44"/>
      <c r="X70" s="77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8"/>
    </row>
    <row r="71" spans="1:35">
      <c r="A71" s="44"/>
      <c r="B71" s="71" t="str">
        <f>IFERROR(VLOOKUP(C71,[10]Sheet2!$C$3:$F$1223,2,0),"")</f>
        <v>Gwangju</v>
      </c>
      <c r="C71" s="72">
        <v>83875</v>
      </c>
      <c r="D71" s="73" t="str">
        <f>IFERROR(VLOOKUP(C71,[10]Sheet2!$C$1:$F$1223,3,0),"")</f>
        <v>변재영</v>
      </c>
      <c r="E71" s="73" t="str">
        <f>IFERROR(VLOOKUP(C71,[10]Sheet2!$C$1:$F$1223,4,0),"")</f>
        <v>일신중국주류</v>
      </c>
      <c r="F71" s="74" t="s">
        <v>3407</v>
      </c>
      <c r="G71" s="72" t="s">
        <v>3483</v>
      </c>
      <c r="H71" s="75" t="s">
        <v>3490</v>
      </c>
      <c r="I71" s="75" t="s">
        <v>3504</v>
      </c>
      <c r="J71" s="76" t="s">
        <v>3565</v>
      </c>
      <c r="K71" s="77"/>
      <c r="L71" s="75"/>
      <c r="M71" s="75"/>
      <c r="N71" s="75"/>
      <c r="O71" s="75">
        <v>2</v>
      </c>
      <c r="P71" s="75"/>
      <c r="Q71" s="75">
        <v>1</v>
      </c>
      <c r="R71" s="75">
        <v>2</v>
      </c>
      <c r="S71" s="75">
        <v>1</v>
      </c>
      <c r="T71" s="75">
        <v>1</v>
      </c>
      <c r="U71" s="75">
        <v>1</v>
      </c>
      <c r="V71" s="78">
        <v>1</v>
      </c>
      <c r="W71" s="44"/>
      <c r="X71" s="77">
        <v>2</v>
      </c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8"/>
    </row>
    <row r="72" spans="1:35">
      <c r="A72" s="44"/>
      <c r="B72" s="71" t="str">
        <f>IFERROR(VLOOKUP(C72,[10]Sheet2!$C$3:$F$1223,2,0),"")</f>
        <v>Gwangju</v>
      </c>
      <c r="C72" s="72">
        <v>83875</v>
      </c>
      <c r="D72" s="73" t="str">
        <f>IFERROR(VLOOKUP(C72,[10]Sheet2!$C$1:$F$1223,3,0),"")</f>
        <v>변재영</v>
      </c>
      <c r="E72" s="73" t="str">
        <f>IFERROR(VLOOKUP(C72,[10]Sheet2!$C$1:$F$1223,4,0),"")</f>
        <v>일신중국주류</v>
      </c>
      <c r="F72" s="74" t="s">
        <v>3408</v>
      </c>
      <c r="G72" s="72" t="s">
        <v>3483</v>
      </c>
      <c r="H72" s="75" t="s">
        <v>3481</v>
      </c>
      <c r="I72" s="75" t="s">
        <v>132</v>
      </c>
      <c r="J72" s="76" t="s">
        <v>3566</v>
      </c>
      <c r="K72" s="77"/>
      <c r="L72" s="75"/>
      <c r="M72" s="75"/>
      <c r="N72" s="75"/>
      <c r="O72" s="75">
        <v>2</v>
      </c>
      <c r="P72" s="75"/>
      <c r="Q72" s="75">
        <v>2</v>
      </c>
      <c r="R72" s="75"/>
      <c r="S72" s="75">
        <v>3</v>
      </c>
      <c r="T72" s="75">
        <v>2</v>
      </c>
      <c r="U72" s="75"/>
      <c r="V72" s="78">
        <v>2</v>
      </c>
      <c r="W72" s="44"/>
      <c r="X72" s="77"/>
      <c r="Y72" s="75">
        <v>1</v>
      </c>
      <c r="Z72" s="75"/>
      <c r="AA72" s="75"/>
      <c r="AB72" s="75"/>
      <c r="AC72" s="75"/>
      <c r="AD72" s="75"/>
      <c r="AE72" s="75"/>
      <c r="AF72" s="75"/>
      <c r="AG72" s="75"/>
      <c r="AH72" s="75"/>
      <c r="AI72" s="78"/>
    </row>
    <row r="73" spans="1:35">
      <c r="A73" s="44"/>
      <c r="B73" s="71" t="str">
        <f>IFERROR(VLOOKUP(C73,[10]Sheet2!$C$3:$F$1223,2,0),"")</f>
        <v>Gwangju</v>
      </c>
      <c r="C73" s="72">
        <v>83875</v>
      </c>
      <c r="D73" s="73" t="str">
        <f>IFERROR(VLOOKUP(C73,[10]Sheet2!$C$1:$F$1223,3,0),"")</f>
        <v>변재영</v>
      </c>
      <c r="E73" s="73" t="str">
        <f>IFERROR(VLOOKUP(C73,[10]Sheet2!$C$1:$F$1223,4,0),"")</f>
        <v>일신중국주류</v>
      </c>
      <c r="F73" s="74" t="s">
        <v>3409</v>
      </c>
      <c r="G73" s="72" t="s">
        <v>3483</v>
      </c>
      <c r="H73" s="75" t="s">
        <v>3481</v>
      </c>
      <c r="I73" s="75" t="s">
        <v>2507</v>
      </c>
      <c r="J73" s="76" t="s">
        <v>3567</v>
      </c>
      <c r="K73" s="77"/>
      <c r="L73" s="75"/>
      <c r="M73" s="75"/>
      <c r="N73" s="75"/>
      <c r="O73" s="75">
        <v>5</v>
      </c>
      <c r="P73" s="75"/>
      <c r="Q73" s="75"/>
      <c r="R73" s="75"/>
      <c r="S73" s="75"/>
      <c r="T73" s="75"/>
      <c r="U73" s="75"/>
      <c r="V73" s="78"/>
      <c r="W73" s="44"/>
      <c r="X73" s="77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8"/>
    </row>
    <row r="74" spans="1:35">
      <c r="A74" s="44"/>
      <c r="B74" s="71" t="str">
        <f>IFERROR(VLOOKUP(C74,[10]Sheet2!$C$3:$F$1223,2,0),"")</f>
        <v>Gwangju</v>
      </c>
      <c r="C74" s="72">
        <v>83875</v>
      </c>
      <c r="D74" s="73" t="str">
        <f>IFERROR(VLOOKUP(C74,[10]Sheet2!$C$1:$F$1223,3,0),"")</f>
        <v>변재영</v>
      </c>
      <c r="E74" s="73" t="str">
        <f>IFERROR(VLOOKUP(C74,[10]Sheet2!$C$1:$F$1223,4,0),"")</f>
        <v>일신중국주류</v>
      </c>
      <c r="F74" s="74" t="s">
        <v>3410</v>
      </c>
      <c r="G74" s="72" t="s">
        <v>3483</v>
      </c>
      <c r="H74" s="75" t="s">
        <v>3481</v>
      </c>
      <c r="I74" s="75" t="s">
        <v>132</v>
      </c>
      <c r="J74" s="76" t="s">
        <v>3568</v>
      </c>
      <c r="K74" s="77"/>
      <c r="L74" s="75"/>
      <c r="M74" s="75"/>
      <c r="N74" s="75"/>
      <c r="O74" s="75">
        <v>1</v>
      </c>
      <c r="P74" s="75"/>
      <c r="Q74" s="75"/>
      <c r="R74" s="75"/>
      <c r="S74" s="75"/>
      <c r="T74" s="75"/>
      <c r="U74" s="75"/>
      <c r="V74" s="78"/>
      <c r="W74" s="44"/>
      <c r="X74" s="77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8"/>
    </row>
    <row r="75" spans="1:35">
      <c r="A75" s="44"/>
      <c r="B75" s="71" t="str">
        <f>IFERROR(VLOOKUP(C75,[10]Sheet2!$C$3:$F$1223,2,0),"")</f>
        <v>Gwangju</v>
      </c>
      <c r="C75" s="72">
        <v>33969</v>
      </c>
      <c r="D75" s="73" t="str">
        <f>IFERROR(VLOOKUP(C75,[10]Sheet2!$C$1:$F$1223,3,0),"")</f>
        <v>변재영</v>
      </c>
      <c r="E75" s="73" t="str">
        <f>IFERROR(VLOOKUP(C75,[10]Sheet2!$C$1:$F$1223,4,0),"")</f>
        <v>고창주류(유)</v>
      </c>
      <c r="F75" s="74" t="s">
        <v>3411</v>
      </c>
      <c r="G75" s="72" t="s">
        <v>3483</v>
      </c>
      <c r="H75" s="75" t="s">
        <v>3481</v>
      </c>
      <c r="I75" s="75" t="s">
        <v>921</v>
      </c>
      <c r="J75" s="76" t="s">
        <v>3569</v>
      </c>
      <c r="K75" s="77"/>
      <c r="L75" s="75"/>
      <c r="M75" s="75"/>
      <c r="N75" s="75"/>
      <c r="O75" s="75">
        <v>7</v>
      </c>
      <c r="P75" s="75">
        <v>6</v>
      </c>
      <c r="Q75" s="75">
        <v>5</v>
      </c>
      <c r="R75" s="75">
        <v>4</v>
      </c>
      <c r="S75" s="75">
        <v>9</v>
      </c>
      <c r="T75" s="75">
        <v>3</v>
      </c>
      <c r="U75" s="75">
        <v>6</v>
      </c>
      <c r="V75" s="78">
        <v>7</v>
      </c>
      <c r="W75" s="44"/>
      <c r="X75" s="77">
        <v>5</v>
      </c>
      <c r="Y75" s="75">
        <v>4</v>
      </c>
      <c r="Z75" s="75"/>
      <c r="AA75" s="75"/>
      <c r="AB75" s="75"/>
      <c r="AC75" s="75"/>
      <c r="AD75" s="75"/>
      <c r="AE75" s="75"/>
      <c r="AF75" s="75"/>
      <c r="AG75" s="75"/>
      <c r="AH75" s="75"/>
      <c r="AI75" s="78"/>
    </row>
    <row r="76" spans="1:35">
      <c r="A76" s="44"/>
      <c r="B76" s="71" t="str">
        <f>IFERROR(VLOOKUP(C76,[10]Sheet2!$C$3:$F$1223,2,0),"")</f>
        <v>Gwangju</v>
      </c>
      <c r="C76" s="72">
        <v>34018</v>
      </c>
      <c r="D76" s="73" t="str">
        <f>IFERROR(VLOOKUP(C76,[10]Sheet2!$C$1:$F$1223,3,0),"")</f>
        <v>변재영</v>
      </c>
      <c r="E76" s="73" t="str">
        <f>IFERROR(VLOOKUP(C76,[10]Sheet2!$C$1:$F$1223,4,0),"")</f>
        <v>전북종합주류</v>
      </c>
      <c r="F76" s="74" t="s">
        <v>3412</v>
      </c>
      <c r="G76" s="72"/>
      <c r="H76" s="75" t="s">
        <v>1145</v>
      </c>
      <c r="I76" s="75" t="s">
        <v>3290</v>
      </c>
      <c r="J76" s="76" t="s">
        <v>3570</v>
      </c>
      <c r="K76" s="77"/>
      <c r="L76" s="75"/>
      <c r="M76" s="75"/>
      <c r="N76" s="75"/>
      <c r="O76" s="75">
        <v>3</v>
      </c>
      <c r="P76" s="75"/>
      <c r="Q76" s="75">
        <v>5</v>
      </c>
      <c r="R76" s="75">
        <v>4</v>
      </c>
      <c r="S76" s="75">
        <v>3</v>
      </c>
      <c r="T76" s="75">
        <v>2</v>
      </c>
      <c r="U76" s="75">
        <v>3</v>
      </c>
      <c r="V76" s="78">
        <v>5</v>
      </c>
      <c r="W76" s="44"/>
      <c r="X76" s="77"/>
      <c r="Y76" s="75">
        <v>3</v>
      </c>
      <c r="Z76" s="75"/>
      <c r="AA76" s="75"/>
      <c r="AB76" s="75"/>
      <c r="AC76" s="75"/>
      <c r="AD76" s="75"/>
      <c r="AE76" s="75"/>
      <c r="AF76" s="75"/>
      <c r="AG76" s="75"/>
      <c r="AH76" s="75"/>
      <c r="AI76" s="78"/>
    </row>
    <row r="77" spans="1:35">
      <c r="A77" s="44"/>
      <c r="B77" s="71" t="str">
        <f>IFERROR(VLOOKUP(C77,[10]Sheet2!$C$3:$F$1223,2,0),"")</f>
        <v>Gwangju</v>
      </c>
      <c r="C77" s="72">
        <v>34018</v>
      </c>
      <c r="D77" s="73" t="str">
        <f>IFERROR(VLOOKUP(C77,[10]Sheet2!$C$1:$F$1223,3,0),"")</f>
        <v>변재영</v>
      </c>
      <c r="E77" s="73" t="str">
        <f>IFERROR(VLOOKUP(C77,[10]Sheet2!$C$1:$F$1223,4,0),"")</f>
        <v>전북종합주류</v>
      </c>
      <c r="F77" s="74" t="s">
        <v>3413</v>
      </c>
      <c r="G77" s="72"/>
      <c r="H77" s="75" t="s">
        <v>3571</v>
      </c>
      <c r="I77" s="75" t="s">
        <v>3247</v>
      </c>
      <c r="J77" s="76" t="s">
        <v>3572</v>
      </c>
      <c r="K77" s="77"/>
      <c r="L77" s="75"/>
      <c r="M77" s="75"/>
      <c r="N77" s="75"/>
      <c r="O77" s="75">
        <v>7</v>
      </c>
      <c r="P77" s="75">
        <v>6</v>
      </c>
      <c r="Q77" s="75">
        <v>5</v>
      </c>
      <c r="R77" s="75">
        <v>9</v>
      </c>
      <c r="S77" s="75"/>
      <c r="T77" s="75"/>
      <c r="U77" s="75"/>
      <c r="V77" s="78"/>
      <c r="W77" s="44"/>
      <c r="X77" s="77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8"/>
    </row>
    <row r="78" spans="1:35">
      <c r="A78" s="44"/>
      <c r="B78" s="71" t="str">
        <f>IFERROR(VLOOKUP(C78,[10]Sheet2!$C$3:$F$1223,2,0),"")</f>
        <v>Gwangju</v>
      </c>
      <c r="C78" s="72">
        <v>34018</v>
      </c>
      <c r="D78" s="73" t="str">
        <f>IFERROR(VLOOKUP(C78,[10]Sheet2!$C$1:$F$1223,3,0),"")</f>
        <v>변재영</v>
      </c>
      <c r="E78" s="73" t="str">
        <f>IFERROR(VLOOKUP(C78,[10]Sheet2!$C$1:$F$1223,4,0),"")</f>
        <v>전북종합주류</v>
      </c>
      <c r="F78" s="74" t="s">
        <v>3414</v>
      </c>
      <c r="G78" s="72"/>
      <c r="H78" s="75" t="s">
        <v>3510</v>
      </c>
      <c r="I78" s="75" t="s">
        <v>3169</v>
      </c>
      <c r="J78" s="76" t="s">
        <v>3573</v>
      </c>
      <c r="K78" s="77"/>
      <c r="L78" s="75"/>
      <c r="M78" s="75"/>
      <c r="N78" s="75"/>
      <c r="O78" s="75">
        <v>5</v>
      </c>
      <c r="P78" s="75">
        <v>4</v>
      </c>
      <c r="Q78" s="75"/>
      <c r="R78" s="75">
        <v>3</v>
      </c>
      <c r="S78" s="75">
        <v>4</v>
      </c>
      <c r="T78" s="75">
        <v>3</v>
      </c>
      <c r="U78" s="75">
        <v>1</v>
      </c>
      <c r="V78" s="78">
        <v>2</v>
      </c>
      <c r="W78" s="44"/>
      <c r="X78" s="77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8"/>
    </row>
    <row r="79" spans="1:35">
      <c r="A79" s="44"/>
      <c r="B79" s="71" t="str">
        <f>IFERROR(VLOOKUP(C79,[10]Sheet2!$C$3:$F$1223,2,0),"")</f>
        <v>Gwangju</v>
      </c>
      <c r="C79" s="72">
        <v>34018</v>
      </c>
      <c r="D79" s="73" t="str">
        <f>IFERROR(VLOOKUP(C79,[10]Sheet2!$C$1:$F$1223,3,0),"")</f>
        <v>변재영</v>
      </c>
      <c r="E79" s="73" t="str">
        <f>IFERROR(VLOOKUP(C79,[10]Sheet2!$C$1:$F$1223,4,0),"")</f>
        <v>전북종합주류</v>
      </c>
      <c r="F79" s="74" t="s">
        <v>3415</v>
      </c>
      <c r="G79" s="72"/>
      <c r="H79" s="75" t="s">
        <v>3510</v>
      </c>
      <c r="I79" s="75" t="s">
        <v>119</v>
      </c>
      <c r="J79" s="76" t="s">
        <v>3574</v>
      </c>
      <c r="K79" s="77"/>
      <c r="L79" s="75"/>
      <c r="M79" s="75"/>
      <c r="N79" s="75"/>
      <c r="O79" s="75">
        <v>2</v>
      </c>
      <c r="P79" s="75">
        <v>3</v>
      </c>
      <c r="Q79" s="75">
        <v>5</v>
      </c>
      <c r="R79" s="75">
        <v>2</v>
      </c>
      <c r="S79" s="75">
        <v>2</v>
      </c>
      <c r="T79" s="75">
        <v>5</v>
      </c>
      <c r="U79" s="75">
        <v>5</v>
      </c>
      <c r="V79" s="78">
        <v>2</v>
      </c>
      <c r="W79" s="44"/>
      <c r="X79" s="77">
        <v>3</v>
      </c>
      <c r="Y79" s="75">
        <v>4</v>
      </c>
      <c r="Z79" s="75"/>
      <c r="AA79" s="75"/>
      <c r="AB79" s="75"/>
      <c r="AC79" s="75"/>
      <c r="AD79" s="75"/>
      <c r="AE79" s="75"/>
      <c r="AF79" s="75"/>
      <c r="AG79" s="75"/>
      <c r="AH79" s="75"/>
      <c r="AI79" s="78"/>
    </row>
    <row r="80" spans="1:35">
      <c r="A80" s="44"/>
      <c r="B80" s="71" t="str">
        <f>IFERROR(VLOOKUP(C80,[10]Sheet2!$C$3:$F$1223,2,0),"")</f>
        <v>Gwangju</v>
      </c>
      <c r="C80" s="72">
        <v>33923</v>
      </c>
      <c r="D80" s="73" t="str">
        <f>IFERROR(VLOOKUP(C80,[10]Sheet2!$C$1:$F$1223,3,0),"")</f>
        <v>변재영</v>
      </c>
      <c r="E80" s="73" t="str">
        <f>IFERROR(VLOOKUP(C80,[10]Sheet2!$C$1:$F$1223,4,0),"")</f>
        <v>소천주류전남</v>
      </c>
      <c r="F80" s="74" t="s">
        <v>3416</v>
      </c>
      <c r="G80" s="72" t="s">
        <v>3483</v>
      </c>
      <c r="H80" s="75" t="s">
        <v>3481</v>
      </c>
      <c r="I80" s="75" t="s">
        <v>921</v>
      </c>
      <c r="J80" s="76" t="s">
        <v>3575</v>
      </c>
      <c r="K80" s="77"/>
      <c r="L80" s="75"/>
      <c r="M80" s="75"/>
      <c r="N80" s="75"/>
      <c r="O80" s="75"/>
      <c r="P80" s="75">
        <v>2</v>
      </c>
      <c r="Q80" s="75"/>
      <c r="R80" s="75"/>
      <c r="S80" s="75"/>
      <c r="T80" s="75"/>
      <c r="U80" s="75"/>
      <c r="V80" s="78"/>
      <c r="W80" s="44"/>
      <c r="X80" s="77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8"/>
    </row>
    <row r="81" spans="1:35">
      <c r="A81" s="44"/>
      <c r="B81" s="71" t="str">
        <f>IFERROR(VLOOKUP(C81,[10]Sheet2!$C$3:$F$1223,2,0),"")</f>
        <v>Gwangju</v>
      </c>
      <c r="C81" s="72">
        <v>83875</v>
      </c>
      <c r="D81" s="73" t="str">
        <f>IFERROR(VLOOKUP(C81,[10]Sheet2!$C$1:$F$1223,3,0),"")</f>
        <v>변재영</v>
      </c>
      <c r="E81" s="73" t="str">
        <f>IFERROR(VLOOKUP(C81,[10]Sheet2!$C$1:$F$1223,4,0),"")</f>
        <v>일신중국주류</v>
      </c>
      <c r="F81" s="74" t="s">
        <v>3417</v>
      </c>
      <c r="G81" s="72" t="s">
        <v>3686</v>
      </c>
      <c r="H81" s="75" t="s">
        <v>3490</v>
      </c>
      <c r="I81" s="75" t="s">
        <v>3491</v>
      </c>
      <c r="J81" s="76" t="s">
        <v>3576</v>
      </c>
      <c r="K81" s="77"/>
      <c r="L81" s="75"/>
      <c r="M81" s="75"/>
      <c r="N81" s="75"/>
      <c r="O81" s="75"/>
      <c r="P81" s="75">
        <v>9</v>
      </c>
      <c r="Q81" s="75"/>
      <c r="R81" s="75"/>
      <c r="S81" s="75">
        <v>10</v>
      </c>
      <c r="T81" s="75"/>
      <c r="U81" s="75"/>
      <c r="V81" s="78">
        <v>5</v>
      </c>
      <c r="W81" s="44"/>
      <c r="X81" s="77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8"/>
    </row>
    <row r="82" spans="1:35">
      <c r="A82" s="44"/>
      <c r="B82" s="71" t="str">
        <f>IFERROR(VLOOKUP(C82,[10]Sheet2!$C$3:$F$1223,2,0),"")</f>
        <v>Gwangju</v>
      </c>
      <c r="C82" s="72">
        <v>83875</v>
      </c>
      <c r="D82" s="73" t="str">
        <f>IFERROR(VLOOKUP(C82,[10]Sheet2!$C$1:$F$1223,3,0),"")</f>
        <v>변재영</v>
      </c>
      <c r="E82" s="73" t="str">
        <f>IFERROR(VLOOKUP(C82,[10]Sheet2!$C$1:$F$1223,4,0),"")</f>
        <v>일신중국주류</v>
      </c>
      <c r="F82" s="74" t="s">
        <v>3418</v>
      </c>
      <c r="G82" s="72" t="s">
        <v>3686</v>
      </c>
      <c r="H82" s="75" t="s">
        <v>3490</v>
      </c>
      <c r="I82" s="75" t="s">
        <v>3491</v>
      </c>
      <c r="J82" s="76" t="s">
        <v>3577</v>
      </c>
      <c r="K82" s="77"/>
      <c r="L82" s="75"/>
      <c r="M82" s="75"/>
      <c r="N82" s="75"/>
      <c r="O82" s="75"/>
      <c r="P82" s="75">
        <v>2</v>
      </c>
      <c r="Q82" s="75"/>
      <c r="R82" s="75">
        <v>2</v>
      </c>
      <c r="S82" s="75"/>
      <c r="T82" s="75"/>
      <c r="U82" s="75"/>
      <c r="V82" s="78"/>
      <c r="W82" s="44"/>
      <c r="X82" s="77"/>
      <c r="Y82" s="75">
        <v>2</v>
      </c>
      <c r="Z82" s="75"/>
      <c r="AA82" s="75"/>
      <c r="AB82" s="75"/>
      <c r="AC82" s="75"/>
      <c r="AD82" s="75"/>
      <c r="AE82" s="75"/>
      <c r="AF82" s="75"/>
      <c r="AG82" s="75"/>
      <c r="AH82" s="75"/>
      <c r="AI82" s="78"/>
    </row>
    <row r="83" spans="1:35">
      <c r="A83" s="44"/>
      <c r="B83" s="71" t="str">
        <f>IFERROR(VLOOKUP(C83,[10]Sheet2!$C$3:$F$1223,2,0),"")</f>
        <v>Gwangju</v>
      </c>
      <c r="C83" s="72">
        <v>83875</v>
      </c>
      <c r="D83" s="73" t="str">
        <f>IFERROR(VLOOKUP(C83,[10]Sheet2!$C$1:$F$1223,3,0),"")</f>
        <v>변재영</v>
      </c>
      <c r="E83" s="73" t="str">
        <f>IFERROR(VLOOKUP(C83,[10]Sheet2!$C$1:$F$1223,4,0),"")</f>
        <v>일신중국주류</v>
      </c>
      <c r="F83" s="74" t="s">
        <v>3419</v>
      </c>
      <c r="G83" s="72" t="s">
        <v>3686</v>
      </c>
      <c r="H83" s="75" t="s">
        <v>3499</v>
      </c>
      <c r="I83" s="75" t="s">
        <v>3547</v>
      </c>
      <c r="J83" s="76" t="s">
        <v>3578</v>
      </c>
      <c r="K83" s="77"/>
      <c r="L83" s="75"/>
      <c r="M83" s="75"/>
      <c r="N83" s="75"/>
      <c r="O83" s="75"/>
      <c r="P83" s="75">
        <v>2</v>
      </c>
      <c r="Q83" s="75"/>
      <c r="R83" s="75"/>
      <c r="S83" s="75"/>
      <c r="T83" s="75"/>
      <c r="U83" s="75"/>
      <c r="V83" s="78"/>
      <c r="W83" s="44"/>
      <c r="X83" s="77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8"/>
    </row>
    <row r="84" spans="1:35">
      <c r="A84" s="44"/>
      <c r="B84" s="71" t="str">
        <f>IFERROR(VLOOKUP(C84,[10]Sheet2!$C$3:$F$1223,2,0),"")</f>
        <v>Gwangju</v>
      </c>
      <c r="C84" s="72">
        <v>33912</v>
      </c>
      <c r="D84" s="73" t="str">
        <f>IFERROR(VLOOKUP(C84,[10]Sheet2!$C$1:$F$1223,3,0),"")</f>
        <v>변재영</v>
      </c>
      <c r="E84" s="73" t="str">
        <f>IFERROR(VLOOKUP(C84,[10]Sheet2!$C$1:$F$1223,4,0),"")</f>
        <v>아시아주류상</v>
      </c>
      <c r="F84" s="74" t="s">
        <v>3420</v>
      </c>
      <c r="G84" s="72" t="s">
        <v>3483</v>
      </c>
      <c r="H84" s="75" t="s">
        <v>3481</v>
      </c>
      <c r="I84" s="75" t="s">
        <v>132</v>
      </c>
      <c r="J84" s="76" t="s">
        <v>3579</v>
      </c>
      <c r="K84" s="77"/>
      <c r="L84" s="75"/>
      <c r="M84" s="75"/>
      <c r="N84" s="75"/>
      <c r="O84" s="75"/>
      <c r="P84" s="75">
        <v>1</v>
      </c>
      <c r="Q84" s="75"/>
      <c r="R84" s="75"/>
      <c r="S84" s="75"/>
      <c r="T84" s="75"/>
      <c r="U84" s="75"/>
      <c r="V84" s="78"/>
      <c r="W84" s="44"/>
      <c r="X84" s="77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8"/>
    </row>
    <row r="85" spans="1:35">
      <c r="A85" s="44"/>
      <c r="B85" s="71" t="str">
        <f>IFERROR(VLOOKUP(C85,[10]Sheet2!$C$3:$F$1223,2,0),"")</f>
        <v>Gwangju</v>
      </c>
      <c r="C85" s="72">
        <v>83875</v>
      </c>
      <c r="D85" s="73" t="str">
        <f>IFERROR(VLOOKUP(C85,[10]Sheet2!$C$1:$F$1223,3,0),"")</f>
        <v>변재영</v>
      </c>
      <c r="E85" s="73" t="str">
        <f>IFERROR(VLOOKUP(C85,[10]Sheet2!$C$1:$F$1223,4,0),"")</f>
        <v>일신중국주류</v>
      </c>
      <c r="F85" s="74" t="s">
        <v>3421</v>
      </c>
      <c r="G85" s="72" t="s">
        <v>3483</v>
      </c>
      <c r="H85" s="75" t="s">
        <v>3481</v>
      </c>
      <c r="I85" s="75" t="s">
        <v>921</v>
      </c>
      <c r="J85" s="76" t="s">
        <v>3580</v>
      </c>
      <c r="K85" s="77"/>
      <c r="L85" s="75"/>
      <c r="M85" s="75"/>
      <c r="N85" s="75"/>
      <c r="O85" s="75"/>
      <c r="P85" s="75">
        <v>10</v>
      </c>
      <c r="Q85" s="75">
        <v>10</v>
      </c>
      <c r="R85" s="75"/>
      <c r="S85" s="75">
        <v>10</v>
      </c>
      <c r="T85" s="75"/>
      <c r="U85" s="75"/>
      <c r="V85" s="78">
        <v>3</v>
      </c>
      <c r="W85" s="44"/>
      <c r="X85" s="77">
        <v>3</v>
      </c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8"/>
    </row>
    <row r="86" spans="1:35">
      <c r="A86" s="44"/>
      <c r="B86" s="71" t="str">
        <f>IFERROR(VLOOKUP(C86,[10]Sheet2!$C$3:$F$1223,2,0),"")</f>
        <v>Gwangju</v>
      </c>
      <c r="C86" s="72">
        <v>83875</v>
      </c>
      <c r="D86" s="73" t="str">
        <f>IFERROR(VLOOKUP(C86,[10]Sheet2!$C$1:$F$1223,3,0),"")</f>
        <v>변재영</v>
      </c>
      <c r="E86" s="73" t="str">
        <f>IFERROR(VLOOKUP(C86,[10]Sheet2!$C$1:$F$1223,4,0),"")</f>
        <v>일신중국주류</v>
      </c>
      <c r="F86" s="74" t="s">
        <v>3422</v>
      </c>
      <c r="G86" s="72" t="s">
        <v>3686</v>
      </c>
      <c r="H86" s="75" t="s">
        <v>3499</v>
      </c>
      <c r="I86" s="75" t="s">
        <v>3502</v>
      </c>
      <c r="J86" s="76" t="s">
        <v>3581</v>
      </c>
      <c r="K86" s="77"/>
      <c r="L86" s="75"/>
      <c r="M86" s="75"/>
      <c r="N86" s="75"/>
      <c r="O86" s="75"/>
      <c r="P86" s="75">
        <v>5</v>
      </c>
      <c r="Q86" s="75">
        <v>5</v>
      </c>
      <c r="R86" s="75"/>
      <c r="S86" s="75"/>
      <c r="T86" s="75">
        <v>3</v>
      </c>
      <c r="U86" s="75"/>
      <c r="V86" s="78"/>
      <c r="W86" s="44"/>
      <c r="X86" s="77">
        <v>3</v>
      </c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8"/>
    </row>
    <row r="87" spans="1:35">
      <c r="A87" s="44"/>
      <c r="B87" s="71" t="str">
        <f>IFERROR(VLOOKUP(C87,[10]Sheet2!$C$3:$F$1223,2,0),"")</f>
        <v>Gwangju</v>
      </c>
      <c r="C87" s="72">
        <v>33950</v>
      </c>
      <c r="D87" s="73" t="str">
        <f>IFERROR(VLOOKUP(C87,[10]Sheet2!$C$1:$F$1223,3,0),"")</f>
        <v>변재영</v>
      </c>
      <c r="E87" s="73" t="str">
        <f>IFERROR(VLOOKUP(C87,[10]Sheet2!$C$1:$F$1223,4,0),"")</f>
        <v>호남상사광주</v>
      </c>
      <c r="F87" s="74" t="s">
        <v>3423</v>
      </c>
      <c r="G87" s="72" t="s">
        <v>3483</v>
      </c>
      <c r="H87" s="75" t="s">
        <v>3481</v>
      </c>
      <c r="I87" s="75" t="s">
        <v>132</v>
      </c>
      <c r="J87" s="76" t="s">
        <v>3582</v>
      </c>
      <c r="K87" s="77"/>
      <c r="L87" s="75"/>
      <c r="M87" s="75"/>
      <c r="N87" s="75"/>
      <c r="O87" s="75"/>
      <c r="P87" s="75">
        <v>1</v>
      </c>
      <c r="Q87" s="75">
        <v>2</v>
      </c>
      <c r="R87" s="75"/>
      <c r="S87" s="75"/>
      <c r="T87" s="75"/>
      <c r="U87" s="75"/>
      <c r="V87" s="78"/>
      <c r="W87" s="44"/>
      <c r="X87" s="77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8"/>
    </row>
    <row r="88" spans="1:35">
      <c r="A88" s="44"/>
      <c r="B88" s="71" t="str">
        <f>IFERROR(VLOOKUP(C88,[10]Sheet2!$C$3:$F$1223,2,0),"")</f>
        <v>Gwangju</v>
      </c>
      <c r="C88" s="72">
        <v>33987</v>
      </c>
      <c r="D88" s="73" t="str">
        <f>IFERROR(VLOOKUP(C88,[10]Sheet2!$C$1:$F$1223,3,0),"")</f>
        <v>변재영</v>
      </c>
      <c r="E88" s="73" t="str">
        <f>IFERROR(VLOOKUP(C88,[10]Sheet2!$C$1:$F$1223,4,0),"")</f>
        <v>전주호남주류</v>
      </c>
      <c r="F88" s="74" t="s">
        <v>3424</v>
      </c>
      <c r="G88" s="72" t="s">
        <v>3686</v>
      </c>
      <c r="H88" s="75" t="s">
        <v>3499</v>
      </c>
      <c r="I88" s="75" t="s">
        <v>3583</v>
      </c>
      <c r="J88" s="76" t="s">
        <v>3584</v>
      </c>
      <c r="K88" s="77"/>
      <c r="L88" s="75"/>
      <c r="M88" s="75"/>
      <c r="N88" s="75"/>
      <c r="O88" s="75"/>
      <c r="P88" s="75">
        <v>1</v>
      </c>
      <c r="Q88" s="75"/>
      <c r="R88" s="75">
        <v>1</v>
      </c>
      <c r="S88" s="75">
        <v>1</v>
      </c>
      <c r="T88" s="75"/>
      <c r="U88" s="75"/>
      <c r="V88" s="78"/>
      <c r="W88" s="44"/>
      <c r="X88" s="77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8"/>
    </row>
    <row r="89" spans="1:35">
      <c r="A89" s="44"/>
      <c r="B89" s="71" t="str">
        <f>IFERROR(VLOOKUP(C89,[10]Sheet2!$C$3:$F$1223,2,0),"")</f>
        <v>Gwangju</v>
      </c>
      <c r="C89" s="72">
        <v>33987</v>
      </c>
      <c r="D89" s="73" t="str">
        <f>IFERROR(VLOOKUP(C89,[10]Sheet2!$C$1:$F$1223,3,0),"")</f>
        <v>변재영</v>
      </c>
      <c r="E89" s="73" t="str">
        <f>IFERROR(VLOOKUP(C89,[10]Sheet2!$C$1:$F$1223,4,0),"")</f>
        <v>전주호남주류</v>
      </c>
      <c r="F89" s="74" t="s">
        <v>3425</v>
      </c>
      <c r="G89" s="72" t="s">
        <v>3483</v>
      </c>
      <c r="H89" s="75" t="s">
        <v>3490</v>
      </c>
      <c r="I89" s="75" t="s">
        <v>3496</v>
      </c>
      <c r="J89" s="76" t="s">
        <v>3585</v>
      </c>
      <c r="K89" s="77"/>
      <c r="L89" s="75"/>
      <c r="M89" s="75"/>
      <c r="N89" s="75"/>
      <c r="O89" s="75"/>
      <c r="P89" s="75">
        <v>1</v>
      </c>
      <c r="Q89" s="75"/>
      <c r="R89" s="75"/>
      <c r="S89" s="75"/>
      <c r="T89" s="75"/>
      <c r="U89" s="75"/>
      <c r="V89" s="78"/>
      <c r="W89" s="44"/>
      <c r="X89" s="77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8"/>
    </row>
    <row r="90" spans="1:35">
      <c r="A90" s="44"/>
      <c r="B90" s="71" t="str">
        <f>IFERROR(VLOOKUP(C90,[10]Sheet2!$C$3:$F$1223,2,0),"")</f>
        <v>Gwangju</v>
      </c>
      <c r="C90" s="72">
        <v>83875</v>
      </c>
      <c r="D90" s="73" t="str">
        <f>IFERROR(VLOOKUP(C90,[10]Sheet2!$C$1:$F$1223,3,0),"")</f>
        <v>변재영</v>
      </c>
      <c r="E90" s="73" t="str">
        <f>IFERROR(VLOOKUP(C90,[10]Sheet2!$C$1:$F$1223,4,0),"")</f>
        <v>일신중국주류</v>
      </c>
      <c r="F90" s="74" t="s">
        <v>3426</v>
      </c>
      <c r="G90" s="72" t="s">
        <v>3483</v>
      </c>
      <c r="H90" s="75" t="s">
        <v>3490</v>
      </c>
      <c r="I90" s="75" t="s">
        <v>3496</v>
      </c>
      <c r="J90" s="76" t="s">
        <v>3586</v>
      </c>
      <c r="K90" s="77"/>
      <c r="L90" s="75"/>
      <c r="M90" s="75"/>
      <c r="N90" s="75"/>
      <c r="O90" s="75"/>
      <c r="P90" s="75">
        <v>2</v>
      </c>
      <c r="Q90" s="75">
        <v>1</v>
      </c>
      <c r="R90" s="75">
        <v>6</v>
      </c>
      <c r="S90" s="75"/>
      <c r="T90" s="75"/>
      <c r="U90" s="75"/>
      <c r="V90" s="78"/>
      <c r="W90" s="44"/>
      <c r="X90" s="77"/>
      <c r="Y90" s="75">
        <v>2</v>
      </c>
      <c r="Z90" s="75"/>
      <c r="AA90" s="75"/>
      <c r="AB90" s="75"/>
      <c r="AC90" s="75"/>
      <c r="AD90" s="75"/>
      <c r="AE90" s="75"/>
      <c r="AF90" s="75"/>
      <c r="AG90" s="75"/>
      <c r="AH90" s="75"/>
      <c r="AI90" s="78"/>
    </row>
    <row r="91" spans="1:35">
      <c r="A91" s="44"/>
      <c r="B91" s="71" t="str">
        <f>IFERROR(VLOOKUP(C91,[10]Sheet2!$C$3:$F$1223,2,0),"")</f>
        <v>Gwangju</v>
      </c>
      <c r="C91" s="72">
        <v>83875</v>
      </c>
      <c r="D91" s="73" t="str">
        <f>IFERROR(VLOOKUP(C91,[10]Sheet2!$C$1:$F$1223,3,0),"")</f>
        <v>변재영</v>
      </c>
      <c r="E91" s="73" t="str">
        <f>IFERROR(VLOOKUP(C91,[10]Sheet2!$C$1:$F$1223,4,0),"")</f>
        <v>일신중국주류</v>
      </c>
      <c r="F91" s="74" t="s">
        <v>3427</v>
      </c>
      <c r="G91" s="72" t="s">
        <v>3686</v>
      </c>
      <c r="H91" s="75" t="s">
        <v>3499</v>
      </c>
      <c r="I91" s="75" t="s">
        <v>3502</v>
      </c>
      <c r="J91" s="76" t="s">
        <v>3587</v>
      </c>
      <c r="K91" s="77"/>
      <c r="L91" s="75"/>
      <c r="M91" s="75"/>
      <c r="N91" s="75"/>
      <c r="O91" s="75"/>
      <c r="P91" s="75">
        <v>2</v>
      </c>
      <c r="Q91" s="75"/>
      <c r="R91" s="75"/>
      <c r="S91" s="75"/>
      <c r="T91" s="75"/>
      <c r="U91" s="75"/>
      <c r="V91" s="78"/>
      <c r="W91" s="44"/>
      <c r="X91" s="77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8"/>
    </row>
    <row r="92" spans="1:35">
      <c r="A92" s="44"/>
      <c r="B92" s="71" t="str">
        <f>IFERROR(VLOOKUP(C92,[10]Sheet2!$C$3:$F$1223,2,0),"")</f>
        <v>Gwangju</v>
      </c>
      <c r="C92" s="72">
        <v>83875</v>
      </c>
      <c r="D92" s="73" t="str">
        <f>IFERROR(VLOOKUP(C92,[10]Sheet2!$C$1:$F$1223,3,0),"")</f>
        <v>변재영</v>
      </c>
      <c r="E92" s="73" t="str">
        <f>IFERROR(VLOOKUP(C92,[10]Sheet2!$C$1:$F$1223,4,0),"")</f>
        <v>일신중국주류</v>
      </c>
      <c r="F92" s="74" t="s">
        <v>3428</v>
      </c>
      <c r="G92" s="72" t="s">
        <v>3686</v>
      </c>
      <c r="H92" s="75" t="s">
        <v>3490</v>
      </c>
      <c r="I92" s="75" t="s">
        <v>3549</v>
      </c>
      <c r="J92" s="76" t="s">
        <v>3588</v>
      </c>
      <c r="K92" s="77"/>
      <c r="L92" s="75"/>
      <c r="M92" s="75"/>
      <c r="N92" s="75"/>
      <c r="O92" s="75"/>
      <c r="P92" s="75">
        <v>5</v>
      </c>
      <c r="Q92" s="75"/>
      <c r="R92" s="75"/>
      <c r="S92" s="75">
        <v>20</v>
      </c>
      <c r="T92" s="75"/>
      <c r="U92" s="75"/>
      <c r="V92" s="78"/>
      <c r="W92" s="44"/>
      <c r="X92" s="77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8"/>
    </row>
    <row r="93" spans="1:35">
      <c r="A93" s="44"/>
      <c r="B93" s="71" t="str">
        <f>IFERROR(VLOOKUP(C93,[10]Sheet2!$C$3:$F$1223,2,0),"")</f>
        <v>Gwangju</v>
      </c>
      <c r="C93" s="72">
        <v>83875</v>
      </c>
      <c r="D93" s="73" t="str">
        <f>IFERROR(VLOOKUP(C93,[10]Sheet2!$C$1:$F$1223,3,0),"")</f>
        <v>변재영</v>
      </c>
      <c r="E93" s="73" t="str">
        <f>IFERROR(VLOOKUP(C93,[10]Sheet2!$C$1:$F$1223,4,0),"")</f>
        <v>일신중국주류</v>
      </c>
      <c r="F93" s="74" t="s">
        <v>3429</v>
      </c>
      <c r="G93" s="72" t="s">
        <v>3483</v>
      </c>
      <c r="H93" s="75" t="s">
        <v>3490</v>
      </c>
      <c r="I93" s="75" t="s">
        <v>3496</v>
      </c>
      <c r="J93" s="76" t="s">
        <v>3589</v>
      </c>
      <c r="K93" s="77"/>
      <c r="L93" s="75"/>
      <c r="M93" s="75"/>
      <c r="N93" s="75"/>
      <c r="O93" s="75"/>
      <c r="P93" s="75">
        <v>5</v>
      </c>
      <c r="Q93" s="75"/>
      <c r="R93" s="75"/>
      <c r="S93" s="75"/>
      <c r="T93" s="75"/>
      <c r="U93" s="75"/>
      <c r="V93" s="78"/>
      <c r="W93" s="44"/>
      <c r="X93" s="77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8"/>
    </row>
    <row r="94" spans="1:35">
      <c r="A94" s="44"/>
      <c r="B94" s="71" t="str">
        <f>IFERROR(VLOOKUP(C94,[10]Sheet2!$C$3:$F$1223,2,0),"")</f>
        <v>Gwangju</v>
      </c>
      <c r="C94" s="72">
        <v>83875</v>
      </c>
      <c r="D94" s="73" t="str">
        <f>IFERROR(VLOOKUP(C94,[10]Sheet2!$C$1:$F$1223,3,0),"")</f>
        <v>변재영</v>
      </c>
      <c r="E94" s="73" t="str">
        <f>IFERROR(VLOOKUP(C94,[10]Sheet2!$C$1:$F$1223,4,0),"")</f>
        <v>일신중국주류</v>
      </c>
      <c r="F94" s="74" t="s">
        <v>3430</v>
      </c>
      <c r="G94" s="72" t="s">
        <v>3686</v>
      </c>
      <c r="H94" s="75" t="s">
        <v>3490</v>
      </c>
      <c r="I94" s="75" t="s">
        <v>3491</v>
      </c>
      <c r="J94" s="76" t="s">
        <v>3590</v>
      </c>
      <c r="K94" s="77"/>
      <c r="L94" s="75"/>
      <c r="M94" s="75"/>
      <c r="N94" s="75"/>
      <c r="O94" s="75"/>
      <c r="P94" s="75">
        <v>1</v>
      </c>
      <c r="Q94" s="75">
        <v>1</v>
      </c>
      <c r="R94" s="75"/>
      <c r="S94" s="75"/>
      <c r="T94" s="75"/>
      <c r="U94" s="75"/>
      <c r="V94" s="78"/>
      <c r="W94" s="44"/>
      <c r="X94" s="77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8"/>
    </row>
    <row r="95" spans="1:35">
      <c r="A95" s="44"/>
      <c r="B95" s="71" t="str">
        <f>IFERROR(VLOOKUP(C95,[10]Sheet2!$C$3:$F$1223,2,0),"")</f>
        <v>Gwangju</v>
      </c>
      <c r="C95" s="72">
        <v>83875</v>
      </c>
      <c r="D95" s="73" t="str">
        <f>IFERROR(VLOOKUP(C95,[10]Sheet2!$C$1:$F$1223,3,0),"")</f>
        <v>변재영</v>
      </c>
      <c r="E95" s="73" t="str">
        <f>IFERROR(VLOOKUP(C95,[10]Sheet2!$C$1:$F$1223,4,0),"")</f>
        <v>일신중국주류</v>
      </c>
      <c r="F95" s="74" t="s">
        <v>3431</v>
      </c>
      <c r="G95" s="72" t="s">
        <v>3483</v>
      </c>
      <c r="H95" s="75" t="s">
        <v>3481</v>
      </c>
      <c r="I95" s="75" t="s">
        <v>2507</v>
      </c>
      <c r="J95" s="76" t="s">
        <v>3591</v>
      </c>
      <c r="K95" s="77"/>
      <c r="L95" s="75"/>
      <c r="M95" s="75"/>
      <c r="N95" s="75"/>
      <c r="O95" s="75"/>
      <c r="P95" s="75">
        <v>4</v>
      </c>
      <c r="Q95" s="75">
        <v>2</v>
      </c>
      <c r="R95" s="75"/>
      <c r="S95" s="75"/>
      <c r="T95" s="75"/>
      <c r="U95" s="75"/>
      <c r="V95" s="78"/>
      <c r="W95" s="44"/>
      <c r="X95" s="77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8"/>
    </row>
    <row r="96" spans="1:35">
      <c r="A96" s="44"/>
      <c r="B96" s="71" t="str">
        <f>IFERROR(VLOOKUP(C96,[10]Sheet2!$C$3:$F$1223,2,0),"")</f>
        <v>Gwangju</v>
      </c>
      <c r="C96" s="72">
        <v>83875</v>
      </c>
      <c r="D96" s="73" t="str">
        <f>IFERROR(VLOOKUP(C96,[10]Sheet2!$C$1:$F$1223,3,0),"")</f>
        <v>변재영</v>
      </c>
      <c r="E96" s="73" t="str">
        <f>IFERROR(VLOOKUP(C96,[10]Sheet2!$C$1:$F$1223,4,0),"")</f>
        <v>일신중국주류</v>
      </c>
      <c r="F96" s="74" t="s">
        <v>3432</v>
      </c>
      <c r="G96" s="72" t="s">
        <v>3686</v>
      </c>
      <c r="H96" s="75" t="s">
        <v>3490</v>
      </c>
      <c r="I96" s="75" t="s">
        <v>3491</v>
      </c>
      <c r="J96" s="76" t="s">
        <v>3592</v>
      </c>
      <c r="K96" s="77"/>
      <c r="L96" s="75"/>
      <c r="M96" s="75"/>
      <c r="N96" s="75"/>
      <c r="O96" s="75"/>
      <c r="P96" s="75">
        <v>5</v>
      </c>
      <c r="Q96" s="75"/>
      <c r="R96" s="75"/>
      <c r="S96" s="75"/>
      <c r="T96" s="75"/>
      <c r="U96" s="75"/>
      <c r="V96" s="78"/>
      <c r="W96" s="44"/>
      <c r="X96" s="77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8"/>
    </row>
    <row r="97" spans="1:35">
      <c r="A97" s="44"/>
      <c r="B97" s="71" t="str">
        <f>IFERROR(VLOOKUP(C97,[10]Sheet2!$C$3:$F$1223,2,0),"")</f>
        <v>Gwangju</v>
      </c>
      <c r="C97" s="72">
        <v>83875</v>
      </c>
      <c r="D97" s="73" t="str">
        <f>IFERROR(VLOOKUP(C97,[10]Sheet2!$C$1:$F$1223,3,0),"")</f>
        <v>변재영</v>
      </c>
      <c r="E97" s="73" t="str">
        <f>IFERROR(VLOOKUP(C97,[10]Sheet2!$C$1:$F$1223,4,0),"")</f>
        <v>일신중국주류</v>
      </c>
      <c r="F97" s="74" t="s">
        <v>3433</v>
      </c>
      <c r="G97" s="72" t="s">
        <v>3686</v>
      </c>
      <c r="H97" s="75" t="s">
        <v>3499</v>
      </c>
      <c r="I97" s="75" t="s">
        <v>3583</v>
      </c>
      <c r="J97" s="76" t="s">
        <v>3593</v>
      </c>
      <c r="K97" s="77"/>
      <c r="L97" s="75"/>
      <c r="M97" s="75"/>
      <c r="N97" s="75"/>
      <c r="O97" s="75"/>
      <c r="P97" s="75">
        <v>5</v>
      </c>
      <c r="Q97" s="75"/>
      <c r="R97" s="75">
        <v>3</v>
      </c>
      <c r="S97" s="75">
        <v>5</v>
      </c>
      <c r="T97" s="75"/>
      <c r="U97" s="75"/>
      <c r="V97" s="78"/>
      <c r="W97" s="44"/>
      <c r="X97" s="77">
        <v>2</v>
      </c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8"/>
    </row>
    <row r="98" spans="1:35">
      <c r="A98" s="44"/>
      <c r="B98" s="71" t="str">
        <f>IFERROR(VLOOKUP(C98,[10]Sheet2!$C$3:$F$1223,2,0),"")</f>
        <v>Gwangju</v>
      </c>
      <c r="C98" s="72">
        <v>33898</v>
      </c>
      <c r="D98" s="73" t="str">
        <f>IFERROR(VLOOKUP(C98,[10]Sheet2!$C$1:$F$1223,3,0),"")</f>
        <v>변재영</v>
      </c>
      <c r="E98" s="73" t="str">
        <f>IFERROR(VLOOKUP(C98,[10]Sheet2!$C$1:$F$1223,4,0),"")</f>
        <v>대한상사전남</v>
      </c>
      <c r="F98" s="74" t="s">
        <v>3434</v>
      </c>
      <c r="G98" s="72" t="s">
        <v>3686</v>
      </c>
      <c r="H98" s="75" t="s">
        <v>3499</v>
      </c>
      <c r="I98" s="75" t="s">
        <v>3547</v>
      </c>
      <c r="J98" s="76" t="s">
        <v>3594</v>
      </c>
      <c r="K98" s="77"/>
      <c r="L98" s="75"/>
      <c r="M98" s="75"/>
      <c r="N98" s="75"/>
      <c r="O98" s="75"/>
      <c r="P98" s="75"/>
      <c r="Q98" s="75">
        <v>1</v>
      </c>
      <c r="R98" s="75"/>
      <c r="S98" s="75"/>
      <c r="T98" s="75"/>
      <c r="U98" s="75"/>
      <c r="V98" s="78"/>
      <c r="W98" s="44"/>
      <c r="X98" s="77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8"/>
    </row>
    <row r="99" spans="1:35">
      <c r="A99" s="44"/>
      <c r="B99" s="71" t="str">
        <f>IFERROR(VLOOKUP(C99,[10]Sheet2!$C$3:$F$1223,2,0),"")</f>
        <v>Gwangju</v>
      </c>
      <c r="C99" s="72">
        <v>83875</v>
      </c>
      <c r="D99" s="73" t="str">
        <f>IFERROR(VLOOKUP(C99,[10]Sheet2!$C$1:$F$1223,3,0),"")</f>
        <v>변재영</v>
      </c>
      <c r="E99" s="73" t="str">
        <f>IFERROR(VLOOKUP(C99,[10]Sheet2!$C$1:$F$1223,4,0),"")</f>
        <v>일신중국주류</v>
      </c>
      <c r="F99" s="74" t="s">
        <v>3435</v>
      </c>
      <c r="G99" s="72" t="s">
        <v>3686</v>
      </c>
      <c r="H99" s="75" t="s">
        <v>3490</v>
      </c>
      <c r="I99" s="75" t="s">
        <v>3491</v>
      </c>
      <c r="J99" s="76" t="s">
        <v>3595</v>
      </c>
      <c r="K99" s="77"/>
      <c r="L99" s="75"/>
      <c r="M99" s="75"/>
      <c r="N99" s="75"/>
      <c r="O99" s="75"/>
      <c r="P99" s="75"/>
      <c r="Q99" s="75">
        <v>30</v>
      </c>
      <c r="R99" s="75">
        <v>20</v>
      </c>
      <c r="S99" s="75"/>
      <c r="T99" s="75">
        <v>5</v>
      </c>
      <c r="U99" s="75"/>
      <c r="V99" s="78"/>
      <c r="W99" s="44"/>
      <c r="X99" s="77">
        <v>5</v>
      </c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8"/>
    </row>
    <row r="100" spans="1:35">
      <c r="A100" s="44"/>
      <c r="B100" s="71" t="str">
        <f>IFERROR(VLOOKUP(C100,[10]Sheet2!$C$3:$F$1223,2,0),"")</f>
        <v>Gwangju</v>
      </c>
      <c r="C100" s="72">
        <v>83875</v>
      </c>
      <c r="D100" s="73" t="str">
        <f>IFERROR(VLOOKUP(C100,[10]Sheet2!$C$1:$F$1223,3,0),"")</f>
        <v>변재영</v>
      </c>
      <c r="E100" s="73" t="str">
        <f>IFERROR(VLOOKUP(C100,[10]Sheet2!$C$1:$F$1223,4,0),"")</f>
        <v>일신중국주류</v>
      </c>
      <c r="F100" s="74" t="s">
        <v>3436</v>
      </c>
      <c r="G100" s="72" t="s">
        <v>3483</v>
      </c>
      <c r="H100" s="75" t="s">
        <v>3490</v>
      </c>
      <c r="I100" s="75" t="s">
        <v>3496</v>
      </c>
      <c r="J100" s="76" t="s">
        <v>3596</v>
      </c>
      <c r="K100" s="77"/>
      <c r="L100" s="75"/>
      <c r="M100" s="75"/>
      <c r="N100" s="75"/>
      <c r="O100" s="75"/>
      <c r="P100" s="75"/>
      <c r="Q100" s="75">
        <v>10</v>
      </c>
      <c r="R100" s="75"/>
      <c r="S100" s="75"/>
      <c r="T100" s="75"/>
      <c r="U100" s="75"/>
      <c r="V100" s="78"/>
      <c r="W100" s="44"/>
      <c r="X100" s="77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8"/>
    </row>
    <row r="101" spans="1:35">
      <c r="A101" s="44"/>
      <c r="B101" s="71" t="str">
        <f>IFERROR(VLOOKUP(C101,[10]Sheet2!$C$3:$F$1223,2,0),"")</f>
        <v>Gwangju</v>
      </c>
      <c r="C101" s="72">
        <v>33952</v>
      </c>
      <c r="D101" s="73" t="str">
        <f>IFERROR(VLOOKUP(C101,[10]Sheet2!$C$1:$F$1223,3,0),"")</f>
        <v>변재영</v>
      </c>
      <c r="E101" s="73" t="str">
        <f>IFERROR(VLOOKUP(C101,[10]Sheet2!$C$1:$F$1223,4,0),"")</f>
        <v>우진주류(주)</v>
      </c>
      <c r="F101" s="74" t="s">
        <v>3437</v>
      </c>
      <c r="G101" s="72" t="s">
        <v>3483</v>
      </c>
      <c r="H101" s="75" t="s">
        <v>3481</v>
      </c>
      <c r="I101" s="75" t="s">
        <v>2507</v>
      </c>
      <c r="J101" s="76" t="s">
        <v>3597</v>
      </c>
      <c r="K101" s="77"/>
      <c r="L101" s="75"/>
      <c r="M101" s="75"/>
      <c r="N101" s="75"/>
      <c r="O101" s="75"/>
      <c r="P101" s="75"/>
      <c r="Q101" s="75">
        <v>10</v>
      </c>
      <c r="R101" s="75"/>
      <c r="S101" s="75"/>
      <c r="T101" s="75"/>
      <c r="U101" s="75"/>
      <c r="V101" s="78"/>
      <c r="W101" s="44"/>
      <c r="X101" s="77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8"/>
    </row>
    <row r="102" spans="1:35">
      <c r="A102" s="44"/>
      <c r="B102" s="71" t="str">
        <f>IFERROR(VLOOKUP(C102,[10]Sheet2!$C$3:$F$1223,2,0),"")</f>
        <v>Gwangju</v>
      </c>
      <c r="C102" s="72">
        <v>33979</v>
      </c>
      <c r="D102" s="73" t="str">
        <f>IFERROR(VLOOKUP(C102,[10]Sheet2!$C$1:$F$1223,3,0),"")</f>
        <v>변재영</v>
      </c>
      <c r="E102" s="73" t="str">
        <f>IFERROR(VLOOKUP(C102,[10]Sheet2!$C$1:$F$1223,4,0),"")</f>
        <v>우리주류합동상사(유)</v>
      </c>
      <c r="F102" s="74" t="s">
        <v>3438</v>
      </c>
      <c r="G102" s="72" t="s">
        <v>3686</v>
      </c>
      <c r="H102" s="75" t="s">
        <v>3481</v>
      </c>
      <c r="I102" s="75" t="s">
        <v>878</v>
      </c>
      <c r="J102" s="76" t="s">
        <v>3598</v>
      </c>
      <c r="K102" s="77"/>
      <c r="L102" s="75"/>
      <c r="M102" s="75"/>
      <c r="N102" s="75"/>
      <c r="O102" s="75"/>
      <c r="P102" s="75"/>
      <c r="Q102" s="75">
        <v>1</v>
      </c>
      <c r="R102" s="75"/>
      <c r="S102" s="75"/>
      <c r="T102" s="75"/>
      <c r="U102" s="75"/>
      <c r="V102" s="78"/>
      <c r="W102" s="44"/>
      <c r="X102" s="77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8"/>
    </row>
    <row r="103" spans="1:35">
      <c r="A103" s="44"/>
      <c r="B103" s="71" t="str">
        <f>IFERROR(VLOOKUP(C103,[10]Sheet2!$C$3:$F$1223,2,0),"")</f>
        <v>Gwangju</v>
      </c>
      <c r="C103" s="72">
        <v>83875</v>
      </c>
      <c r="D103" s="73" t="str">
        <f>IFERROR(VLOOKUP(C103,[10]Sheet2!$C$1:$F$1223,3,0),"")</f>
        <v>변재영</v>
      </c>
      <c r="E103" s="73" t="str">
        <f>IFERROR(VLOOKUP(C103,[10]Sheet2!$C$1:$F$1223,4,0),"")</f>
        <v>일신중국주류</v>
      </c>
      <c r="F103" s="74" t="s">
        <v>3439</v>
      </c>
      <c r="G103" s="72" t="s">
        <v>3483</v>
      </c>
      <c r="H103" s="75" t="s">
        <v>3481</v>
      </c>
      <c r="I103" s="75" t="s">
        <v>921</v>
      </c>
      <c r="J103" s="76" t="s">
        <v>3599</v>
      </c>
      <c r="K103" s="77"/>
      <c r="L103" s="75"/>
      <c r="M103" s="75"/>
      <c r="N103" s="75"/>
      <c r="O103" s="75"/>
      <c r="P103" s="75"/>
      <c r="Q103" s="75">
        <v>6</v>
      </c>
      <c r="R103" s="75">
        <v>10</v>
      </c>
      <c r="S103" s="75">
        <v>10</v>
      </c>
      <c r="T103" s="75"/>
      <c r="U103" s="75"/>
      <c r="V103" s="78">
        <v>3</v>
      </c>
      <c r="W103" s="44"/>
      <c r="X103" s="77">
        <v>6</v>
      </c>
      <c r="Y103" s="75">
        <v>3</v>
      </c>
      <c r="Z103" s="75"/>
      <c r="AA103" s="75"/>
      <c r="AB103" s="75"/>
      <c r="AC103" s="75"/>
      <c r="AD103" s="75"/>
      <c r="AE103" s="75"/>
      <c r="AF103" s="75"/>
      <c r="AG103" s="75"/>
      <c r="AH103" s="75"/>
      <c r="AI103" s="78"/>
    </row>
    <row r="104" spans="1:35">
      <c r="A104" s="44"/>
      <c r="B104" s="71" t="str">
        <f>IFERROR(VLOOKUP(C104,[10]Sheet2!$C$3:$F$1223,2,0),"")</f>
        <v>Gwangju</v>
      </c>
      <c r="C104" s="72">
        <v>83875</v>
      </c>
      <c r="D104" s="73" t="str">
        <f>IFERROR(VLOOKUP(C104,[10]Sheet2!$C$1:$F$1223,3,0),"")</f>
        <v>변재영</v>
      </c>
      <c r="E104" s="73" t="str">
        <f>IFERROR(VLOOKUP(C104,[10]Sheet2!$C$1:$F$1223,4,0),"")</f>
        <v>일신중국주류</v>
      </c>
      <c r="F104" s="74" t="s">
        <v>3440</v>
      </c>
      <c r="G104" s="72" t="s">
        <v>3483</v>
      </c>
      <c r="H104" s="75" t="s">
        <v>3481</v>
      </c>
      <c r="I104" s="75" t="s">
        <v>921</v>
      </c>
      <c r="J104" s="76" t="s">
        <v>3600</v>
      </c>
      <c r="K104" s="77"/>
      <c r="L104" s="75"/>
      <c r="M104" s="75"/>
      <c r="N104" s="75"/>
      <c r="O104" s="75"/>
      <c r="P104" s="75"/>
      <c r="Q104" s="75">
        <v>4</v>
      </c>
      <c r="R104" s="75">
        <v>6</v>
      </c>
      <c r="S104" s="75">
        <v>3</v>
      </c>
      <c r="T104" s="75">
        <v>5</v>
      </c>
      <c r="U104" s="75"/>
      <c r="V104" s="78">
        <v>5</v>
      </c>
      <c r="W104" s="44"/>
      <c r="X104" s="77">
        <v>5</v>
      </c>
      <c r="Y104" s="75">
        <v>5</v>
      </c>
      <c r="Z104" s="75"/>
      <c r="AA104" s="75"/>
      <c r="AB104" s="75"/>
      <c r="AC104" s="75"/>
      <c r="AD104" s="75"/>
      <c r="AE104" s="75"/>
      <c r="AF104" s="75"/>
      <c r="AG104" s="75"/>
      <c r="AH104" s="75"/>
      <c r="AI104" s="78"/>
    </row>
    <row r="105" spans="1:35">
      <c r="A105" s="44"/>
      <c r="B105" s="71" t="str">
        <f>IFERROR(VLOOKUP(C105,[10]Sheet2!$C$3:$F$1223,2,0),"")</f>
        <v>Gwangju</v>
      </c>
      <c r="C105" s="72">
        <v>83875</v>
      </c>
      <c r="D105" s="73" t="str">
        <f>IFERROR(VLOOKUP(C105,[10]Sheet2!$C$1:$F$1223,3,0),"")</f>
        <v>변재영</v>
      </c>
      <c r="E105" s="73" t="str">
        <f>IFERROR(VLOOKUP(C105,[10]Sheet2!$C$1:$F$1223,4,0),"")</f>
        <v>일신중국주류</v>
      </c>
      <c r="F105" s="74" t="s">
        <v>3441</v>
      </c>
      <c r="G105" s="72" t="s">
        <v>3483</v>
      </c>
      <c r="H105" s="75" t="s">
        <v>3481</v>
      </c>
      <c r="I105" s="75" t="s">
        <v>921</v>
      </c>
      <c r="J105" s="76" t="s">
        <v>3601</v>
      </c>
      <c r="K105" s="77"/>
      <c r="L105" s="75"/>
      <c r="M105" s="75"/>
      <c r="N105" s="75"/>
      <c r="O105" s="75"/>
      <c r="P105" s="75"/>
      <c r="Q105" s="75">
        <v>2</v>
      </c>
      <c r="R105" s="75">
        <v>3</v>
      </c>
      <c r="S105" s="75">
        <v>8</v>
      </c>
      <c r="T105" s="75">
        <v>3</v>
      </c>
      <c r="U105" s="75"/>
      <c r="V105" s="78">
        <v>3</v>
      </c>
      <c r="W105" s="44"/>
      <c r="X105" s="77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8"/>
    </row>
    <row r="106" spans="1:35">
      <c r="A106" s="44"/>
      <c r="B106" s="71" t="str">
        <f>IFERROR(VLOOKUP(C106,[10]Sheet2!$C$3:$F$1223,2,0),"")</f>
        <v>Gwangju</v>
      </c>
      <c r="C106" s="72">
        <v>83875</v>
      </c>
      <c r="D106" s="73" t="str">
        <f>IFERROR(VLOOKUP(C106,[10]Sheet2!$C$1:$F$1223,3,0),"")</f>
        <v>변재영</v>
      </c>
      <c r="E106" s="73" t="str">
        <f>IFERROR(VLOOKUP(C106,[10]Sheet2!$C$1:$F$1223,4,0),"")</f>
        <v>일신중국주류</v>
      </c>
      <c r="F106" s="74" t="s">
        <v>3442</v>
      </c>
      <c r="G106" s="72" t="s">
        <v>3483</v>
      </c>
      <c r="H106" s="75" t="s">
        <v>3481</v>
      </c>
      <c r="I106" s="75" t="s">
        <v>921</v>
      </c>
      <c r="J106" s="76" t="s">
        <v>3602</v>
      </c>
      <c r="K106" s="77"/>
      <c r="L106" s="75"/>
      <c r="M106" s="75"/>
      <c r="N106" s="75"/>
      <c r="O106" s="75"/>
      <c r="P106" s="75"/>
      <c r="Q106" s="75">
        <v>2</v>
      </c>
      <c r="R106" s="75">
        <v>5</v>
      </c>
      <c r="S106" s="75">
        <v>3</v>
      </c>
      <c r="T106" s="75">
        <v>3</v>
      </c>
      <c r="U106" s="75">
        <v>6</v>
      </c>
      <c r="V106" s="78">
        <v>6</v>
      </c>
      <c r="W106" s="44"/>
      <c r="X106" s="77">
        <v>4</v>
      </c>
      <c r="Y106" s="75">
        <v>2</v>
      </c>
      <c r="Z106" s="75"/>
      <c r="AA106" s="75"/>
      <c r="AB106" s="75"/>
      <c r="AC106" s="75"/>
      <c r="AD106" s="75"/>
      <c r="AE106" s="75"/>
      <c r="AF106" s="75"/>
      <c r="AG106" s="75"/>
      <c r="AH106" s="75"/>
      <c r="AI106" s="78"/>
    </row>
    <row r="107" spans="1:35">
      <c r="A107" s="44"/>
      <c r="B107" s="71" t="str">
        <f>IFERROR(VLOOKUP(C107,[10]Sheet2!$C$3:$F$1223,2,0),"")</f>
        <v>Gwangju</v>
      </c>
      <c r="C107" s="72">
        <v>83875</v>
      </c>
      <c r="D107" s="73" t="str">
        <f>IFERROR(VLOOKUP(C107,[10]Sheet2!$C$1:$F$1223,3,0),"")</f>
        <v>변재영</v>
      </c>
      <c r="E107" s="73" t="str">
        <f>IFERROR(VLOOKUP(C107,[10]Sheet2!$C$1:$F$1223,4,0),"")</f>
        <v>일신중국주류</v>
      </c>
      <c r="F107" s="74" t="s">
        <v>3443</v>
      </c>
      <c r="G107" s="72" t="s">
        <v>3483</v>
      </c>
      <c r="H107" s="75" t="s">
        <v>3481</v>
      </c>
      <c r="I107" s="75" t="s">
        <v>2507</v>
      </c>
      <c r="J107" s="76" t="s">
        <v>3603</v>
      </c>
      <c r="K107" s="77"/>
      <c r="L107" s="75"/>
      <c r="M107" s="75"/>
      <c r="N107" s="75"/>
      <c r="O107" s="75"/>
      <c r="P107" s="75"/>
      <c r="Q107" s="75">
        <v>3</v>
      </c>
      <c r="R107" s="75">
        <v>10</v>
      </c>
      <c r="S107" s="75">
        <v>2</v>
      </c>
      <c r="T107" s="75">
        <v>5</v>
      </c>
      <c r="U107" s="75">
        <v>10</v>
      </c>
      <c r="V107" s="78">
        <v>3</v>
      </c>
      <c r="W107" s="44"/>
      <c r="X107" s="77">
        <v>3</v>
      </c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8"/>
    </row>
    <row r="108" spans="1:35">
      <c r="A108" s="44"/>
      <c r="B108" s="71" t="str">
        <f>IFERROR(VLOOKUP(C108,[10]Sheet2!$C$3:$F$1223,2,0),"")</f>
        <v>Gwangju</v>
      </c>
      <c r="C108" s="72">
        <v>83875</v>
      </c>
      <c r="D108" s="73" t="str">
        <f>IFERROR(VLOOKUP(C108,[10]Sheet2!$C$1:$F$1223,3,0),"")</f>
        <v>변재영</v>
      </c>
      <c r="E108" s="73" t="str">
        <f>IFERROR(VLOOKUP(C108,[10]Sheet2!$C$1:$F$1223,4,0),"")</f>
        <v>일신중국주류</v>
      </c>
      <c r="F108" s="74" t="s">
        <v>3444</v>
      </c>
      <c r="G108" s="72" t="s">
        <v>3686</v>
      </c>
      <c r="H108" s="75" t="s">
        <v>3490</v>
      </c>
      <c r="I108" s="75" t="s">
        <v>3491</v>
      </c>
      <c r="J108" s="76" t="s">
        <v>3604</v>
      </c>
      <c r="K108" s="77"/>
      <c r="L108" s="75"/>
      <c r="M108" s="75"/>
      <c r="N108" s="75"/>
      <c r="O108" s="75"/>
      <c r="P108" s="75"/>
      <c r="Q108" s="75">
        <v>1</v>
      </c>
      <c r="R108" s="75"/>
      <c r="S108" s="75"/>
      <c r="T108" s="75"/>
      <c r="U108" s="75"/>
      <c r="V108" s="78"/>
      <c r="W108" s="44"/>
      <c r="X108" s="77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8"/>
    </row>
    <row r="109" spans="1:35">
      <c r="A109" s="44"/>
      <c r="B109" s="71" t="str">
        <f>IFERROR(VLOOKUP(C109,[10]Sheet2!$C$3:$F$1223,2,0),"")</f>
        <v>Gwangju</v>
      </c>
      <c r="C109" s="72">
        <v>33896</v>
      </c>
      <c r="D109" s="73" t="str">
        <f>IFERROR(VLOOKUP(C109,[10]Sheet2!$C$1:$F$1223,3,0),"")</f>
        <v>변재영</v>
      </c>
      <c r="E109" s="73" t="str">
        <f>IFERROR(VLOOKUP(C109,[10]Sheet2!$C$1:$F$1223,4,0),"")</f>
        <v>여수주류전남</v>
      </c>
      <c r="F109" s="74" t="s">
        <v>3445</v>
      </c>
      <c r="G109" s="72" t="s">
        <v>3686</v>
      </c>
      <c r="H109" s="75" t="s">
        <v>3499</v>
      </c>
      <c r="I109" s="75" t="s">
        <v>3547</v>
      </c>
      <c r="J109" s="76" t="s">
        <v>3605</v>
      </c>
      <c r="K109" s="77"/>
      <c r="L109" s="75"/>
      <c r="M109" s="75"/>
      <c r="N109" s="75"/>
      <c r="O109" s="75"/>
      <c r="P109" s="75"/>
      <c r="Q109" s="75">
        <v>1</v>
      </c>
      <c r="R109" s="75"/>
      <c r="S109" s="75"/>
      <c r="T109" s="75"/>
      <c r="U109" s="75"/>
      <c r="V109" s="78"/>
      <c r="W109" s="44"/>
      <c r="X109" s="77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8"/>
    </row>
    <row r="110" spans="1:35">
      <c r="A110" s="44"/>
      <c r="B110" s="71" t="str">
        <f>IFERROR(VLOOKUP(C110,[10]Sheet2!$C$3:$F$1223,2,0),"")</f>
        <v>Gwangju</v>
      </c>
      <c r="C110" s="72">
        <v>33878</v>
      </c>
      <c r="D110" s="73" t="str">
        <f>IFERROR(VLOOKUP(C110,[10]Sheet2!$C$1:$F$1223,3,0),"")</f>
        <v>변재영</v>
      </c>
      <c r="E110" s="73" t="str">
        <f>IFERROR(VLOOKUP(C110,[10]Sheet2!$C$1:$F$1223,4,0),"")</f>
        <v>한일상사전남</v>
      </c>
      <c r="F110" s="74" t="s">
        <v>3446</v>
      </c>
      <c r="G110" s="72" t="s">
        <v>3686</v>
      </c>
      <c r="H110" s="75" t="s">
        <v>3481</v>
      </c>
      <c r="I110" s="75" t="s">
        <v>2519</v>
      </c>
      <c r="J110" s="76" t="s">
        <v>3606</v>
      </c>
      <c r="K110" s="77"/>
      <c r="L110" s="75"/>
      <c r="M110" s="75"/>
      <c r="N110" s="75"/>
      <c r="O110" s="75"/>
      <c r="P110" s="75"/>
      <c r="Q110" s="75">
        <v>1</v>
      </c>
      <c r="R110" s="75"/>
      <c r="S110" s="75"/>
      <c r="T110" s="75"/>
      <c r="U110" s="75"/>
      <c r="V110" s="78"/>
      <c r="W110" s="44"/>
      <c r="X110" s="77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8"/>
    </row>
    <row r="111" spans="1:35">
      <c r="A111" s="44"/>
      <c r="B111" s="71" t="str">
        <f>IFERROR(VLOOKUP(C111,[10]Sheet2!$C$3:$F$1223,2,0),"")</f>
        <v>Gwangju</v>
      </c>
      <c r="C111" s="72">
        <v>83875</v>
      </c>
      <c r="D111" s="73" t="str">
        <f>IFERROR(VLOOKUP(C111,[10]Sheet2!$C$1:$F$1223,3,0),"")</f>
        <v>변재영</v>
      </c>
      <c r="E111" s="73" t="str">
        <f>IFERROR(VLOOKUP(C111,[10]Sheet2!$C$1:$F$1223,4,0),"")</f>
        <v>일신중국주류</v>
      </c>
      <c r="F111" s="74" t="s">
        <v>3447</v>
      </c>
      <c r="G111" s="72" t="s">
        <v>3686</v>
      </c>
      <c r="H111" s="75" t="s">
        <v>3499</v>
      </c>
      <c r="I111" s="75" t="s">
        <v>3583</v>
      </c>
      <c r="J111" s="76" t="s">
        <v>3607</v>
      </c>
      <c r="K111" s="77"/>
      <c r="L111" s="75"/>
      <c r="M111" s="75"/>
      <c r="N111" s="75"/>
      <c r="O111" s="75"/>
      <c r="P111" s="75"/>
      <c r="Q111" s="75">
        <v>10</v>
      </c>
      <c r="R111" s="75">
        <v>5</v>
      </c>
      <c r="S111" s="75">
        <v>10</v>
      </c>
      <c r="T111" s="75"/>
      <c r="U111" s="75"/>
      <c r="V111" s="78">
        <v>5</v>
      </c>
      <c r="W111" s="44"/>
      <c r="X111" s="77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8"/>
    </row>
    <row r="112" spans="1:35">
      <c r="A112" s="44"/>
      <c r="B112" s="71" t="str">
        <f>IFERROR(VLOOKUP(C112,[10]Sheet2!$C$3:$F$1223,2,0),"")</f>
        <v>Gwangju</v>
      </c>
      <c r="C112" s="72">
        <v>83875</v>
      </c>
      <c r="D112" s="73" t="str">
        <f>IFERROR(VLOOKUP(C112,[10]Sheet2!$C$1:$F$1223,3,0),"")</f>
        <v>변재영</v>
      </c>
      <c r="E112" s="73" t="str">
        <f>IFERROR(VLOOKUP(C112,[10]Sheet2!$C$1:$F$1223,4,0),"")</f>
        <v>일신중국주류</v>
      </c>
      <c r="F112" s="74" t="s">
        <v>3448</v>
      </c>
      <c r="G112" s="72" t="s">
        <v>3686</v>
      </c>
      <c r="H112" s="75" t="s">
        <v>3499</v>
      </c>
      <c r="I112" s="75" t="s">
        <v>3502</v>
      </c>
      <c r="J112" s="76" t="s">
        <v>3608</v>
      </c>
      <c r="K112" s="77"/>
      <c r="L112" s="75"/>
      <c r="M112" s="75"/>
      <c r="N112" s="75"/>
      <c r="O112" s="75"/>
      <c r="P112" s="75"/>
      <c r="Q112" s="75">
        <v>2</v>
      </c>
      <c r="R112" s="75"/>
      <c r="S112" s="75">
        <v>12</v>
      </c>
      <c r="T112" s="75"/>
      <c r="U112" s="75">
        <v>10</v>
      </c>
      <c r="V112" s="78"/>
      <c r="W112" s="44"/>
      <c r="X112" s="77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8"/>
    </row>
    <row r="113" spans="1:35">
      <c r="A113" s="44"/>
      <c r="B113" s="71" t="str">
        <f>IFERROR(VLOOKUP(C113,[10]Sheet2!$C$3:$F$1223,2,0),"")</f>
        <v>Gwangju</v>
      </c>
      <c r="C113" s="72">
        <v>33987</v>
      </c>
      <c r="D113" s="73" t="str">
        <f>IFERROR(VLOOKUP(C113,[10]Sheet2!$C$1:$F$1223,3,0),"")</f>
        <v>변재영</v>
      </c>
      <c r="E113" s="73" t="str">
        <f>IFERROR(VLOOKUP(C113,[10]Sheet2!$C$1:$F$1223,4,0),"")</f>
        <v>전주호남주류</v>
      </c>
      <c r="F113" s="74" t="s">
        <v>3449</v>
      </c>
      <c r="G113" s="72" t="s">
        <v>3483</v>
      </c>
      <c r="H113" s="75" t="s">
        <v>3490</v>
      </c>
      <c r="I113" s="75" t="s">
        <v>3496</v>
      </c>
      <c r="J113" s="76" t="s">
        <v>3609</v>
      </c>
      <c r="K113" s="77"/>
      <c r="L113" s="75"/>
      <c r="M113" s="75"/>
      <c r="N113" s="75"/>
      <c r="O113" s="75"/>
      <c r="P113" s="75"/>
      <c r="Q113" s="75">
        <v>1</v>
      </c>
      <c r="R113" s="75"/>
      <c r="S113" s="75"/>
      <c r="T113" s="75">
        <v>1</v>
      </c>
      <c r="U113" s="75"/>
      <c r="V113" s="78"/>
      <c r="W113" s="44"/>
      <c r="X113" s="77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8"/>
    </row>
    <row r="114" spans="1:35">
      <c r="A114" s="44"/>
      <c r="B114" s="71" t="str">
        <f>IFERROR(VLOOKUP(C114,[10]Sheet2!$C$3:$F$1223,2,0),"")</f>
        <v>Gwangju</v>
      </c>
      <c r="C114" s="72">
        <v>33987</v>
      </c>
      <c r="D114" s="73" t="str">
        <f>IFERROR(VLOOKUP(C114,[10]Sheet2!$C$1:$F$1223,3,0),"")</f>
        <v>변재영</v>
      </c>
      <c r="E114" s="73" t="str">
        <f>IFERROR(VLOOKUP(C114,[10]Sheet2!$C$1:$F$1223,4,0),"")</f>
        <v>전주호남주류</v>
      </c>
      <c r="F114" s="74" t="s">
        <v>3450</v>
      </c>
      <c r="G114" s="72" t="s">
        <v>3483</v>
      </c>
      <c r="H114" s="75" t="s">
        <v>3490</v>
      </c>
      <c r="I114" s="75" t="s">
        <v>3610</v>
      </c>
      <c r="J114" s="76" t="s">
        <v>3611</v>
      </c>
      <c r="K114" s="77"/>
      <c r="L114" s="75"/>
      <c r="M114" s="75"/>
      <c r="N114" s="75"/>
      <c r="O114" s="75"/>
      <c r="P114" s="75"/>
      <c r="Q114" s="75">
        <v>1</v>
      </c>
      <c r="R114" s="75"/>
      <c r="S114" s="75"/>
      <c r="T114" s="75"/>
      <c r="U114" s="75"/>
      <c r="V114" s="78"/>
      <c r="W114" s="44"/>
      <c r="X114" s="77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8"/>
    </row>
    <row r="115" spans="1:35">
      <c r="A115" s="44"/>
      <c r="B115" s="71" t="str">
        <f>IFERROR(VLOOKUP(C115,[10]Sheet2!$C$3:$F$1223,2,0),"")</f>
        <v>Gwangju</v>
      </c>
      <c r="C115" s="72">
        <v>83875</v>
      </c>
      <c r="D115" s="73" t="str">
        <f>IFERROR(VLOOKUP(C115,[10]Sheet2!$C$1:$F$1223,3,0),"")</f>
        <v>변재영</v>
      </c>
      <c r="E115" s="73" t="str">
        <f>IFERROR(VLOOKUP(C115,[10]Sheet2!$C$1:$F$1223,4,0),"")</f>
        <v>일신중국주류</v>
      </c>
      <c r="F115" s="74" t="s">
        <v>3451</v>
      </c>
      <c r="G115" s="72" t="s">
        <v>3483</v>
      </c>
      <c r="H115" s="75" t="s">
        <v>3490</v>
      </c>
      <c r="I115" s="75" t="s">
        <v>3500</v>
      </c>
      <c r="J115" s="76" t="s">
        <v>3612</v>
      </c>
      <c r="K115" s="77"/>
      <c r="L115" s="75"/>
      <c r="M115" s="75"/>
      <c r="N115" s="75"/>
      <c r="O115" s="75"/>
      <c r="P115" s="75"/>
      <c r="Q115" s="75"/>
      <c r="R115" s="75">
        <v>2</v>
      </c>
      <c r="S115" s="75">
        <v>5</v>
      </c>
      <c r="T115" s="75"/>
      <c r="U115" s="75">
        <v>4</v>
      </c>
      <c r="V115" s="78">
        <v>2</v>
      </c>
      <c r="W115" s="44"/>
      <c r="X115" s="77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8"/>
    </row>
    <row r="116" spans="1:35">
      <c r="A116" s="44"/>
      <c r="B116" s="71" t="str">
        <f>IFERROR(VLOOKUP(C116,[10]Sheet2!$C$3:$F$1223,2,0),"")</f>
        <v>Gwangju</v>
      </c>
      <c r="C116" s="72">
        <v>83875</v>
      </c>
      <c r="D116" s="73" t="str">
        <f>IFERROR(VLOOKUP(C116,[10]Sheet2!$C$1:$F$1223,3,0),"")</f>
        <v>변재영</v>
      </c>
      <c r="E116" s="73" t="str">
        <f>IFERROR(VLOOKUP(C116,[10]Sheet2!$C$1:$F$1223,4,0),"")</f>
        <v>일신중국주류</v>
      </c>
      <c r="F116" s="74" t="s">
        <v>3452</v>
      </c>
      <c r="G116" s="72" t="s">
        <v>3483</v>
      </c>
      <c r="H116" s="75" t="s">
        <v>3481</v>
      </c>
      <c r="I116" s="75" t="s">
        <v>921</v>
      </c>
      <c r="J116" s="76" t="s">
        <v>3613</v>
      </c>
      <c r="K116" s="77"/>
      <c r="L116" s="75"/>
      <c r="M116" s="75"/>
      <c r="N116" s="75"/>
      <c r="O116" s="75"/>
      <c r="P116" s="75"/>
      <c r="Q116" s="75"/>
      <c r="R116" s="75">
        <v>5</v>
      </c>
      <c r="S116" s="75"/>
      <c r="T116" s="75"/>
      <c r="U116" s="75">
        <v>5</v>
      </c>
      <c r="V116" s="78">
        <v>10</v>
      </c>
      <c r="W116" s="44"/>
      <c r="X116" s="77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8"/>
    </row>
    <row r="117" spans="1:35">
      <c r="A117" s="44"/>
      <c r="B117" s="71" t="str">
        <f>IFERROR(VLOOKUP(C117,[10]Sheet2!$C$3:$F$1223,2,0),"")</f>
        <v>Gwangju</v>
      </c>
      <c r="C117" s="72">
        <v>83875</v>
      </c>
      <c r="D117" s="73" t="str">
        <f>IFERROR(VLOOKUP(C117,[10]Sheet2!$C$1:$F$1223,3,0),"")</f>
        <v>변재영</v>
      </c>
      <c r="E117" s="73" t="str">
        <f>IFERROR(VLOOKUP(C117,[10]Sheet2!$C$1:$F$1223,4,0),"")</f>
        <v>일신중국주류</v>
      </c>
      <c r="F117" s="74" t="s">
        <v>3453</v>
      </c>
      <c r="G117" s="72" t="s">
        <v>3686</v>
      </c>
      <c r="H117" s="75" t="s">
        <v>3499</v>
      </c>
      <c r="I117" s="75" t="s">
        <v>3502</v>
      </c>
      <c r="J117" s="76" t="s">
        <v>3614</v>
      </c>
      <c r="K117" s="77"/>
      <c r="L117" s="75"/>
      <c r="M117" s="75"/>
      <c r="N117" s="75"/>
      <c r="O117" s="75"/>
      <c r="P117" s="75"/>
      <c r="Q117" s="75"/>
      <c r="R117" s="75">
        <v>1</v>
      </c>
      <c r="S117" s="75">
        <v>1</v>
      </c>
      <c r="T117" s="75">
        <v>1</v>
      </c>
      <c r="U117" s="75"/>
      <c r="V117" s="78">
        <v>1</v>
      </c>
      <c r="W117" s="44"/>
      <c r="X117" s="77">
        <v>1</v>
      </c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8"/>
    </row>
    <row r="118" spans="1:35">
      <c r="A118" s="44"/>
      <c r="B118" s="71" t="str">
        <f>IFERROR(VLOOKUP(C118,[10]Sheet2!$C$3:$F$1223,2,0),"")</f>
        <v>Gwangju</v>
      </c>
      <c r="C118" s="72">
        <v>83875</v>
      </c>
      <c r="D118" s="73" t="str">
        <f>IFERROR(VLOOKUP(C118,[10]Sheet2!$C$1:$F$1223,3,0),"")</f>
        <v>변재영</v>
      </c>
      <c r="E118" s="73" t="str">
        <f>IFERROR(VLOOKUP(C118,[10]Sheet2!$C$1:$F$1223,4,0),"")</f>
        <v>일신중국주류</v>
      </c>
      <c r="F118" s="74" t="s">
        <v>3454</v>
      </c>
      <c r="G118" s="72" t="s">
        <v>3483</v>
      </c>
      <c r="H118" s="75" t="s">
        <v>3499</v>
      </c>
      <c r="I118" s="75" t="s">
        <v>3559</v>
      </c>
      <c r="J118" s="76" t="s">
        <v>3615</v>
      </c>
      <c r="K118" s="77"/>
      <c r="L118" s="75"/>
      <c r="M118" s="75"/>
      <c r="N118" s="75"/>
      <c r="O118" s="75"/>
      <c r="P118" s="75"/>
      <c r="Q118" s="75"/>
      <c r="R118" s="75">
        <v>10</v>
      </c>
      <c r="S118" s="75"/>
      <c r="T118" s="75"/>
      <c r="U118" s="75"/>
      <c r="V118" s="78"/>
      <c r="W118" s="44"/>
      <c r="X118" s="77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8"/>
    </row>
    <row r="119" spans="1:35">
      <c r="A119" s="44"/>
      <c r="B119" s="71" t="str">
        <f>IFERROR(VLOOKUP(C119,[10]Sheet2!$C$3:$F$1223,2,0),"")</f>
        <v>Gwangju</v>
      </c>
      <c r="C119" s="72">
        <v>83875</v>
      </c>
      <c r="D119" s="73" t="str">
        <f>IFERROR(VLOOKUP(C119,[10]Sheet2!$C$1:$F$1223,3,0),"")</f>
        <v>변재영</v>
      </c>
      <c r="E119" s="73" t="str">
        <f>IFERROR(VLOOKUP(C119,[10]Sheet2!$C$1:$F$1223,4,0),"")</f>
        <v>일신중국주류</v>
      </c>
      <c r="F119" s="74" t="s">
        <v>3455</v>
      </c>
      <c r="G119" s="72" t="s">
        <v>3686</v>
      </c>
      <c r="H119" s="75" t="s">
        <v>3499</v>
      </c>
      <c r="I119" s="75" t="s">
        <v>3502</v>
      </c>
      <c r="J119" s="76" t="s">
        <v>3616</v>
      </c>
      <c r="K119" s="77"/>
      <c r="L119" s="75"/>
      <c r="M119" s="75"/>
      <c r="N119" s="75"/>
      <c r="O119" s="75"/>
      <c r="P119" s="75"/>
      <c r="Q119" s="75"/>
      <c r="R119" s="75">
        <v>1</v>
      </c>
      <c r="S119" s="75">
        <v>1</v>
      </c>
      <c r="T119" s="75">
        <v>2</v>
      </c>
      <c r="U119" s="75">
        <v>1</v>
      </c>
      <c r="V119" s="78"/>
      <c r="W119" s="44"/>
      <c r="X119" s="77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8"/>
    </row>
    <row r="120" spans="1:35">
      <c r="A120" s="44"/>
      <c r="B120" s="71" t="str">
        <f>IFERROR(VLOOKUP(C120,[10]Sheet2!$C$3:$F$1223,2,0),"")</f>
        <v>Gwangju</v>
      </c>
      <c r="C120" s="72">
        <v>83875</v>
      </c>
      <c r="D120" s="73" t="str">
        <f>IFERROR(VLOOKUP(C120,[10]Sheet2!$C$1:$F$1223,3,0),"")</f>
        <v>변재영</v>
      </c>
      <c r="E120" s="73" t="str">
        <f>IFERROR(VLOOKUP(C120,[10]Sheet2!$C$1:$F$1223,4,0),"")</f>
        <v>일신중국주류</v>
      </c>
      <c r="F120" s="74" t="s">
        <v>3456</v>
      </c>
      <c r="G120" s="72" t="s">
        <v>3483</v>
      </c>
      <c r="H120" s="75" t="s">
        <v>3481</v>
      </c>
      <c r="I120" s="75" t="s">
        <v>921</v>
      </c>
      <c r="J120" s="76" t="s">
        <v>3617</v>
      </c>
      <c r="K120" s="77"/>
      <c r="L120" s="75"/>
      <c r="M120" s="75"/>
      <c r="N120" s="75"/>
      <c r="O120" s="75"/>
      <c r="P120" s="75"/>
      <c r="Q120" s="75"/>
      <c r="R120" s="75">
        <v>5</v>
      </c>
      <c r="S120" s="75">
        <v>5</v>
      </c>
      <c r="T120" s="75">
        <v>5</v>
      </c>
      <c r="U120" s="75">
        <v>5</v>
      </c>
      <c r="V120" s="78">
        <v>5</v>
      </c>
      <c r="W120" s="44"/>
      <c r="X120" s="77">
        <v>3</v>
      </c>
      <c r="Y120" s="75">
        <v>4</v>
      </c>
      <c r="Z120" s="75"/>
      <c r="AA120" s="75"/>
      <c r="AB120" s="75"/>
      <c r="AC120" s="75"/>
      <c r="AD120" s="75"/>
      <c r="AE120" s="75"/>
      <c r="AF120" s="75"/>
      <c r="AG120" s="75"/>
      <c r="AH120" s="75"/>
      <c r="AI120" s="78"/>
    </row>
    <row r="121" spans="1:35">
      <c r="A121" s="44"/>
      <c r="B121" s="71" t="str">
        <f>IFERROR(VLOOKUP(C121,[10]Sheet2!$C$3:$F$1223,2,0),"")</f>
        <v>Gwangju</v>
      </c>
      <c r="C121" s="72">
        <v>83875</v>
      </c>
      <c r="D121" s="73" t="str">
        <f>IFERROR(VLOOKUP(C121,[10]Sheet2!$C$1:$F$1223,3,0),"")</f>
        <v>변재영</v>
      </c>
      <c r="E121" s="73" t="str">
        <f>IFERROR(VLOOKUP(C121,[10]Sheet2!$C$1:$F$1223,4,0),"")</f>
        <v>일신중국주류</v>
      </c>
      <c r="F121" s="74" t="s">
        <v>3457</v>
      </c>
      <c r="G121" s="72" t="s">
        <v>3483</v>
      </c>
      <c r="H121" s="75" t="s">
        <v>3481</v>
      </c>
      <c r="I121" s="75" t="s">
        <v>132</v>
      </c>
      <c r="J121" s="76" t="s">
        <v>3618</v>
      </c>
      <c r="K121" s="77"/>
      <c r="L121" s="75"/>
      <c r="M121" s="75"/>
      <c r="N121" s="75"/>
      <c r="O121" s="75"/>
      <c r="P121" s="75"/>
      <c r="Q121" s="75"/>
      <c r="R121" s="75">
        <v>10</v>
      </c>
      <c r="S121" s="75">
        <v>10</v>
      </c>
      <c r="T121" s="75"/>
      <c r="U121" s="75">
        <v>5</v>
      </c>
      <c r="V121" s="78">
        <v>6</v>
      </c>
      <c r="W121" s="44"/>
      <c r="X121" s="77">
        <v>5</v>
      </c>
      <c r="Y121" s="75">
        <v>9</v>
      </c>
      <c r="Z121" s="75"/>
      <c r="AA121" s="75"/>
      <c r="AB121" s="75"/>
      <c r="AC121" s="75"/>
      <c r="AD121" s="75"/>
      <c r="AE121" s="75"/>
      <c r="AF121" s="75"/>
      <c r="AG121" s="75"/>
      <c r="AH121" s="75"/>
      <c r="AI121" s="78"/>
    </row>
    <row r="122" spans="1:35">
      <c r="A122" s="44"/>
      <c r="B122" s="71" t="str">
        <f>IFERROR(VLOOKUP(C122,[10]Sheet2!$C$3:$F$1223,2,0),"")</f>
        <v>Gwangju</v>
      </c>
      <c r="C122" s="72">
        <v>33922</v>
      </c>
      <c r="D122" s="73" t="str">
        <f>IFERROR(VLOOKUP(C122,[10]Sheet2!$C$1:$F$1223,3,0),"")</f>
        <v>변재영</v>
      </c>
      <c r="E122" s="73" t="str">
        <f>IFERROR(VLOOKUP(C122,[10]Sheet2!$C$1:$F$1223,4,0),"")</f>
        <v>대운주류전남</v>
      </c>
      <c r="F122" s="74" t="s">
        <v>3458</v>
      </c>
      <c r="G122" s="72" t="s">
        <v>3483</v>
      </c>
      <c r="H122" s="75" t="s">
        <v>3481</v>
      </c>
      <c r="I122" s="75" t="s">
        <v>132</v>
      </c>
      <c r="J122" s="76" t="s">
        <v>3619</v>
      </c>
      <c r="K122" s="77"/>
      <c r="L122" s="75"/>
      <c r="M122" s="75"/>
      <c r="N122" s="75"/>
      <c r="O122" s="75"/>
      <c r="P122" s="75"/>
      <c r="Q122" s="75"/>
      <c r="R122" s="75"/>
      <c r="S122" s="75">
        <v>2</v>
      </c>
      <c r="T122" s="75"/>
      <c r="U122" s="75"/>
      <c r="V122" s="78"/>
      <c r="W122" s="44"/>
      <c r="X122" s="77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8"/>
    </row>
    <row r="123" spans="1:35">
      <c r="A123" s="44"/>
      <c r="B123" s="71" t="str">
        <f>IFERROR(VLOOKUP(C123,[10]Sheet2!$C$3:$F$1223,2,0),"")</f>
        <v>Gwangju</v>
      </c>
      <c r="C123" s="72">
        <v>33991</v>
      </c>
      <c r="D123" s="73" t="str">
        <f>IFERROR(VLOOKUP(C123,[10]Sheet2!$C$1:$F$1223,3,0),"")</f>
        <v>변재영</v>
      </c>
      <c r="E123" s="73" t="str">
        <f>IFERROR(VLOOKUP(C123,[10]Sheet2!$C$1:$F$1223,4,0),"")</f>
        <v>동아상사전북</v>
      </c>
      <c r="F123" s="74" t="s">
        <v>3459</v>
      </c>
      <c r="G123" s="72" t="s">
        <v>3686</v>
      </c>
      <c r="H123" s="75" t="s">
        <v>3481</v>
      </c>
      <c r="I123" s="75" t="s">
        <v>878</v>
      </c>
      <c r="J123" s="76" t="s">
        <v>3620</v>
      </c>
      <c r="K123" s="77"/>
      <c r="L123" s="75"/>
      <c r="M123" s="75"/>
      <c r="N123" s="75"/>
      <c r="O123" s="75"/>
      <c r="P123" s="75"/>
      <c r="Q123" s="75"/>
      <c r="R123" s="75"/>
      <c r="S123" s="75">
        <v>2</v>
      </c>
      <c r="T123" s="75">
        <v>11</v>
      </c>
      <c r="U123" s="75">
        <v>7</v>
      </c>
      <c r="V123" s="78">
        <v>7</v>
      </c>
      <c r="W123" s="44"/>
      <c r="X123" s="77">
        <v>8</v>
      </c>
      <c r="Y123" s="75">
        <v>3</v>
      </c>
      <c r="Z123" s="75"/>
      <c r="AA123" s="75"/>
      <c r="AB123" s="75"/>
      <c r="AC123" s="75"/>
      <c r="AD123" s="75"/>
      <c r="AE123" s="75"/>
      <c r="AF123" s="75"/>
      <c r="AG123" s="75"/>
      <c r="AH123" s="75"/>
      <c r="AI123" s="78"/>
    </row>
    <row r="124" spans="1:35">
      <c r="A124" s="44"/>
      <c r="B124" s="71" t="str">
        <f>IFERROR(VLOOKUP(C124,[10]Sheet2!$C$3:$F$1223,2,0),"")</f>
        <v>Gwangju</v>
      </c>
      <c r="C124" s="72">
        <v>83875</v>
      </c>
      <c r="D124" s="73" t="str">
        <f>IFERROR(VLOOKUP(C124,[10]Sheet2!$C$1:$F$1223,3,0),"")</f>
        <v>변재영</v>
      </c>
      <c r="E124" s="73" t="str">
        <f>IFERROR(VLOOKUP(C124,[10]Sheet2!$C$1:$F$1223,4,0),"")</f>
        <v>일신중국주류</v>
      </c>
      <c r="F124" s="74" t="s">
        <v>3460</v>
      </c>
      <c r="G124" s="72" t="s">
        <v>3483</v>
      </c>
      <c r="H124" s="75" t="s">
        <v>3481</v>
      </c>
      <c r="I124" s="75" t="s">
        <v>921</v>
      </c>
      <c r="J124" s="76" t="s">
        <v>3621</v>
      </c>
      <c r="K124" s="77"/>
      <c r="L124" s="75"/>
      <c r="M124" s="75"/>
      <c r="N124" s="75"/>
      <c r="O124" s="75"/>
      <c r="P124" s="75"/>
      <c r="Q124" s="75"/>
      <c r="R124" s="75"/>
      <c r="S124" s="75">
        <v>12</v>
      </c>
      <c r="T124" s="75"/>
      <c r="U124" s="75"/>
      <c r="V124" s="78"/>
      <c r="W124" s="44"/>
      <c r="X124" s="77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8"/>
    </row>
    <row r="125" spans="1:35">
      <c r="A125" s="44"/>
      <c r="B125" s="71" t="str">
        <f>IFERROR(VLOOKUP(C125,[10]Sheet2!$C$3:$F$1223,2,0),"")</f>
        <v>Gwangju</v>
      </c>
      <c r="C125" s="72">
        <v>83875</v>
      </c>
      <c r="D125" s="73" t="str">
        <f>IFERROR(VLOOKUP(C125,[10]Sheet2!$C$1:$F$1223,3,0),"")</f>
        <v>변재영</v>
      </c>
      <c r="E125" s="73" t="str">
        <f>IFERROR(VLOOKUP(C125,[10]Sheet2!$C$1:$F$1223,4,0),"")</f>
        <v>일신중국주류</v>
      </c>
      <c r="F125" s="74" t="s">
        <v>3461</v>
      </c>
      <c r="G125" s="72" t="s">
        <v>3483</v>
      </c>
      <c r="H125" s="75" t="s">
        <v>3481</v>
      </c>
      <c r="I125" s="75" t="s">
        <v>921</v>
      </c>
      <c r="J125" s="76" t="s">
        <v>3622</v>
      </c>
      <c r="K125" s="77"/>
      <c r="L125" s="75"/>
      <c r="M125" s="75"/>
      <c r="N125" s="75"/>
      <c r="O125" s="75"/>
      <c r="P125" s="75"/>
      <c r="Q125" s="75"/>
      <c r="R125" s="75"/>
      <c r="S125" s="75"/>
      <c r="T125" s="75">
        <v>5</v>
      </c>
      <c r="U125" s="75">
        <v>3</v>
      </c>
      <c r="V125" s="78">
        <v>4</v>
      </c>
      <c r="W125" s="44"/>
      <c r="X125" s="77">
        <v>2</v>
      </c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8"/>
    </row>
    <row r="126" spans="1:35">
      <c r="A126" s="44"/>
      <c r="B126" s="71" t="str">
        <f>IFERROR(VLOOKUP(C126,[10]Sheet2!$C$3:$F$1223,2,0),"")</f>
        <v>Gwangju</v>
      </c>
      <c r="C126" s="72">
        <v>83875</v>
      </c>
      <c r="D126" s="73" t="str">
        <f>IFERROR(VLOOKUP(C126,[10]Sheet2!$C$1:$F$1223,3,0),"")</f>
        <v>변재영</v>
      </c>
      <c r="E126" s="73" t="str">
        <f>IFERROR(VLOOKUP(C126,[10]Sheet2!$C$1:$F$1223,4,0),"")</f>
        <v>일신중국주류</v>
      </c>
      <c r="F126" s="74" t="s">
        <v>3462</v>
      </c>
      <c r="G126" s="72" t="s">
        <v>3483</v>
      </c>
      <c r="H126" s="75" t="s">
        <v>3499</v>
      </c>
      <c r="I126" s="75" t="s">
        <v>3524</v>
      </c>
      <c r="J126" s="76" t="s">
        <v>3623</v>
      </c>
      <c r="K126" s="77"/>
      <c r="L126" s="75"/>
      <c r="M126" s="75"/>
      <c r="N126" s="75"/>
      <c r="O126" s="75"/>
      <c r="P126" s="75"/>
      <c r="Q126" s="75"/>
      <c r="R126" s="75"/>
      <c r="S126" s="75"/>
      <c r="T126" s="75">
        <v>5</v>
      </c>
      <c r="U126" s="75"/>
      <c r="V126" s="78">
        <v>2</v>
      </c>
      <c r="W126" s="44"/>
      <c r="X126" s="77">
        <v>3</v>
      </c>
      <c r="Y126" s="75">
        <v>2</v>
      </c>
      <c r="Z126" s="75"/>
      <c r="AA126" s="75"/>
      <c r="AB126" s="75"/>
      <c r="AC126" s="75"/>
      <c r="AD126" s="75"/>
      <c r="AE126" s="75"/>
      <c r="AF126" s="75"/>
      <c r="AG126" s="75"/>
      <c r="AH126" s="75"/>
      <c r="AI126" s="78"/>
    </row>
    <row r="127" spans="1:35">
      <c r="A127" s="44"/>
      <c r="B127" s="71" t="str">
        <f>IFERROR(VLOOKUP(C127,[10]Sheet2!$C$3:$F$1223,2,0),"")</f>
        <v>Gwangju</v>
      </c>
      <c r="C127" s="72">
        <v>33935</v>
      </c>
      <c r="D127" s="73" t="str">
        <f>IFERROR(VLOOKUP(C127,[10]Sheet2!$C$1:$F$1223,3,0),"")</f>
        <v>변재영</v>
      </c>
      <c r="E127" s="73" t="str">
        <f>IFERROR(VLOOKUP(C127,[10]Sheet2!$C$1:$F$1223,4,0),"")</f>
        <v>한국주류전남</v>
      </c>
      <c r="F127" s="74" t="s">
        <v>3463</v>
      </c>
      <c r="G127" s="72" t="s">
        <v>3483</v>
      </c>
      <c r="H127" s="75" t="s">
        <v>3481</v>
      </c>
      <c r="I127" s="75" t="s">
        <v>132</v>
      </c>
      <c r="J127" s="76" t="s">
        <v>3624</v>
      </c>
      <c r="K127" s="77"/>
      <c r="L127" s="75"/>
      <c r="M127" s="75"/>
      <c r="N127" s="75"/>
      <c r="O127" s="75"/>
      <c r="P127" s="75"/>
      <c r="Q127" s="75"/>
      <c r="R127" s="75"/>
      <c r="S127" s="75"/>
      <c r="T127" s="75">
        <v>2</v>
      </c>
      <c r="U127" s="75"/>
      <c r="V127" s="78"/>
      <c r="W127" s="44"/>
      <c r="X127" s="77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8"/>
    </row>
    <row r="128" spans="1:35">
      <c r="A128" s="44"/>
      <c r="B128" s="71" t="str">
        <f>IFERROR(VLOOKUP(C128,[10]Sheet2!$C$3:$F$1223,2,0),"")</f>
        <v>Gwangju</v>
      </c>
      <c r="C128" s="72">
        <v>33879</v>
      </c>
      <c r="D128" s="73" t="str">
        <f>IFERROR(VLOOKUP(C128,[10]Sheet2!$C$1:$F$1223,3,0),"")</f>
        <v>변재영</v>
      </c>
      <c r="E128" s="73" t="str">
        <f>IFERROR(VLOOKUP(C128,[10]Sheet2!$C$1:$F$1223,4,0),"")</f>
        <v>금천주류전남</v>
      </c>
      <c r="F128" s="74" t="s">
        <v>3464</v>
      </c>
      <c r="G128" s="72" t="s">
        <v>3483</v>
      </c>
      <c r="H128" s="75" t="s">
        <v>3481</v>
      </c>
      <c r="I128" s="75" t="s">
        <v>921</v>
      </c>
      <c r="J128" s="76" t="s">
        <v>3625</v>
      </c>
      <c r="K128" s="77"/>
      <c r="L128" s="75"/>
      <c r="M128" s="75"/>
      <c r="N128" s="75"/>
      <c r="O128" s="75"/>
      <c r="P128" s="75"/>
      <c r="Q128" s="75"/>
      <c r="R128" s="75"/>
      <c r="S128" s="75"/>
      <c r="T128" s="75">
        <v>1</v>
      </c>
      <c r="U128" s="75"/>
      <c r="V128" s="78"/>
      <c r="W128" s="44"/>
      <c r="X128" s="77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8"/>
    </row>
    <row r="129" spans="1:35">
      <c r="A129" s="44"/>
      <c r="B129" s="71" t="str">
        <f>IFERROR(VLOOKUP(C129,[10]Sheet2!$C$3:$F$1223,2,0),"")</f>
        <v>Gwangju</v>
      </c>
      <c r="C129" s="72">
        <v>83875</v>
      </c>
      <c r="D129" s="73" t="str">
        <f>IFERROR(VLOOKUP(C129,[10]Sheet2!$C$1:$F$1223,3,0),"")</f>
        <v>변재영</v>
      </c>
      <c r="E129" s="73" t="str">
        <f>IFERROR(VLOOKUP(C129,[10]Sheet2!$C$1:$F$1223,4,0),"")</f>
        <v>일신중국주류</v>
      </c>
      <c r="F129" s="74" t="s">
        <v>3465</v>
      </c>
      <c r="G129" s="72" t="s">
        <v>3483</v>
      </c>
      <c r="H129" s="75" t="s">
        <v>3481</v>
      </c>
      <c r="I129" s="75" t="s">
        <v>132</v>
      </c>
      <c r="J129" s="76" t="s">
        <v>3626</v>
      </c>
      <c r="K129" s="77"/>
      <c r="L129" s="75"/>
      <c r="M129" s="75"/>
      <c r="N129" s="75"/>
      <c r="O129" s="75"/>
      <c r="P129" s="75"/>
      <c r="Q129" s="75"/>
      <c r="R129" s="75"/>
      <c r="S129" s="75"/>
      <c r="T129" s="75">
        <v>2</v>
      </c>
      <c r="U129" s="75"/>
      <c r="V129" s="78"/>
      <c r="W129" s="44"/>
      <c r="X129" s="77">
        <v>3</v>
      </c>
      <c r="Y129" s="75">
        <v>1</v>
      </c>
      <c r="Z129" s="75"/>
      <c r="AA129" s="75"/>
      <c r="AB129" s="75"/>
      <c r="AC129" s="75"/>
      <c r="AD129" s="75"/>
      <c r="AE129" s="75"/>
      <c r="AF129" s="75"/>
      <c r="AG129" s="75"/>
      <c r="AH129" s="75"/>
      <c r="AI129" s="78"/>
    </row>
    <row r="130" spans="1:35">
      <c r="A130" s="44"/>
      <c r="B130" s="71" t="str">
        <f>IFERROR(VLOOKUP(C130,[10]Sheet2!$C$3:$F$1223,2,0),"")</f>
        <v>Gwangju</v>
      </c>
      <c r="C130" s="72">
        <v>33881</v>
      </c>
      <c r="D130" s="73" t="str">
        <f>IFERROR(VLOOKUP(C130,[10]Sheet2!$C$1:$F$1223,3,0),"")</f>
        <v>변재영</v>
      </c>
      <c r="E130" s="73" t="str">
        <f>IFERROR(VLOOKUP(C130,[10]Sheet2!$C$1:$F$1223,4,0),"")</f>
        <v>신세계주류상사(유)전</v>
      </c>
      <c r="F130" s="74" t="s">
        <v>3466</v>
      </c>
      <c r="G130" s="72" t="s">
        <v>3483</v>
      </c>
      <c r="H130" s="75" t="s">
        <v>3481</v>
      </c>
      <c r="I130" s="75" t="s">
        <v>132</v>
      </c>
      <c r="J130" s="76" t="s">
        <v>3627</v>
      </c>
      <c r="K130" s="77"/>
      <c r="L130" s="75"/>
      <c r="M130" s="75"/>
      <c r="N130" s="75"/>
      <c r="O130" s="75"/>
      <c r="P130" s="75"/>
      <c r="Q130" s="75"/>
      <c r="R130" s="75"/>
      <c r="S130" s="75"/>
      <c r="T130" s="75">
        <v>1</v>
      </c>
      <c r="U130" s="75"/>
      <c r="V130" s="78">
        <v>1</v>
      </c>
      <c r="W130" s="44"/>
      <c r="X130" s="77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8"/>
    </row>
    <row r="131" spans="1:35">
      <c r="A131" s="44"/>
      <c r="B131" s="71" t="str">
        <f>IFERROR(VLOOKUP(C131,[10]Sheet2!$C$3:$F$1223,2,0),"")</f>
        <v>Gwangju</v>
      </c>
      <c r="C131" s="72">
        <v>33881</v>
      </c>
      <c r="D131" s="73" t="str">
        <f>IFERROR(VLOOKUP(C131,[10]Sheet2!$C$1:$F$1223,3,0),"")</f>
        <v>변재영</v>
      </c>
      <c r="E131" s="73" t="str">
        <f>IFERROR(VLOOKUP(C131,[10]Sheet2!$C$1:$F$1223,4,0),"")</f>
        <v>신세계주류상사(유)전</v>
      </c>
      <c r="F131" s="74" t="s">
        <v>3467</v>
      </c>
      <c r="G131" s="72" t="s">
        <v>3483</v>
      </c>
      <c r="H131" s="75" t="s">
        <v>3499</v>
      </c>
      <c r="I131" s="75" t="s">
        <v>3524</v>
      </c>
      <c r="J131" s="76" t="s">
        <v>3628</v>
      </c>
      <c r="K131" s="77"/>
      <c r="L131" s="75"/>
      <c r="M131" s="75"/>
      <c r="N131" s="75"/>
      <c r="O131" s="75"/>
      <c r="P131" s="75"/>
      <c r="Q131" s="75"/>
      <c r="R131" s="75"/>
      <c r="S131" s="75"/>
      <c r="T131" s="75">
        <v>1</v>
      </c>
      <c r="U131" s="75"/>
      <c r="V131" s="78"/>
      <c r="W131" s="44"/>
      <c r="X131" s="77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8"/>
    </row>
    <row r="132" spans="1:35">
      <c r="A132" s="44"/>
      <c r="B132" s="71" t="str">
        <f>IFERROR(VLOOKUP(C132,[10]Sheet2!$C$3:$F$1223,2,0),"")</f>
        <v>Seoul</v>
      </c>
      <c r="C132" s="72">
        <v>83763</v>
      </c>
      <c r="D132" s="73" t="str">
        <f>IFERROR(VLOOKUP(C132,[10]Sheet2!$C$1:$F$1223,3,0),"")</f>
        <v>김민석</v>
      </c>
      <c r="E132" s="73" t="str">
        <f>IFERROR(VLOOKUP(C132,[10]Sheet2!$C$1:$F$1223,4,0),"")</f>
        <v>(유)미라클수입주류상사</v>
      </c>
      <c r="F132" s="74" t="s">
        <v>3468</v>
      </c>
      <c r="G132" s="72" t="s">
        <v>3686</v>
      </c>
      <c r="H132" s="75" t="s">
        <v>3499</v>
      </c>
      <c r="I132" s="75" t="s">
        <v>3629</v>
      </c>
      <c r="J132" s="76" t="s">
        <v>3630</v>
      </c>
      <c r="K132" s="77"/>
      <c r="L132" s="75"/>
      <c r="M132" s="75"/>
      <c r="N132" s="75"/>
      <c r="O132" s="75"/>
      <c r="P132" s="75"/>
      <c r="Q132" s="75"/>
      <c r="R132" s="75"/>
      <c r="S132" s="75"/>
      <c r="T132" s="75"/>
      <c r="U132" s="75">
        <v>2</v>
      </c>
      <c r="V132" s="78"/>
      <c r="W132" s="44"/>
      <c r="X132" s="77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8"/>
    </row>
    <row r="133" spans="1:35">
      <c r="A133" s="44"/>
      <c r="B133" s="71" t="str">
        <f>IFERROR(VLOOKUP(C133,[10]Sheet2!$C$3:$F$1223,2,0),"")</f>
        <v>Gwangju</v>
      </c>
      <c r="C133" s="72">
        <v>83875</v>
      </c>
      <c r="D133" s="73" t="str">
        <f>IFERROR(VLOOKUP(C133,[10]Sheet2!$C$1:$F$1223,3,0),"")</f>
        <v>변재영</v>
      </c>
      <c r="E133" s="73" t="str">
        <f>IFERROR(VLOOKUP(C133,[10]Sheet2!$C$1:$F$1223,4,0),"")</f>
        <v>일신중국주류</v>
      </c>
      <c r="F133" s="74" t="s">
        <v>3469</v>
      </c>
      <c r="G133" s="72" t="s">
        <v>3686</v>
      </c>
      <c r="H133" s="75" t="s">
        <v>3499</v>
      </c>
      <c r="I133" s="75" t="s">
        <v>3502</v>
      </c>
      <c r="J133" s="76" t="s">
        <v>3631</v>
      </c>
      <c r="K133" s="77"/>
      <c r="L133" s="75"/>
      <c r="M133" s="75"/>
      <c r="N133" s="75"/>
      <c r="O133" s="75"/>
      <c r="P133" s="75"/>
      <c r="Q133" s="75"/>
      <c r="R133" s="75"/>
      <c r="S133" s="75"/>
      <c r="T133" s="75"/>
      <c r="U133" s="75">
        <v>3</v>
      </c>
      <c r="V133" s="78">
        <v>8</v>
      </c>
      <c r="W133" s="44"/>
      <c r="X133" s="77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8"/>
    </row>
    <row r="134" spans="1:35">
      <c r="A134" s="44"/>
      <c r="B134" s="71" t="str">
        <f>IFERROR(VLOOKUP(C134,[10]Sheet2!$C$3:$F$1223,2,0),"")</f>
        <v>Gwangju</v>
      </c>
      <c r="C134" s="72">
        <v>33969</v>
      </c>
      <c r="D134" s="73" t="str">
        <f>IFERROR(VLOOKUP(C134,[10]Sheet2!$C$1:$F$1223,3,0),"")</f>
        <v>변재영</v>
      </c>
      <c r="E134" s="73" t="str">
        <f>IFERROR(VLOOKUP(C134,[10]Sheet2!$C$1:$F$1223,4,0),"")</f>
        <v>고창주류(유)</v>
      </c>
      <c r="F134" s="74" t="s">
        <v>3470</v>
      </c>
      <c r="G134" s="72" t="s">
        <v>3483</v>
      </c>
      <c r="H134" s="75" t="s">
        <v>3481</v>
      </c>
      <c r="I134" s="75" t="s">
        <v>2507</v>
      </c>
      <c r="J134" s="76" t="s">
        <v>3632</v>
      </c>
      <c r="K134" s="77"/>
      <c r="L134" s="75"/>
      <c r="M134" s="75"/>
      <c r="N134" s="75"/>
      <c r="O134" s="75"/>
      <c r="P134" s="75"/>
      <c r="Q134" s="75"/>
      <c r="R134" s="75"/>
      <c r="S134" s="75"/>
      <c r="T134" s="75"/>
      <c r="U134" s="75">
        <v>1</v>
      </c>
      <c r="V134" s="78"/>
      <c r="W134" s="44"/>
      <c r="X134" s="77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8"/>
    </row>
    <row r="135" spans="1:35">
      <c r="A135" s="44"/>
      <c r="B135" s="71" t="str">
        <f>IFERROR(VLOOKUP(C135,[10]Sheet2!$C$3:$F$1223,2,0),"")</f>
        <v>Gwangju</v>
      </c>
      <c r="C135" s="72">
        <v>83875</v>
      </c>
      <c r="D135" s="73" t="str">
        <f>IFERROR(VLOOKUP(C135,[10]Sheet2!$C$1:$F$1223,3,0),"")</f>
        <v>변재영</v>
      </c>
      <c r="E135" s="73" t="str">
        <f>IFERROR(VLOOKUP(C135,[10]Sheet2!$C$1:$F$1223,4,0),"")</f>
        <v>일신중국주류</v>
      </c>
      <c r="F135" s="74" t="s">
        <v>3471</v>
      </c>
      <c r="G135" s="72" t="s">
        <v>3483</v>
      </c>
      <c r="H135" s="75" t="s">
        <v>3490</v>
      </c>
      <c r="I135" s="75" t="s">
        <v>3496</v>
      </c>
      <c r="J135" s="76" t="s">
        <v>3633</v>
      </c>
      <c r="K135" s="77"/>
      <c r="L135" s="75"/>
      <c r="M135" s="75"/>
      <c r="N135" s="75"/>
      <c r="O135" s="75"/>
      <c r="P135" s="75"/>
      <c r="Q135" s="75"/>
      <c r="R135" s="75"/>
      <c r="S135" s="75"/>
      <c r="T135" s="75"/>
      <c r="U135" s="75">
        <v>3</v>
      </c>
      <c r="V135" s="78"/>
      <c r="W135" s="44"/>
      <c r="X135" s="77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8"/>
    </row>
    <row r="136" spans="1:35">
      <c r="A136" s="44"/>
      <c r="B136" s="71" t="str">
        <f>IFERROR(VLOOKUP(C136,[10]Sheet2!$C$3:$F$1223,2,0),"")</f>
        <v>Gwangju</v>
      </c>
      <c r="C136" s="72">
        <v>83875</v>
      </c>
      <c r="D136" s="73" t="str">
        <f>IFERROR(VLOOKUP(C136,[10]Sheet2!$C$1:$F$1223,3,0),"")</f>
        <v>변재영</v>
      </c>
      <c r="E136" s="73" t="str">
        <f>IFERROR(VLOOKUP(C136,[10]Sheet2!$C$1:$F$1223,4,0),"")</f>
        <v>일신중국주류</v>
      </c>
      <c r="F136" s="74" t="s">
        <v>3472</v>
      </c>
      <c r="G136" s="72" t="s">
        <v>3686</v>
      </c>
      <c r="H136" s="75" t="s">
        <v>3490</v>
      </c>
      <c r="I136" s="75" t="s">
        <v>3491</v>
      </c>
      <c r="J136" s="76" t="s">
        <v>3634</v>
      </c>
      <c r="K136" s="77"/>
      <c r="L136" s="75"/>
      <c r="M136" s="75"/>
      <c r="N136" s="75"/>
      <c r="O136" s="75"/>
      <c r="P136" s="75"/>
      <c r="Q136" s="75"/>
      <c r="R136" s="75"/>
      <c r="S136" s="75"/>
      <c r="T136" s="75"/>
      <c r="U136" s="75">
        <v>10</v>
      </c>
      <c r="V136" s="78"/>
      <c r="W136" s="44"/>
      <c r="X136" s="77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8"/>
    </row>
    <row r="137" spans="1:35">
      <c r="A137" s="44"/>
      <c r="B137" s="71" t="str">
        <f>IFERROR(VLOOKUP(C137,[10]Sheet2!$C$3:$F$1223,2,0),"")</f>
        <v>Gwangju</v>
      </c>
      <c r="C137" s="72">
        <v>83875</v>
      </c>
      <c r="D137" s="73" t="str">
        <f>IFERROR(VLOOKUP(C137,[10]Sheet2!$C$1:$F$1223,3,0),"")</f>
        <v>변재영</v>
      </c>
      <c r="E137" s="73" t="str">
        <f>IFERROR(VLOOKUP(C137,[10]Sheet2!$C$1:$F$1223,4,0),"")</f>
        <v>일신중국주류</v>
      </c>
      <c r="F137" s="74" t="s">
        <v>3473</v>
      </c>
      <c r="G137" s="72" t="s">
        <v>3483</v>
      </c>
      <c r="H137" s="75" t="s">
        <v>3490</v>
      </c>
      <c r="I137" s="75" t="s">
        <v>3504</v>
      </c>
      <c r="J137" s="76" t="s">
        <v>3635</v>
      </c>
      <c r="K137" s="77"/>
      <c r="L137" s="75"/>
      <c r="M137" s="75"/>
      <c r="N137" s="75"/>
      <c r="O137" s="75"/>
      <c r="P137" s="75"/>
      <c r="Q137" s="75"/>
      <c r="R137" s="75"/>
      <c r="S137" s="75"/>
      <c r="T137" s="75"/>
      <c r="U137" s="75">
        <v>2</v>
      </c>
      <c r="V137" s="78"/>
      <c r="W137" s="44"/>
      <c r="X137" s="77"/>
      <c r="Y137" s="75">
        <v>1</v>
      </c>
      <c r="Z137" s="75"/>
      <c r="AA137" s="75"/>
      <c r="AB137" s="75"/>
      <c r="AC137" s="75"/>
      <c r="AD137" s="75"/>
      <c r="AE137" s="75"/>
      <c r="AF137" s="75"/>
      <c r="AG137" s="75"/>
      <c r="AH137" s="75"/>
      <c r="AI137" s="78"/>
    </row>
    <row r="138" spans="1:35">
      <c r="A138" s="44"/>
      <c r="B138" s="71" t="str">
        <f>IFERROR(VLOOKUP(C138,[10]Sheet2!$C$3:$F$1223,2,0),"")</f>
        <v>Gwangju</v>
      </c>
      <c r="C138" s="72">
        <v>83875</v>
      </c>
      <c r="D138" s="73" t="str">
        <f>IFERROR(VLOOKUP(C138,[10]Sheet2!$C$1:$F$1223,3,0),"")</f>
        <v>변재영</v>
      </c>
      <c r="E138" s="73" t="str">
        <f>IFERROR(VLOOKUP(C138,[10]Sheet2!$C$1:$F$1223,4,0),"")</f>
        <v>일신중국주류</v>
      </c>
      <c r="F138" s="74" t="s">
        <v>3474</v>
      </c>
      <c r="G138" s="72" t="s">
        <v>3483</v>
      </c>
      <c r="H138" s="75" t="s">
        <v>3490</v>
      </c>
      <c r="I138" s="75" t="s">
        <v>3496</v>
      </c>
      <c r="J138" s="76" t="s">
        <v>3636</v>
      </c>
      <c r="K138" s="77"/>
      <c r="L138" s="75"/>
      <c r="M138" s="75"/>
      <c r="N138" s="75"/>
      <c r="O138" s="75"/>
      <c r="P138" s="75"/>
      <c r="Q138" s="75"/>
      <c r="R138" s="75"/>
      <c r="S138" s="75"/>
      <c r="T138" s="75"/>
      <c r="U138" s="75">
        <v>1</v>
      </c>
      <c r="V138" s="78">
        <v>2</v>
      </c>
      <c r="W138" s="44"/>
      <c r="X138" s="77"/>
      <c r="Y138" s="75">
        <v>2</v>
      </c>
      <c r="Z138" s="75"/>
      <c r="AA138" s="75"/>
      <c r="AB138" s="75"/>
      <c r="AC138" s="75"/>
      <c r="AD138" s="75"/>
      <c r="AE138" s="75"/>
      <c r="AF138" s="75"/>
      <c r="AG138" s="75"/>
      <c r="AH138" s="75"/>
      <c r="AI138" s="78"/>
    </row>
    <row r="139" spans="1:35">
      <c r="A139" s="44"/>
      <c r="B139" s="71" t="str">
        <f>IFERROR(VLOOKUP(C139,[10]Sheet2!$C$3:$F$1223,2,0),"")</f>
        <v>Gwangju</v>
      </c>
      <c r="C139" s="72">
        <v>83875</v>
      </c>
      <c r="D139" s="73" t="str">
        <f>IFERROR(VLOOKUP(C139,[10]Sheet2!$C$1:$F$1223,3,0),"")</f>
        <v>변재영</v>
      </c>
      <c r="E139" s="73" t="str">
        <f>IFERROR(VLOOKUP(C139,[10]Sheet2!$C$1:$F$1223,4,0),"")</f>
        <v>일신중국주류</v>
      </c>
      <c r="F139" s="74" t="s">
        <v>3475</v>
      </c>
      <c r="G139" s="72" t="s">
        <v>3483</v>
      </c>
      <c r="H139" s="75" t="s">
        <v>3481</v>
      </c>
      <c r="I139" s="75" t="s">
        <v>921</v>
      </c>
      <c r="J139" s="76" t="s">
        <v>3637</v>
      </c>
      <c r="K139" s="77"/>
      <c r="L139" s="75"/>
      <c r="M139" s="75"/>
      <c r="N139" s="75"/>
      <c r="O139" s="75"/>
      <c r="P139" s="75"/>
      <c r="Q139" s="75"/>
      <c r="R139" s="75"/>
      <c r="S139" s="75"/>
      <c r="T139" s="75"/>
      <c r="U139" s="75">
        <v>5</v>
      </c>
      <c r="V139" s="78"/>
      <c r="W139" s="44"/>
      <c r="X139" s="77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8"/>
    </row>
    <row r="140" spans="1:35">
      <c r="A140" s="44"/>
      <c r="B140" s="71" t="str">
        <f>IFERROR(VLOOKUP(C140,[10]Sheet2!$C$3:$F$1223,2,0),"")</f>
        <v>Gwangju</v>
      </c>
      <c r="C140" s="72">
        <v>83875</v>
      </c>
      <c r="D140" s="73" t="str">
        <f>IFERROR(VLOOKUP(C140,[10]Sheet2!$C$1:$F$1223,3,0),"")</f>
        <v>변재영</v>
      </c>
      <c r="E140" s="73" t="str">
        <f>IFERROR(VLOOKUP(C140,[10]Sheet2!$C$1:$F$1223,4,0),"")</f>
        <v>일신중국주류</v>
      </c>
      <c r="F140" s="74" t="s">
        <v>3476</v>
      </c>
      <c r="G140" s="72" t="s">
        <v>3483</v>
      </c>
      <c r="H140" s="75" t="s">
        <v>3481</v>
      </c>
      <c r="I140" s="75" t="s">
        <v>921</v>
      </c>
      <c r="J140" s="76" t="s">
        <v>3638</v>
      </c>
      <c r="K140" s="77"/>
      <c r="L140" s="75"/>
      <c r="M140" s="75"/>
      <c r="N140" s="75"/>
      <c r="O140" s="75"/>
      <c r="P140" s="75"/>
      <c r="Q140" s="75"/>
      <c r="R140" s="75"/>
      <c r="S140" s="75"/>
      <c r="T140" s="75"/>
      <c r="U140" s="75">
        <v>2</v>
      </c>
      <c r="V140" s="78"/>
      <c r="W140" s="44"/>
      <c r="X140" s="77"/>
      <c r="Y140" s="75">
        <v>1</v>
      </c>
      <c r="Z140" s="75"/>
      <c r="AA140" s="75"/>
      <c r="AB140" s="75"/>
      <c r="AC140" s="75"/>
      <c r="AD140" s="75"/>
      <c r="AE140" s="75"/>
      <c r="AF140" s="75"/>
      <c r="AG140" s="75"/>
      <c r="AH140" s="75"/>
      <c r="AI140" s="78"/>
    </row>
    <row r="141" spans="1:35">
      <c r="A141" s="44"/>
      <c r="B141" s="71" t="str">
        <f>IFERROR(VLOOKUP(C141,[10]Sheet2!$C$3:$F$1223,2,0),"")</f>
        <v>Gwangju</v>
      </c>
      <c r="C141" s="72">
        <v>83875</v>
      </c>
      <c r="D141" s="73" t="str">
        <f>IFERROR(VLOOKUP(C141,[10]Sheet2!$C$1:$F$1223,3,0),"")</f>
        <v>변재영</v>
      </c>
      <c r="E141" s="73" t="str">
        <f>IFERROR(VLOOKUP(C141,[10]Sheet2!$C$1:$F$1223,4,0),"")</f>
        <v>일신중국주류</v>
      </c>
      <c r="F141" s="74" t="s">
        <v>3477</v>
      </c>
      <c r="G141" s="72" t="s">
        <v>3686</v>
      </c>
      <c r="H141" s="75" t="s">
        <v>3499</v>
      </c>
      <c r="I141" s="75" t="s">
        <v>3639</v>
      </c>
      <c r="J141" s="76" t="s">
        <v>3640</v>
      </c>
      <c r="K141" s="77"/>
      <c r="L141" s="75"/>
      <c r="M141" s="75"/>
      <c r="N141" s="75"/>
      <c r="O141" s="75"/>
      <c r="P141" s="75"/>
      <c r="Q141" s="75"/>
      <c r="R141" s="75"/>
      <c r="S141" s="75"/>
      <c r="T141" s="75"/>
      <c r="U141" s="75">
        <v>4</v>
      </c>
      <c r="V141" s="78">
        <v>7</v>
      </c>
      <c r="W141" s="44"/>
      <c r="X141" s="77">
        <v>5</v>
      </c>
      <c r="Y141" s="75">
        <v>4</v>
      </c>
      <c r="Z141" s="75"/>
      <c r="AA141" s="75"/>
      <c r="AB141" s="75"/>
      <c r="AC141" s="75"/>
      <c r="AD141" s="75"/>
      <c r="AE141" s="75"/>
      <c r="AF141" s="75"/>
      <c r="AG141" s="75"/>
      <c r="AH141" s="75"/>
      <c r="AI141" s="78"/>
    </row>
    <row r="142" spans="1:35">
      <c r="A142" s="44"/>
      <c r="B142" s="71" t="str">
        <f>IFERROR(VLOOKUP(C142,[10]Sheet2!$C$3:$F$1223,2,0),"")</f>
        <v>Gwangju</v>
      </c>
      <c r="C142" s="72">
        <v>83875</v>
      </c>
      <c r="D142" s="73" t="str">
        <f>IFERROR(VLOOKUP(C142,[10]Sheet2!$C$1:$F$1223,3,0),"")</f>
        <v>변재영</v>
      </c>
      <c r="E142" s="73" t="str">
        <f>IFERROR(VLOOKUP(C142,[10]Sheet2!$C$1:$F$1223,4,0),"")</f>
        <v>일신중국주류</v>
      </c>
      <c r="F142" s="74" t="s">
        <v>3478</v>
      </c>
      <c r="G142" s="72" t="s">
        <v>3686</v>
      </c>
      <c r="H142" s="75" t="s">
        <v>3499</v>
      </c>
      <c r="I142" s="75" t="s">
        <v>3547</v>
      </c>
      <c r="J142" s="76" t="s">
        <v>3641</v>
      </c>
      <c r="K142" s="77"/>
      <c r="L142" s="75"/>
      <c r="M142" s="75"/>
      <c r="N142" s="75"/>
      <c r="O142" s="75"/>
      <c r="P142" s="75"/>
      <c r="Q142" s="75"/>
      <c r="R142" s="75"/>
      <c r="S142" s="75"/>
      <c r="T142" s="75"/>
      <c r="U142" s="75">
        <v>2</v>
      </c>
      <c r="V142" s="78">
        <v>2</v>
      </c>
      <c r="W142" s="44"/>
      <c r="X142" s="77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8"/>
    </row>
    <row r="143" spans="1:35">
      <c r="A143" s="44"/>
      <c r="B143" s="71" t="str">
        <f>IFERROR(VLOOKUP(C143,[10]Sheet2!$C$3:$F$1223,2,0),"")</f>
        <v>Gwangju</v>
      </c>
      <c r="C143" s="72">
        <v>33987</v>
      </c>
      <c r="D143" s="73" t="str">
        <f>IFERROR(VLOOKUP(C143,[10]Sheet2!$C$1:$F$1223,3,0),"")</f>
        <v>변재영</v>
      </c>
      <c r="E143" s="73" t="str">
        <f>IFERROR(VLOOKUP(C143,[10]Sheet2!$C$1:$F$1223,4,0),"")</f>
        <v>전주호남주류</v>
      </c>
      <c r="F143" s="74" t="s">
        <v>3479</v>
      </c>
      <c r="G143" s="72" t="s">
        <v>3686</v>
      </c>
      <c r="H143" s="79" t="s">
        <v>3490</v>
      </c>
      <c r="I143" s="79" t="s">
        <v>3491</v>
      </c>
      <c r="J143" s="76" t="s">
        <v>3687</v>
      </c>
      <c r="K143" s="77"/>
      <c r="L143" s="75"/>
      <c r="M143" s="75"/>
      <c r="N143" s="75"/>
      <c r="O143" s="75"/>
      <c r="P143" s="75"/>
      <c r="Q143" s="75"/>
      <c r="R143" s="75"/>
      <c r="S143" s="75"/>
      <c r="T143" s="75"/>
      <c r="U143" s="75">
        <v>1</v>
      </c>
      <c r="V143" s="78"/>
      <c r="W143" s="44"/>
      <c r="X143" s="77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8"/>
    </row>
    <row r="144" spans="1:35">
      <c r="A144" s="44"/>
      <c r="B144" s="71" t="str">
        <f>IFERROR(VLOOKUP(C144,[10]Sheet2!$C$3:$F$1223,2,0),"")</f>
        <v>Gwangju</v>
      </c>
      <c r="C144" s="72">
        <v>33966</v>
      </c>
      <c r="D144" s="73" t="str">
        <f>IFERROR(VLOOKUP(C144,[10]Sheet2!$C$1:$F$1223,3,0),"")</f>
        <v>변재영</v>
      </c>
      <c r="E144" s="73" t="str">
        <f>IFERROR(VLOOKUP(C144,[10]Sheet2!$C$1:$F$1223,4,0),"")</f>
        <v>강남종합광주</v>
      </c>
      <c r="F144" s="74" t="s">
        <v>3480</v>
      </c>
      <c r="G144" s="72" t="s">
        <v>3483</v>
      </c>
      <c r="H144" s="75" t="s">
        <v>3481</v>
      </c>
      <c r="I144" s="75" t="s">
        <v>132</v>
      </c>
      <c r="J144" s="76" t="s">
        <v>3642</v>
      </c>
      <c r="K144" s="77"/>
      <c r="L144" s="75"/>
      <c r="M144" s="75"/>
      <c r="N144" s="75"/>
      <c r="O144" s="75"/>
      <c r="P144" s="75"/>
      <c r="Q144" s="75"/>
      <c r="R144" s="75"/>
      <c r="S144" s="75"/>
      <c r="T144" s="75"/>
      <c r="U144" s="75">
        <v>1</v>
      </c>
      <c r="V144" s="78">
        <v>1</v>
      </c>
      <c r="W144" s="44"/>
      <c r="X144" s="77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8"/>
    </row>
    <row r="145" spans="1:35">
      <c r="A145" s="44"/>
      <c r="B145" s="71" t="str">
        <f>IFERROR(VLOOKUP(C145,[10]Sheet2!$C$3:$F$1223,2,0),"")</f>
        <v>Gwangju</v>
      </c>
      <c r="C145" s="72">
        <v>33945</v>
      </c>
      <c r="D145" s="73" t="str">
        <f>IFERROR(VLOOKUP(C145,[10]Sheet2!$C$1:$F$1223,3,0),"")</f>
        <v>변재영</v>
      </c>
      <c r="E145" s="73" t="str">
        <f>IFERROR(VLOOKUP(C145,[10]Sheet2!$C$1:$F$1223,4,0),"")</f>
        <v>진성주류합동(창업)</v>
      </c>
      <c r="F145" s="74" t="s">
        <v>3688</v>
      </c>
      <c r="G145" s="72" t="s">
        <v>3483</v>
      </c>
      <c r="H145" s="75" t="s">
        <v>3481</v>
      </c>
      <c r="I145" s="75" t="s">
        <v>132</v>
      </c>
      <c r="J145" s="76" t="s">
        <v>3689</v>
      </c>
      <c r="K145" s="77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8">
        <v>1</v>
      </c>
      <c r="W145" s="44"/>
      <c r="X145" s="77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8"/>
    </row>
    <row r="146" spans="1:35">
      <c r="A146" s="44"/>
      <c r="B146" s="71" t="str">
        <f>IFERROR(VLOOKUP(C146,[10]Sheet2!$C$3:$F$1223,2,0),"")</f>
        <v>Gwangju</v>
      </c>
      <c r="C146" s="72">
        <v>33945</v>
      </c>
      <c r="D146" s="73" t="str">
        <f>IFERROR(VLOOKUP(C146,[10]Sheet2!$C$1:$F$1223,3,0),"")</f>
        <v>변재영</v>
      </c>
      <c r="E146" s="73" t="str">
        <f>IFERROR(VLOOKUP(C146,[10]Sheet2!$C$1:$F$1223,4,0),"")</f>
        <v>진성주류합동(창업)</v>
      </c>
      <c r="F146" s="74" t="s">
        <v>3690</v>
      </c>
      <c r="G146" s="72" t="s">
        <v>3686</v>
      </c>
      <c r="H146" s="75" t="s">
        <v>3481</v>
      </c>
      <c r="I146" s="75" t="s">
        <v>2519</v>
      </c>
      <c r="J146" s="76" t="s">
        <v>3691</v>
      </c>
      <c r="K146" s="77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8">
        <v>1</v>
      </c>
      <c r="W146" s="44"/>
      <c r="X146" s="77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8"/>
    </row>
    <row r="147" spans="1:35">
      <c r="A147" s="44"/>
      <c r="B147" s="71" t="str">
        <f>IFERROR(VLOOKUP(C147,[10]Sheet2!$C$3:$F$1223,2,0),"")</f>
        <v>Gwangju</v>
      </c>
      <c r="C147" s="72">
        <v>33955</v>
      </c>
      <c r="D147" s="73" t="str">
        <f>IFERROR(VLOOKUP(C147,[10]Sheet2!$C$1:$F$1223,3,0),"")</f>
        <v>변재영</v>
      </c>
      <c r="E147" s="73" t="str">
        <f>IFERROR(VLOOKUP(C147,[10]Sheet2!$C$1:$F$1223,4,0),"")</f>
        <v>가든주류(유)</v>
      </c>
      <c r="F147" s="74" t="s">
        <v>3692</v>
      </c>
      <c r="G147" s="72" t="s">
        <v>3483</v>
      </c>
      <c r="H147" s="75" t="s">
        <v>3499</v>
      </c>
      <c r="I147" s="75" t="s">
        <v>3524</v>
      </c>
      <c r="J147" s="76" t="s">
        <v>3693</v>
      </c>
      <c r="K147" s="77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8">
        <v>1</v>
      </c>
      <c r="W147" s="44"/>
      <c r="X147" s="77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8"/>
    </row>
    <row r="148" spans="1:35">
      <c r="A148" s="44"/>
      <c r="B148" s="71" t="str">
        <f>IFERROR(VLOOKUP(C148,[10]Sheet2!$C$3:$F$1223,2,0),"")</f>
        <v>Gwangju</v>
      </c>
      <c r="C148" s="72">
        <v>33912</v>
      </c>
      <c r="D148" s="73" t="str">
        <f>IFERROR(VLOOKUP(C148,[10]Sheet2!$C$1:$F$1223,3,0),"")</f>
        <v>변재영</v>
      </c>
      <c r="E148" s="73" t="str">
        <f>IFERROR(VLOOKUP(C148,[10]Sheet2!$C$1:$F$1223,4,0),"")</f>
        <v>아시아주류상</v>
      </c>
      <c r="F148" s="74" t="s">
        <v>3694</v>
      </c>
      <c r="G148" s="72" t="s">
        <v>3686</v>
      </c>
      <c r="H148" s="75" t="s">
        <v>3481</v>
      </c>
      <c r="I148" s="75" t="s">
        <v>2519</v>
      </c>
      <c r="J148" s="76" t="s">
        <v>3695</v>
      </c>
      <c r="K148" s="77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8">
        <v>1</v>
      </c>
      <c r="W148" s="44"/>
      <c r="X148" s="77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8"/>
    </row>
    <row r="149" spans="1:35">
      <c r="A149" s="44"/>
      <c r="B149" s="71" t="str">
        <f>IFERROR(VLOOKUP(C149,[10]Sheet2!$C$3:$F$1223,2,0),"")</f>
        <v>Gwangju</v>
      </c>
      <c r="C149" s="72">
        <v>33997</v>
      </c>
      <c r="D149" s="73" t="str">
        <f>IFERROR(VLOOKUP(C149,[10]Sheet2!$C$1:$F$1223,3,0),"")</f>
        <v>변재영</v>
      </c>
      <c r="E149" s="73" t="str">
        <f>IFERROR(VLOOKUP(C149,[10]Sheet2!$C$1:$F$1223,4,0),"")</f>
        <v>서해주류전북</v>
      </c>
      <c r="F149" s="74" t="s">
        <v>3696</v>
      </c>
      <c r="G149" s="72" t="s">
        <v>3483</v>
      </c>
      <c r="H149" s="75" t="s">
        <v>3490</v>
      </c>
      <c r="I149" s="75" t="s">
        <v>3496</v>
      </c>
      <c r="J149" s="76" t="s">
        <v>3697</v>
      </c>
      <c r="K149" s="77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8">
        <v>11</v>
      </c>
      <c r="W149" s="44"/>
      <c r="X149" s="77">
        <v>1</v>
      </c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8"/>
    </row>
    <row r="150" spans="1:35">
      <c r="A150" s="44"/>
      <c r="B150" s="71" t="str">
        <f>IFERROR(VLOOKUP(C150,[10]Sheet2!$C$3:$F$1223,2,0),"")</f>
        <v>Gwangju</v>
      </c>
      <c r="C150" s="72">
        <v>33952</v>
      </c>
      <c r="D150" s="73" t="str">
        <f>IFERROR(VLOOKUP(C150,[10]Sheet2!$C$1:$F$1223,3,0),"")</f>
        <v>변재영</v>
      </c>
      <c r="E150" s="73" t="str">
        <f>IFERROR(VLOOKUP(C150,[10]Sheet2!$C$1:$F$1223,4,0),"")</f>
        <v>우진주류(주)</v>
      </c>
      <c r="F150" s="74" t="s">
        <v>3698</v>
      </c>
      <c r="G150" s="72" t="s">
        <v>3483</v>
      </c>
      <c r="H150" s="75" t="s">
        <v>3481</v>
      </c>
      <c r="I150" s="75" t="s">
        <v>132</v>
      </c>
      <c r="J150" s="76" t="s">
        <v>3699</v>
      </c>
      <c r="K150" s="77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8">
        <v>1</v>
      </c>
      <c r="W150" s="44"/>
      <c r="X150" s="77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8"/>
    </row>
    <row r="151" spans="1:35">
      <c r="A151" s="44"/>
      <c r="B151" s="71" t="str">
        <f>IFERROR(VLOOKUP(C151,[10]Sheet2!$C$3:$F$1223,2,0),"")</f>
        <v>Gwangju</v>
      </c>
      <c r="C151" s="72">
        <v>83875</v>
      </c>
      <c r="D151" s="73" t="str">
        <f>IFERROR(VLOOKUP(C151,[10]Sheet2!$C$1:$F$1223,3,0),"")</f>
        <v>변재영</v>
      </c>
      <c r="E151" s="73" t="str">
        <f>IFERROR(VLOOKUP(C151,[10]Sheet2!$C$1:$F$1223,4,0),"")</f>
        <v>일신중국주류</v>
      </c>
      <c r="F151" s="74" t="s">
        <v>3700</v>
      </c>
      <c r="G151" s="72" t="s">
        <v>3483</v>
      </c>
      <c r="H151" s="75" t="s">
        <v>3481</v>
      </c>
      <c r="I151" s="75" t="s">
        <v>921</v>
      </c>
      <c r="J151" s="76" t="s">
        <v>3701</v>
      </c>
      <c r="K151" s="77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8">
        <v>10</v>
      </c>
      <c r="W151" s="44"/>
      <c r="X151" s="77">
        <v>5</v>
      </c>
      <c r="Y151" s="75">
        <v>3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78"/>
    </row>
    <row r="152" spans="1:35">
      <c r="A152" s="44"/>
      <c r="B152" s="71" t="str">
        <f>IFERROR(VLOOKUP(C152,[10]Sheet2!$C$3:$F$1223,2,0),"")</f>
        <v>Gwangju</v>
      </c>
      <c r="C152" s="72">
        <v>33893</v>
      </c>
      <c r="D152" s="73" t="str">
        <f>IFERROR(VLOOKUP(C152,[10]Sheet2!$C$1:$F$1223,3,0),"")</f>
        <v>변재영</v>
      </c>
      <c r="E152" s="73" t="str">
        <f>IFERROR(VLOOKUP(C152,[10]Sheet2!$C$1:$F$1223,4,0),"")</f>
        <v>여수맥주여수</v>
      </c>
      <c r="F152" s="74" t="s">
        <v>3702</v>
      </c>
      <c r="G152" s="72" t="s">
        <v>3686</v>
      </c>
      <c r="H152" s="75" t="s">
        <v>3499</v>
      </c>
      <c r="I152" s="75" t="s">
        <v>3547</v>
      </c>
      <c r="J152" s="76" t="s">
        <v>3703</v>
      </c>
      <c r="K152" s="77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8">
        <v>2</v>
      </c>
      <c r="W152" s="44"/>
      <c r="X152" s="77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8"/>
    </row>
    <row r="153" spans="1:35">
      <c r="A153" s="44"/>
      <c r="B153" s="71" t="str">
        <f>IFERROR(VLOOKUP(C153,[10]Sheet2!$C$3:$F$1223,2,0),"")</f>
        <v>Gwangju</v>
      </c>
      <c r="C153" s="72">
        <v>33979</v>
      </c>
      <c r="D153" s="73" t="str">
        <f>IFERROR(VLOOKUP(C153,[10]Sheet2!$C$1:$F$1223,3,0),"")</f>
        <v>변재영</v>
      </c>
      <c r="E153" s="73" t="str">
        <f>IFERROR(VLOOKUP(C153,[10]Sheet2!$C$1:$F$1223,4,0),"")</f>
        <v>우리주류합동상사(유)</v>
      </c>
      <c r="F153" s="74" t="s">
        <v>3704</v>
      </c>
      <c r="G153" s="72" t="s">
        <v>3483</v>
      </c>
      <c r="H153" s="75" t="s">
        <v>3481</v>
      </c>
      <c r="I153" s="75" t="s">
        <v>2507</v>
      </c>
      <c r="J153" s="76" t="s">
        <v>3705</v>
      </c>
      <c r="K153" s="77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8">
        <v>1</v>
      </c>
      <c r="W153" s="44"/>
      <c r="X153" s="77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8"/>
    </row>
    <row r="154" spans="1:35">
      <c r="A154" s="44"/>
      <c r="B154" s="71" t="str">
        <f>IFERROR(VLOOKUP(C154,[10]Sheet2!$C$3:$F$1223,2,0),"")</f>
        <v>Gwangju</v>
      </c>
      <c r="C154" s="72">
        <v>33917</v>
      </c>
      <c r="D154" s="73" t="str">
        <f>IFERROR(VLOOKUP(C154,[10]Sheet2!$C$1:$F$1223,3,0),"")</f>
        <v>변재영</v>
      </c>
      <c r="E154" s="73" t="str">
        <f>IFERROR(VLOOKUP(C154,[10]Sheet2!$C$1:$F$1223,4,0),"")</f>
        <v>대성주류순천(신세계순천)</v>
      </c>
      <c r="F154" s="74" t="s">
        <v>3706</v>
      </c>
      <c r="G154" s="72" t="s">
        <v>3686</v>
      </c>
      <c r="H154" s="75" t="s">
        <v>3499</v>
      </c>
      <c r="I154" s="75" t="s">
        <v>3547</v>
      </c>
      <c r="J154" s="76" t="s">
        <v>3707</v>
      </c>
      <c r="K154" s="77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8">
        <v>1</v>
      </c>
      <c r="W154" s="44"/>
      <c r="X154" s="77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8"/>
    </row>
    <row r="155" spans="1:35">
      <c r="A155" s="44"/>
      <c r="B155" s="71" t="str">
        <f>IFERROR(VLOOKUP(C155,[10]Sheet2!$C$3:$F$1223,2,0),"")</f>
        <v>Gwangju</v>
      </c>
      <c r="C155" s="72">
        <v>33987</v>
      </c>
      <c r="D155" s="73" t="str">
        <f>IFERROR(VLOOKUP(C155,[10]Sheet2!$C$1:$F$1223,3,0),"")</f>
        <v>변재영</v>
      </c>
      <c r="E155" s="73" t="str">
        <f>IFERROR(VLOOKUP(C155,[10]Sheet2!$C$1:$F$1223,4,0),"")</f>
        <v>전주호남주류</v>
      </c>
      <c r="F155" s="74" t="s">
        <v>3708</v>
      </c>
      <c r="G155" s="72"/>
      <c r="H155" s="75" t="s">
        <v>1145</v>
      </c>
      <c r="I155" s="75" t="s">
        <v>516</v>
      </c>
      <c r="J155" s="76" t="s">
        <v>3709</v>
      </c>
      <c r="K155" s="77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8">
        <v>1</v>
      </c>
      <c r="W155" s="44"/>
      <c r="X155" s="77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8"/>
    </row>
    <row r="156" spans="1:35">
      <c r="A156" s="44"/>
      <c r="B156" s="71" t="str">
        <f>IFERROR(VLOOKUP(C156,[10]Sheet2!$C$3:$F$1223,2,0),"")</f>
        <v>Gwangju</v>
      </c>
      <c r="C156" s="72">
        <v>33909</v>
      </c>
      <c r="D156" s="73" t="str">
        <f>IFERROR(VLOOKUP(C156,[10]Sheet2!$C$1:$F$1223,3,0),"")</f>
        <v>변재영</v>
      </c>
      <c r="E156" s="73" t="str">
        <f>IFERROR(VLOOKUP(C156,[10]Sheet2!$C$1:$F$1223,4,0),"")</f>
        <v>대동주류전남</v>
      </c>
      <c r="F156" s="74" t="s">
        <v>3710</v>
      </c>
      <c r="G156" s="72" t="s">
        <v>3483</v>
      </c>
      <c r="H156" s="75" t="s">
        <v>3499</v>
      </c>
      <c r="I156" s="75" t="s">
        <v>3524</v>
      </c>
      <c r="J156" s="76" t="s">
        <v>3711</v>
      </c>
      <c r="K156" s="77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8">
        <v>1</v>
      </c>
      <c r="W156" s="44"/>
      <c r="X156" s="77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8"/>
    </row>
    <row r="157" spans="1:35">
      <c r="A157" s="44"/>
      <c r="B157" s="71" t="str">
        <f>IFERROR(VLOOKUP(C157,[10]Sheet2!$C$3:$F$1223,2,0),"")</f>
        <v>Gwangju</v>
      </c>
      <c r="C157" s="72">
        <v>33922</v>
      </c>
      <c r="D157" s="73" t="str">
        <f>IFERROR(VLOOKUP(C157,[10]Sheet2!$C$1:$F$1223,3,0),"")</f>
        <v>변재영</v>
      </c>
      <c r="E157" s="73" t="str">
        <f>IFERROR(VLOOKUP(C157,[10]Sheet2!$C$1:$F$1223,4,0),"")</f>
        <v>대운주류전남</v>
      </c>
      <c r="F157" s="74" t="s">
        <v>3712</v>
      </c>
      <c r="G157" s="72" t="s">
        <v>3686</v>
      </c>
      <c r="H157" s="75" t="s">
        <v>3481</v>
      </c>
      <c r="I157" s="75" t="s">
        <v>2519</v>
      </c>
      <c r="J157" s="76" t="s">
        <v>3713</v>
      </c>
      <c r="K157" s="77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8">
        <v>1</v>
      </c>
      <c r="W157" s="44"/>
      <c r="X157" s="77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8"/>
    </row>
    <row r="158" spans="1:35">
      <c r="A158" s="44"/>
      <c r="B158" s="71" t="str">
        <f>IFERROR(VLOOKUP(C158,[10]Sheet2!$C$3:$F$1223,2,0),"")</f>
        <v>Gwangju</v>
      </c>
      <c r="C158" s="72">
        <v>33907</v>
      </c>
      <c r="D158" s="73" t="str">
        <f>IFERROR(VLOOKUP(C158,[10]Sheet2!$C$1:$F$1223,3,0),"")</f>
        <v>변재영</v>
      </c>
      <c r="E158" s="73" t="str">
        <f>IFERROR(VLOOKUP(C158,[10]Sheet2!$C$1:$F$1223,4,0),"")</f>
        <v>신성주류전남</v>
      </c>
      <c r="F158" s="74" t="s">
        <v>3714</v>
      </c>
      <c r="G158" s="72" t="s">
        <v>3483</v>
      </c>
      <c r="H158" s="75" t="s">
        <v>3499</v>
      </c>
      <c r="I158" s="75" t="s">
        <v>3500</v>
      </c>
      <c r="J158" s="76" t="s">
        <v>3715</v>
      </c>
      <c r="K158" s="77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8">
        <v>1</v>
      </c>
      <c r="W158" s="44"/>
      <c r="X158" s="77">
        <v>1</v>
      </c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8"/>
    </row>
    <row r="159" spans="1:35">
      <c r="A159" s="44"/>
      <c r="B159" s="71" t="str">
        <f>IFERROR(VLOOKUP(C159,[10]Sheet2!$C$3:$F$1223,2,0),"")</f>
        <v>Gwangju</v>
      </c>
      <c r="C159" s="72">
        <v>33897</v>
      </c>
      <c r="D159" s="73" t="str">
        <f>IFERROR(VLOOKUP(C159,[10]Sheet2!$C$1:$F$1223,3,0),"")</f>
        <v>변재영</v>
      </c>
      <c r="E159" s="73" t="str">
        <f>IFERROR(VLOOKUP(C159,[10]Sheet2!$C$1:$F$1223,4,0),"")</f>
        <v>한려주류서광</v>
      </c>
      <c r="F159" s="74" t="s">
        <v>3716</v>
      </c>
      <c r="G159" s="72" t="s">
        <v>3686</v>
      </c>
      <c r="H159" s="75" t="s">
        <v>3499</v>
      </c>
      <c r="I159" s="75" t="s">
        <v>3547</v>
      </c>
      <c r="J159" s="76" t="s">
        <v>3717</v>
      </c>
      <c r="K159" s="77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8">
        <v>2</v>
      </c>
      <c r="W159" s="44"/>
      <c r="X159" s="77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8"/>
    </row>
    <row r="160" spans="1:35">
      <c r="A160" s="44"/>
      <c r="B160" s="71" t="str">
        <f>IFERROR(VLOOKUP(C160,[10]Sheet2!$C$3:$F$1223,2,0),"")</f>
        <v>Gwangju</v>
      </c>
      <c r="C160" s="72">
        <v>33905</v>
      </c>
      <c r="D160" s="73" t="str">
        <f>IFERROR(VLOOKUP(C160,[10]Sheet2!$C$1:$F$1223,3,0),"")</f>
        <v>변재영</v>
      </c>
      <c r="E160" s="73" t="str">
        <f>IFERROR(VLOOKUP(C160,[10]Sheet2!$C$1:$F$1223,4,0),"")</f>
        <v>화순주류합동(자)</v>
      </c>
      <c r="F160" s="74" t="s">
        <v>3718</v>
      </c>
      <c r="G160" s="72" t="s">
        <v>3686</v>
      </c>
      <c r="H160" s="75" t="s">
        <v>3499</v>
      </c>
      <c r="I160" s="75" t="s">
        <v>3639</v>
      </c>
      <c r="J160" s="76" t="s">
        <v>3719</v>
      </c>
      <c r="K160" s="77"/>
      <c r="L160" s="75"/>
      <c r="M160" s="75"/>
      <c r="N160" s="75"/>
      <c r="O160" s="75"/>
      <c r="P160" s="75"/>
      <c r="Q160" s="75"/>
      <c r="R160" s="75"/>
      <c r="S160" s="75"/>
      <c r="T160" s="75">
        <v>1</v>
      </c>
      <c r="U160" s="75">
        <v>2</v>
      </c>
      <c r="V160" s="78">
        <v>4</v>
      </c>
      <c r="W160" s="44"/>
      <c r="X160" s="77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8"/>
    </row>
    <row r="161" spans="1:35">
      <c r="A161" s="44"/>
      <c r="B161" s="71" t="str">
        <f>IFERROR(VLOOKUP(C161,[10]Sheet2!$C$3:$F$1223,2,0),"")</f>
        <v>Gwangju</v>
      </c>
      <c r="C161" s="72">
        <v>34818</v>
      </c>
      <c r="D161" s="73" t="str">
        <f>IFERROR(VLOOKUP(C161,[10]Sheet2!$C$1:$F$1223,3,0),"")</f>
        <v>변재영</v>
      </c>
      <c r="E161" s="73" t="str">
        <f>IFERROR(VLOOKUP(C161,[10]Sheet2!$C$1:$F$1223,4,0),"")</f>
        <v>옥주주류상사</v>
      </c>
      <c r="F161" s="74" t="s">
        <v>3720</v>
      </c>
      <c r="G161" s="72" t="s">
        <v>3686</v>
      </c>
      <c r="H161" s="75" t="s">
        <v>3499</v>
      </c>
      <c r="I161" s="75" t="s">
        <v>3721</v>
      </c>
      <c r="J161" s="76" t="s">
        <v>3722</v>
      </c>
      <c r="K161" s="77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8">
        <v>3</v>
      </c>
      <c r="W161" s="44"/>
      <c r="X161" s="77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8"/>
    </row>
    <row r="162" spans="1:35">
      <c r="A162" s="44"/>
      <c r="B162" s="71" t="str">
        <f>IFERROR(VLOOKUP(C162,[10]Sheet2!$C$3:$F$1223,2,0),"")</f>
        <v>Gwangju</v>
      </c>
      <c r="C162" s="72">
        <v>33899</v>
      </c>
      <c r="D162" s="73" t="str">
        <f>IFERROR(VLOOKUP(C162,[10]Sheet2!$C$1:$F$1223,3,0),"")</f>
        <v>변재영</v>
      </c>
      <c r="E162" s="73" t="str">
        <f>IFERROR(VLOOKUP(C162,[10]Sheet2!$C$1:$F$1223,4,0),"")</f>
        <v>전남종합주류</v>
      </c>
      <c r="F162" s="74" t="s">
        <v>3723</v>
      </c>
      <c r="G162" s="72" t="s">
        <v>3483</v>
      </c>
      <c r="H162" s="75" t="s">
        <v>3481</v>
      </c>
      <c r="I162" s="75" t="s">
        <v>921</v>
      </c>
      <c r="J162" s="76" t="s">
        <v>3724</v>
      </c>
      <c r="K162" s="77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8">
        <v>1</v>
      </c>
      <c r="W162" s="44"/>
      <c r="X162" s="77">
        <v>2</v>
      </c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8"/>
    </row>
    <row r="163" spans="1:35">
      <c r="A163" s="44"/>
      <c r="B163" s="71" t="str">
        <f>IFERROR(VLOOKUP(C163,[10]Sheet2!$C$3:$F$1223,2,0),"")</f>
        <v>Gwangju</v>
      </c>
      <c r="C163" s="72">
        <v>33878</v>
      </c>
      <c r="D163" s="73" t="str">
        <f>IFERROR(VLOOKUP(C163,[10]Sheet2!$C$1:$F$1223,3,0),"")</f>
        <v>변재영</v>
      </c>
      <c r="E163" s="73" t="str">
        <f>IFERROR(VLOOKUP(C163,[10]Sheet2!$C$1:$F$1223,4,0),"")</f>
        <v>한일상사전남</v>
      </c>
      <c r="F163" s="74" t="s">
        <v>3725</v>
      </c>
      <c r="G163" s="72" t="s">
        <v>3686</v>
      </c>
      <c r="H163" s="75" t="s">
        <v>3481</v>
      </c>
      <c r="I163" s="75" t="s">
        <v>878</v>
      </c>
      <c r="J163" s="76" t="s">
        <v>3726</v>
      </c>
      <c r="K163" s="77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8">
        <v>1</v>
      </c>
      <c r="W163" s="44"/>
      <c r="X163" s="77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8"/>
    </row>
    <row r="164" spans="1:35">
      <c r="A164" s="44"/>
      <c r="B164" s="71" t="str">
        <f>IFERROR(VLOOKUP(C164,[10]Sheet2!$C$3:$F$1223,2,0),"")</f>
        <v>Gwangju</v>
      </c>
      <c r="C164" s="72">
        <v>33878</v>
      </c>
      <c r="D164" s="73" t="str">
        <f>IFERROR(VLOOKUP(C164,[10]Sheet2!$C$1:$F$1223,3,0),"")</f>
        <v>변재영</v>
      </c>
      <c r="E164" s="73" t="str">
        <f>IFERROR(VLOOKUP(C164,[10]Sheet2!$C$1:$F$1223,4,0),"")</f>
        <v>한일상사전남</v>
      </c>
      <c r="F164" s="74" t="s">
        <v>3727</v>
      </c>
      <c r="G164" s="72" t="s">
        <v>3686</v>
      </c>
      <c r="H164" s="75" t="s">
        <v>3481</v>
      </c>
      <c r="I164" s="75" t="s">
        <v>878</v>
      </c>
      <c r="J164" s="76" t="s">
        <v>3728</v>
      </c>
      <c r="K164" s="77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8">
        <v>2</v>
      </c>
      <c r="W164" s="44"/>
      <c r="X164" s="77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8"/>
    </row>
    <row r="165" spans="1:35">
      <c r="A165" s="44"/>
      <c r="B165" s="71" t="str">
        <f>IFERROR(VLOOKUP(C165,[10]Sheet2!$C$3:$F$1223,2,0),"")</f>
        <v>Gwangju</v>
      </c>
      <c r="C165" s="72">
        <v>33994</v>
      </c>
      <c r="D165" s="73" t="str">
        <f>IFERROR(VLOOKUP(C165,[10]Sheet2!$C$1:$F$1223,3,0),"")</f>
        <v>변재영</v>
      </c>
      <c r="E165" s="73" t="str">
        <f>IFERROR(VLOOKUP(C165,[10]Sheet2!$C$1:$F$1223,4,0),"")</f>
        <v>신일상사전북</v>
      </c>
      <c r="F165" s="72" t="s">
        <v>3729</v>
      </c>
      <c r="G165" s="72" t="s">
        <v>3483</v>
      </c>
      <c r="H165" s="75" t="s">
        <v>3490</v>
      </c>
      <c r="I165" s="75" t="s">
        <v>3504</v>
      </c>
      <c r="J165" s="76" t="s">
        <v>3730</v>
      </c>
      <c r="K165" s="77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8">
        <v>2</v>
      </c>
      <c r="W165" s="44"/>
      <c r="X165" s="77"/>
      <c r="Y165" s="75">
        <v>6</v>
      </c>
      <c r="Z165" s="75"/>
      <c r="AA165" s="75"/>
      <c r="AB165" s="75"/>
      <c r="AC165" s="75"/>
      <c r="AD165" s="75"/>
      <c r="AE165" s="75"/>
      <c r="AF165" s="75"/>
      <c r="AG165" s="75"/>
      <c r="AH165" s="75"/>
      <c r="AI165" s="78"/>
    </row>
    <row r="166" spans="1:35">
      <c r="A166" s="44"/>
      <c r="B166" s="71" t="str">
        <f>IFERROR(VLOOKUP(C166,[10]Sheet2!$C$3:$F$1223,2,0),"")</f>
        <v>Gwangju</v>
      </c>
      <c r="C166" s="75">
        <v>83875</v>
      </c>
      <c r="D166" s="73" t="str">
        <f>IFERROR(VLOOKUP(C166,[10]Sheet2!$C$1:$F$1223,3,0),"")</f>
        <v>변재영</v>
      </c>
      <c r="E166" s="73" t="str">
        <f>IFERROR(VLOOKUP(C166,[10]Sheet2!$C$1:$F$1223,4,0),"")</f>
        <v>일신중국주류</v>
      </c>
      <c r="F166" s="72" t="s">
        <v>3731</v>
      </c>
      <c r="G166" s="72" t="s">
        <v>3686</v>
      </c>
      <c r="H166" s="75" t="s">
        <v>3490</v>
      </c>
      <c r="I166" s="75" t="s">
        <v>3545</v>
      </c>
      <c r="J166" s="76" t="s">
        <v>3732</v>
      </c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8"/>
      <c r="W166" s="44"/>
      <c r="X166" s="77">
        <v>2</v>
      </c>
      <c r="Y166" s="75">
        <v>4</v>
      </c>
      <c r="Z166" s="75"/>
      <c r="AA166" s="75"/>
      <c r="AB166" s="75"/>
      <c r="AC166" s="75"/>
      <c r="AD166" s="75"/>
      <c r="AE166" s="75"/>
      <c r="AF166" s="75"/>
      <c r="AG166" s="75"/>
      <c r="AH166" s="75"/>
      <c r="AI166" s="78"/>
    </row>
    <row r="167" spans="1:35">
      <c r="A167" s="44"/>
      <c r="B167" s="71" t="str">
        <f>IFERROR(VLOOKUP(C167,[10]Sheet2!$C$3:$F$1223,2,0),"")</f>
        <v>Gwangju</v>
      </c>
      <c r="C167" s="75">
        <v>83875</v>
      </c>
      <c r="D167" s="73" t="str">
        <f>IFERROR(VLOOKUP(C167,[10]Sheet2!$C$1:$F$1223,3,0),"")</f>
        <v>변재영</v>
      </c>
      <c r="E167" s="73" t="str">
        <f>IFERROR(VLOOKUP(C167,[10]Sheet2!$C$1:$F$1223,4,0),"")</f>
        <v>일신중국주류</v>
      </c>
      <c r="F167" s="72" t="s">
        <v>3733</v>
      </c>
      <c r="G167" s="72" t="s">
        <v>3483</v>
      </c>
      <c r="H167" s="75" t="s">
        <v>3481</v>
      </c>
      <c r="I167" s="75" t="s">
        <v>2507</v>
      </c>
      <c r="J167" s="76" t="s">
        <v>3734</v>
      </c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8"/>
      <c r="W167" s="44"/>
      <c r="X167" s="77">
        <v>1</v>
      </c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8"/>
    </row>
    <row r="168" spans="1:35">
      <c r="A168" s="44"/>
      <c r="B168" s="71" t="str">
        <f>IFERROR(VLOOKUP(C168,[10]Sheet2!$C$3:$F$1223,2,0),"")</f>
        <v>Gwangju</v>
      </c>
      <c r="C168" s="75">
        <v>83875</v>
      </c>
      <c r="D168" s="73" t="str">
        <f>IFERROR(VLOOKUP(C168,[10]Sheet2!$C$1:$F$1223,3,0),"")</f>
        <v>변재영</v>
      </c>
      <c r="E168" s="73" t="str">
        <f>IFERROR(VLOOKUP(C168,[10]Sheet2!$C$1:$F$1223,4,0),"")</f>
        <v>일신중국주류</v>
      </c>
      <c r="F168" s="72" t="s">
        <v>3735</v>
      </c>
      <c r="G168" s="72" t="s">
        <v>3483</v>
      </c>
      <c r="H168" s="75" t="s">
        <v>3481</v>
      </c>
      <c r="I168" s="75" t="s">
        <v>132</v>
      </c>
      <c r="J168" s="76" t="s">
        <v>3736</v>
      </c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8"/>
      <c r="W168" s="44"/>
      <c r="X168" s="77">
        <v>3</v>
      </c>
      <c r="Y168" s="75">
        <v>5</v>
      </c>
      <c r="Z168" s="75"/>
      <c r="AA168" s="75"/>
      <c r="AB168" s="75"/>
      <c r="AC168" s="75"/>
      <c r="AD168" s="75"/>
      <c r="AE168" s="75"/>
      <c r="AF168" s="75"/>
      <c r="AG168" s="75"/>
      <c r="AH168" s="75"/>
      <c r="AI168" s="78"/>
    </row>
    <row r="169" spans="1:35">
      <c r="A169" s="44"/>
      <c r="B169" s="71" t="str">
        <f>IFERROR(VLOOKUP(C169,[10]Sheet2!$C$3:$F$1223,2,0),"")</f>
        <v>Gwangju</v>
      </c>
      <c r="C169" s="75">
        <v>33917</v>
      </c>
      <c r="D169" s="73" t="str">
        <f>IFERROR(VLOOKUP(C169,[10]Sheet2!$C$1:$F$1223,3,0),"")</f>
        <v>변재영</v>
      </c>
      <c r="E169" s="73" t="str">
        <f>IFERROR(VLOOKUP(C169,[10]Sheet2!$C$1:$F$1223,4,0),"")</f>
        <v>대성주류순천(신세계순천)</v>
      </c>
      <c r="F169" s="72" t="s">
        <v>3737</v>
      </c>
      <c r="G169" s="72" t="s">
        <v>3686</v>
      </c>
      <c r="H169" s="75" t="s">
        <v>3499</v>
      </c>
      <c r="I169" s="75" t="s">
        <v>3502</v>
      </c>
      <c r="J169" s="76" t="s">
        <v>3738</v>
      </c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8"/>
      <c r="W169" s="44"/>
      <c r="X169" s="77">
        <v>1</v>
      </c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8"/>
    </row>
    <row r="170" spans="1:35">
      <c r="A170" s="44"/>
      <c r="B170" s="71" t="str">
        <f>IFERROR(VLOOKUP(C170,[10]Sheet2!$C$3:$F$1223,2,0),"")</f>
        <v>Gwangju</v>
      </c>
      <c r="C170" s="75">
        <v>33931</v>
      </c>
      <c r="D170" s="73" t="str">
        <f>IFERROR(VLOOKUP(C170,[10]Sheet2!$C$1:$F$1223,3,0),"")</f>
        <v>변재영</v>
      </c>
      <c r="E170" s="73" t="str">
        <f>IFERROR(VLOOKUP(C170,[10]Sheet2!$C$1:$F$1223,4,0),"")</f>
        <v>영동주류전남</v>
      </c>
      <c r="F170" s="72" t="s">
        <v>3739</v>
      </c>
      <c r="G170" s="72" t="s">
        <v>3483</v>
      </c>
      <c r="H170" s="75" t="s">
        <v>3499</v>
      </c>
      <c r="I170" s="75" t="s">
        <v>3559</v>
      </c>
      <c r="J170" s="76" t="s">
        <v>3740</v>
      </c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8"/>
      <c r="W170" s="44"/>
      <c r="X170" s="77">
        <v>1</v>
      </c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8"/>
    </row>
    <row r="171" spans="1:35">
      <c r="A171" s="44"/>
      <c r="B171" s="71" t="str">
        <f>IFERROR(VLOOKUP(C171,[10]Sheet2!$C$3:$F$1223,2,0),"")</f>
        <v>Gwangju</v>
      </c>
      <c r="C171" s="75">
        <v>33987</v>
      </c>
      <c r="D171" s="73" t="str">
        <f>IFERROR(VLOOKUP(C171,[10]Sheet2!$C$1:$F$1223,3,0),"")</f>
        <v>변재영</v>
      </c>
      <c r="E171" s="73" t="str">
        <f>IFERROR(VLOOKUP(C171,[10]Sheet2!$C$1:$F$1223,4,0),"")</f>
        <v>전주호남주류</v>
      </c>
      <c r="F171" s="72" t="s">
        <v>3741</v>
      </c>
      <c r="G171" s="72" t="s">
        <v>3483</v>
      </c>
      <c r="H171" s="75" t="s">
        <v>3481</v>
      </c>
      <c r="I171" s="75" t="s">
        <v>2507</v>
      </c>
      <c r="J171" s="76" t="s">
        <v>3742</v>
      </c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8"/>
      <c r="W171" s="44"/>
      <c r="X171" s="77">
        <v>2</v>
      </c>
      <c r="Y171" s="75">
        <v>1</v>
      </c>
      <c r="Z171" s="75"/>
      <c r="AA171" s="75"/>
      <c r="AB171" s="75"/>
      <c r="AC171" s="75"/>
      <c r="AD171" s="75"/>
      <c r="AE171" s="75"/>
      <c r="AF171" s="75"/>
      <c r="AG171" s="75"/>
      <c r="AH171" s="75"/>
      <c r="AI171" s="78"/>
    </row>
    <row r="172" spans="1:35">
      <c r="A172" s="44"/>
      <c r="B172" s="71" t="str">
        <f>IFERROR(VLOOKUP(C172,[10]Sheet2!$C$3:$F$1223,2,0),"")</f>
        <v>Gwangju</v>
      </c>
      <c r="C172" s="75">
        <v>33878</v>
      </c>
      <c r="D172" s="73" t="str">
        <f>IFERROR(VLOOKUP(C172,[10]Sheet2!$C$1:$F$1223,3,0),"")</f>
        <v>변재영</v>
      </c>
      <c r="E172" s="73" t="str">
        <f>IFERROR(VLOOKUP(C172,[10]Sheet2!$C$1:$F$1223,4,0),"")</f>
        <v>한일상사전남</v>
      </c>
      <c r="F172" s="72" t="s">
        <v>3743</v>
      </c>
      <c r="G172" s="72" t="s">
        <v>3686</v>
      </c>
      <c r="H172" s="75" t="s">
        <v>3481</v>
      </c>
      <c r="I172" s="75" t="s">
        <v>878</v>
      </c>
      <c r="J172" s="76" t="s">
        <v>3744</v>
      </c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8">
        <v>1</v>
      </c>
      <c r="W172" s="44"/>
      <c r="X172" s="77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8"/>
    </row>
    <row r="173" spans="1:35">
      <c r="A173" s="44"/>
      <c r="B173" s="71" t="str">
        <f>IFERROR(VLOOKUP(C173,[10]Sheet2!$C$3:$F$1223,2,0),"")</f>
        <v>Gwangju</v>
      </c>
      <c r="C173" s="75">
        <v>33955</v>
      </c>
      <c r="D173" s="73" t="str">
        <f>IFERROR(VLOOKUP(C173,[10]Sheet2!$C$1:$F$1223,3,0),"")</f>
        <v>변재영</v>
      </c>
      <c r="E173" s="73" t="str">
        <f>IFERROR(VLOOKUP(C173,[10]Sheet2!$C$1:$F$1223,4,0),"")</f>
        <v>가든주류(유)</v>
      </c>
      <c r="F173" s="72" t="s">
        <v>3745</v>
      </c>
      <c r="G173" s="72" t="s">
        <v>3483</v>
      </c>
      <c r="H173" s="75" t="s">
        <v>3481</v>
      </c>
      <c r="I173" s="75" t="s">
        <v>921</v>
      </c>
      <c r="J173" s="76" t="s">
        <v>3746</v>
      </c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8"/>
      <c r="W173" s="44"/>
      <c r="X173" s="77">
        <v>2</v>
      </c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8"/>
    </row>
    <row r="174" spans="1:35">
      <c r="A174" s="44"/>
      <c r="B174" s="71" t="str">
        <f>IFERROR(VLOOKUP(C174,[10]Sheet2!$C$3:$F$1223,2,0),"")</f>
        <v>Gwangju</v>
      </c>
      <c r="C174" s="75">
        <v>33905</v>
      </c>
      <c r="D174" s="73" t="str">
        <f>IFERROR(VLOOKUP(C174,[10]Sheet2!$C$1:$F$1223,3,0),"")</f>
        <v>변재영</v>
      </c>
      <c r="E174" s="73" t="str">
        <f>IFERROR(VLOOKUP(C174,[10]Sheet2!$C$1:$F$1223,4,0),"")</f>
        <v>화순주류합동(자)</v>
      </c>
      <c r="F174" s="72" t="s">
        <v>3747</v>
      </c>
      <c r="G174" s="72" t="s">
        <v>3686</v>
      </c>
      <c r="H174" s="75" t="s">
        <v>3499</v>
      </c>
      <c r="I174" s="75" t="s">
        <v>3639</v>
      </c>
      <c r="J174" s="76" t="s">
        <v>3748</v>
      </c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8"/>
      <c r="W174" s="44"/>
      <c r="X174" s="77">
        <v>1</v>
      </c>
      <c r="Y174" s="75">
        <v>2</v>
      </c>
      <c r="Z174" s="75"/>
      <c r="AA174" s="75"/>
      <c r="AB174" s="75"/>
      <c r="AC174" s="75"/>
      <c r="AD174" s="75"/>
      <c r="AE174" s="75"/>
      <c r="AF174" s="75"/>
      <c r="AG174" s="75"/>
      <c r="AH174" s="75"/>
      <c r="AI174" s="78"/>
    </row>
    <row r="175" spans="1:35">
      <c r="A175" s="44"/>
      <c r="B175" s="71" t="str">
        <f>IFERROR(VLOOKUP(C175,[10]Sheet2!$C$3:$F$1223,2,0),"")</f>
        <v>Gwangju</v>
      </c>
      <c r="C175" s="75">
        <v>33877</v>
      </c>
      <c r="D175" s="73" t="str">
        <f>IFERROR(VLOOKUP(C175,[10]Sheet2!$C$1:$F$1223,3,0),"")</f>
        <v>변재영</v>
      </c>
      <c r="E175" s="73" t="str">
        <f>IFERROR(VLOOKUP(C175,[10]Sheet2!$C$1:$F$1223,4,0),"")</f>
        <v>히트주류상사</v>
      </c>
      <c r="F175" s="72" t="s">
        <v>3749</v>
      </c>
      <c r="G175" s="72" t="s">
        <v>3686</v>
      </c>
      <c r="H175" s="75" t="s">
        <v>3499</v>
      </c>
      <c r="I175" s="75" t="s">
        <v>3547</v>
      </c>
      <c r="J175" s="76" t="s">
        <v>3750</v>
      </c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8"/>
      <c r="W175" s="44"/>
      <c r="X175" s="77">
        <v>1</v>
      </c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8"/>
    </row>
    <row r="176" spans="1:35">
      <c r="A176" s="44"/>
      <c r="B176" s="71" t="str">
        <f>IFERROR(VLOOKUP(C176,[10]Sheet2!$C$3:$F$1223,2,0),"")</f>
        <v>Gwangju</v>
      </c>
      <c r="C176" s="75">
        <v>33967</v>
      </c>
      <c r="D176" s="73" t="str">
        <f>IFERROR(VLOOKUP(C176,[10]Sheet2!$C$1:$F$1223,3,0),"")</f>
        <v>변재영</v>
      </c>
      <c r="E176" s="73" t="str">
        <f>IFERROR(VLOOKUP(C176,[10]Sheet2!$C$1:$F$1223,4,0),"")</f>
        <v>국진상사광주</v>
      </c>
      <c r="F176" s="72" t="s">
        <v>3751</v>
      </c>
      <c r="G176" s="72" t="s">
        <v>3483</v>
      </c>
      <c r="H176" s="75" t="s">
        <v>3481</v>
      </c>
      <c r="I176" s="75" t="s">
        <v>132</v>
      </c>
      <c r="J176" s="76" t="s">
        <v>3752</v>
      </c>
      <c r="K176" s="75"/>
      <c r="L176" s="75"/>
      <c r="M176" s="75"/>
      <c r="N176" s="75"/>
      <c r="O176" s="75"/>
      <c r="P176" s="75">
        <v>2</v>
      </c>
      <c r="Q176" s="75"/>
      <c r="R176" s="75"/>
      <c r="S176" s="75"/>
      <c r="T176" s="75"/>
      <c r="U176" s="75"/>
      <c r="V176" s="78"/>
      <c r="W176" s="44"/>
      <c r="X176" s="77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8"/>
    </row>
    <row r="177" spans="1:35">
      <c r="A177" s="44"/>
      <c r="B177" s="71" t="str">
        <f>IFERROR(VLOOKUP(C177,[10]Sheet2!$C$3:$F$1223,2,0),"")</f>
        <v>Gwangju</v>
      </c>
      <c r="C177" s="75">
        <v>34005</v>
      </c>
      <c r="D177" s="73" t="str">
        <f>IFERROR(VLOOKUP(C177,[10]Sheet2!$C$1:$F$1223,3,0),"")</f>
        <v>변재영</v>
      </c>
      <c r="E177" s="73" t="str">
        <f>IFERROR(VLOOKUP(C177,[10]Sheet2!$C$1:$F$1223,4,0),"")</f>
        <v>마한주류익산</v>
      </c>
      <c r="F177" s="72" t="s">
        <v>3753</v>
      </c>
      <c r="G177" s="72" t="s">
        <v>3483</v>
      </c>
      <c r="H177" s="75" t="s">
        <v>3490</v>
      </c>
      <c r="I177" s="75" t="s">
        <v>3504</v>
      </c>
      <c r="J177" s="76" t="s">
        <v>3754</v>
      </c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>
        <v>1</v>
      </c>
      <c r="V177" s="78"/>
      <c r="W177" s="44"/>
      <c r="X177" s="77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8"/>
    </row>
    <row r="178" spans="1:35">
      <c r="A178" s="44"/>
      <c r="B178" s="71" t="str">
        <f>IFERROR(VLOOKUP(C178,[10]Sheet2!$C$3:$F$1223,2,0),"")</f>
        <v>Gwangju</v>
      </c>
      <c r="C178" s="75">
        <v>33969</v>
      </c>
      <c r="D178" s="73" t="str">
        <f>IFERROR(VLOOKUP(C178,[10]Sheet2!$C$1:$F$1223,3,0),"")</f>
        <v>변재영</v>
      </c>
      <c r="E178" s="73" t="str">
        <f>IFERROR(VLOOKUP(C178,[10]Sheet2!$C$1:$F$1223,4,0),"")</f>
        <v>고창주류(유)</v>
      </c>
      <c r="F178" s="72" t="s">
        <v>3755</v>
      </c>
      <c r="G178" s="72" t="s">
        <v>3483</v>
      </c>
      <c r="H178" s="75" t="s">
        <v>3490</v>
      </c>
      <c r="I178" s="75" t="s">
        <v>3504</v>
      </c>
      <c r="J178" s="76" t="s">
        <v>3756</v>
      </c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8"/>
      <c r="W178" s="44"/>
      <c r="X178" s="77"/>
      <c r="Y178" s="75">
        <v>5</v>
      </c>
      <c r="Z178" s="75"/>
      <c r="AA178" s="75"/>
      <c r="AB178" s="75"/>
      <c r="AC178" s="75"/>
      <c r="AD178" s="75"/>
      <c r="AE178" s="75"/>
      <c r="AF178" s="75"/>
      <c r="AG178" s="75"/>
      <c r="AH178" s="75"/>
      <c r="AI178" s="78"/>
    </row>
    <row r="179" spans="1:35">
      <c r="A179" s="44"/>
      <c r="B179" s="71" t="str">
        <f>IFERROR(VLOOKUP(C179,[10]Sheet2!$C$3:$F$1223,2,0),"")</f>
        <v>Gwangju</v>
      </c>
      <c r="C179" s="75">
        <v>33991</v>
      </c>
      <c r="D179" s="73" t="str">
        <f>IFERROR(VLOOKUP(C179,[10]Sheet2!$C$1:$F$1223,3,0),"")</f>
        <v>변재영</v>
      </c>
      <c r="E179" s="73" t="str">
        <f>IFERROR(VLOOKUP(C179,[10]Sheet2!$C$1:$F$1223,4,0),"")</f>
        <v>동아상사전북</v>
      </c>
      <c r="F179" s="72" t="s">
        <v>3757</v>
      </c>
      <c r="G179" s="72" t="s">
        <v>3686</v>
      </c>
      <c r="H179" s="75" t="s">
        <v>3481</v>
      </c>
      <c r="I179" s="75" t="s">
        <v>878</v>
      </c>
      <c r="J179" s="76" t="s">
        <v>3758</v>
      </c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8"/>
      <c r="W179" s="44"/>
      <c r="X179" s="77"/>
      <c r="Y179" s="75">
        <v>3</v>
      </c>
      <c r="Z179" s="75"/>
      <c r="AA179" s="75"/>
      <c r="AB179" s="75"/>
      <c r="AC179" s="75"/>
      <c r="AD179" s="75"/>
      <c r="AE179" s="75"/>
      <c r="AF179" s="75"/>
      <c r="AG179" s="75"/>
      <c r="AH179" s="75"/>
      <c r="AI179" s="78"/>
    </row>
    <row r="180" spans="1:35">
      <c r="A180" s="44"/>
      <c r="B180" s="71" t="str">
        <f>IFERROR(VLOOKUP(C180,[10]Sheet2!$C$3:$F$1223,2,0),"")</f>
        <v>Gwangju</v>
      </c>
      <c r="C180" s="75">
        <v>34018</v>
      </c>
      <c r="D180" s="73" t="str">
        <f>IFERROR(VLOOKUP(C180,[10]Sheet2!$C$1:$F$1223,3,0),"")</f>
        <v>변재영</v>
      </c>
      <c r="E180" s="73" t="str">
        <f>IFERROR(VLOOKUP(C180,[10]Sheet2!$C$1:$F$1223,4,0),"")</f>
        <v>전북종합주류</v>
      </c>
      <c r="F180" s="72" t="s">
        <v>3759</v>
      </c>
      <c r="G180" s="72" t="s">
        <v>3483</v>
      </c>
      <c r="H180" s="75" t="s">
        <v>3481</v>
      </c>
      <c r="I180" s="75" t="s">
        <v>132</v>
      </c>
      <c r="J180" s="76" t="s">
        <v>3760</v>
      </c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8"/>
      <c r="W180" s="44"/>
      <c r="X180" s="77"/>
      <c r="Y180" s="75">
        <v>4</v>
      </c>
      <c r="Z180" s="75"/>
      <c r="AA180" s="75"/>
      <c r="AB180" s="75"/>
      <c r="AC180" s="75"/>
      <c r="AD180" s="75"/>
      <c r="AE180" s="75"/>
      <c r="AF180" s="75"/>
      <c r="AG180" s="75"/>
      <c r="AH180" s="75"/>
      <c r="AI180" s="78"/>
    </row>
    <row r="181" spans="1:35">
      <c r="A181" s="44"/>
      <c r="B181" s="71" t="str">
        <f>IFERROR(VLOOKUP(C181,[10]Sheet2!$C$3:$F$1223,2,0),"")</f>
        <v>Gwangju</v>
      </c>
      <c r="C181" s="75">
        <v>33996</v>
      </c>
      <c r="D181" s="73" t="str">
        <f>IFERROR(VLOOKUP(C181,[10]Sheet2!$C$1:$F$1223,3,0),"")</f>
        <v>변재영</v>
      </c>
      <c r="E181" s="73" t="str">
        <f>IFERROR(VLOOKUP(C181,[10]Sheet2!$C$1:$F$1223,4,0),"")</f>
        <v>백화양주상사</v>
      </c>
      <c r="F181" s="72" t="s">
        <v>3761</v>
      </c>
      <c r="G181" s="72" t="s">
        <v>3686</v>
      </c>
      <c r="H181" s="75" t="s">
        <v>3490</v>
      </c>
      <c r="I181" s="75" t="s">
        <v>3491</v>
      </c>
      <c r="J181" s="76" t="s">
        <v>3762</v>
      </c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8"/>
      <c r="W181" s="44"/>
      <c r="X181" s="77"/>
      <c r="Y181" s="75">
        <v>2</v>
      </c>
      <c r="Z181" s="75"/>
      <c r="AA181" s="75"/>
      <c r="AB181" s="75"/>
      <c r="AC181" s="75"/>
      <c r="AD181" s="75"/>
      <c r="AE181" s="75"/>
      <c r="AF181" s="75"/>
      <c r="AG181" s="75"/>
      <c r="AH181" s="75"/>
      <c r="AI181" s="78"/>
    </row>
    <row r="182" spans="1:35">
      <c r="A182" s="44"/>
      <c r="B182" s="71" t="str">
        <f>IFERROR(VLOOKUP(C182,[10]Sheet2!$C$3:$F$1223,2,0),"")</f>
        <v>Gwangju</v>
      </c>
      <c r="C182" s="75">
        <v>33955</v>
      </c>
      <c r="D182" s="73" t="str">
        <f>IFERROR(VLOOKUP(C182,[10]Sheet2!$C$1:$F$1223,3,0),"")</f>
        <v>변재영</v>
      </c>
      <c r="E182" s="73" t="str">
        <f>IFERROR(VLOOKUP(C182,[10]Sheet2!$C$1:$F$1223,4,0),"")</f>
        <v>가든주류(유)</v>
      </c>
      <c r="F182" s="72" t="s">
        <v>3763</v>
      </c>
      <c r="G182" s="72" t="s">
        <v>3483</v>
      </c>
      <c r="H182" s="75" t="s">
        <v>3481</v>
      </c>
      <c r="I182" s="75" t="s">
        <v>132</v>
      </c>
      <c r="J182" s="76" t="s">
        <v>3764</v>
      </c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8"/>
      <c r="W182" s="44"/>
      <c r="X182" s="77"/>
      <c r="Y182" s="75">
        <v>4</v>
      </c>
      <c r="Z182" s="75"/>
      <c r="AA182" s="75"/>
      <c r="AB182" s="75"/>
      <c r="AC182" s="75"/>
      <c r="AD182" s="75"/>
      <c r="AE182" s="75"/>
      <c r="AF182" s="75"/>
      <c r="AG182" s="75"/>
      <c r="AH182" s="75"/>
      <c r="AI182" s="78"/>
    </row>
    <row r="183" spans="1:35">
      <c r="A183" s="44"/>
      <c r="B183" s="71" t="str">
        <f>IFERROR(VLOOKUP(C183,[10]Sheet2!$C$3:$F$1223,2,0),"")</f>
        <v>Gwangju</v>
      </c>
      <c r="C183" s="75">
        <v>33913</v>
      </c>
      <c r="D183" s="73" t="str">
        <f>IFERROR(VLOOKUP(C183,[10]Sheet2!$C$1:$F$1223,3,0),"")</f>
        <v>변재영</v>
      </c>
      <c r="E183" s="73" t="str">
        <f>IFERROR(VLOOKUP(C183,[10]Sheet2!$C$1:$F$1223,4,0),"")</f>
        <v>현대상사전남</v>
      </c>
      <c r="F183" s="72" t="s">
        <v>3765</v>
      </c>
      <c r="G183" s="72" t="s">
        <v>3686</v>
      </c>
      <c r="H183" s="75" t="s">
        <v>3481</v>
      </c>
      <c r="I183" s="75" t="s">
        <v>2519</v>
      </c>
      <c r="J183" s="76" t="s">
        <v>3766</v>
      </c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8"/>
      <c r="W183" s="44"/>
      <c r="X183" s="77"/>
      <c r="Y183" s="75">
        <v>1</v>
      </c>
      <c r="Z183" s="75"/>
      <c r="AA183" s="75"/>
      <c r="AB183" s="75"/>
      <c r="AC183" s="75"/>
      <c r="AD183" s="75"/>
      <c r="AE183" s="75"/>
      <c r="AF183" s="75"/>
      <c r="AG183" s="75"/>
      <c r="AH183" s="75"/>
      <c r="AI183" s="78"/>
    </row>
    <row r="184" spans="1:35">
      <c r="A184" s="44"/>
      <c r="B184" s="71" t="str">
        <f>IFERROR(VLOOKUP(C184,[10]Sheet2!$C$3:$F$1223,2,0),"")</f>
        <v>Gwangju</v>
      </c>
      <c r="C184" s="75">
        <v>83875</v>
      </c>
      <c r="D184" s="73" t="str">
        <f>IFERROR(VLOOKUP(C184,[10]Sheet2!$C$1:$F$1223,3,0),"")</f>
        <v>변재영</v>
      </c>
      <c r="E184" s="73" t="str">
        <f>IFERROR(VLOOKUP(C184,[10]Sheet2!$C$1:$F$1223,4,0),"")</f>
        <v>일신중국주류</v>
      </c>
      <c r="F184" s="64" t="s">
        <v>3937</v>
      </c>
      <c r="G184" s="72" t="s">
        <v>3483</v>
      </c>
      <c r="H184" s="65" t="s">
        <v>3938</v>
      </c>
      <c r="I184" s="65" t="s">
        <v>3939</v>
      </c>
      <c r="J184" s="76" t="s">
        <v>3940</v>
      </c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8"/>
      <c r="W184" s="44"/>
      <c r="X184" s="77"/>
      <c r="Y184" s="75"/>
      <c r="Z184" s="100">
        <v>2</v>
      </c>
      <c r="AA184" s="75"/>
      <c r="AB184" s="75"/>
      <c r="AC184" s="75"/>
      <c r="AD184" s="75"/>
      <c r="AE184" s="75"/>
      <c r="AF184" s="75"/>
      <c r="AG184" s="75"/>
      <c r="AH184" s="75"/>
      <c r="AI184" s="78"/>
    </row>
    <row r="185" spans="1:35">
      <c r="A185" s="44"/>
      <c r="B185" s="71" t="str">
        <f>IFERROR(VLOOKUP(C185,[10]Sheet2!$C$3:$F$1223,2,0),"")</f>
        <v/>
      </c>
      <c r="C185" s="75"/>
      <c r="D185" s="73" t="str">
        <f>IFERROR(VLOOKUP(C185,[10]Sheet2!$C$1:$F$1223,3,0),"")</f>
        <v/>
      </c>
      <c r="E185" s="73" t="str">
        <f>IFERROR(VLOOKUP(C185,[10]Sheet2!$C$1:$F$1223,4,0),"")</f>
        <v/>
      </c>
      <c r="F185" s="75"/>
      <c r="G185" s="72"/>
      <c r="H185" s="75"/>
      <c r="I185" s="75"/>
      <c r="J185" s="76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8"/>
      <c r="W185" s="44"/>
      <c r="X185" s="77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8"/>
    </row>
    <row r="186" spans="1:35">
      <c r="A186" s="44"/>
      <c r="B186" s="71" t="str">
        <f>IFERROR(VLOOKUP(C186,[10]Sheet2!$C$3:$F$1223,2,0),"")</f>
        <v/>
      </c>
      <c r="C186" s="75"/>
      <c r="D186" s="73" t="str">
        <f>IFERROR(VLOOKUP(C186,[10]Sheet2!$C$1:$F$1223,3,0),"")</f>
        <v/>
      </c>
      <c r="E186" s="73" t="str">
        <f>IFERROR(VLOOKUP(C186,[10]Sheet2!$C$1:$F$1223,4,0),"")</f>
        <v/>
      </c>
      <c r="F186" s="75"/>
      <c r="G186" s="72"/>
      <c r="H186" s="75"/>
      <c r="I186" s="75"/>
      <c r="J186" s="76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8"/>
      <c r="W186" s="44"/>
      <c r="X186" s="77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8"/>
    </row>
    <row r="187" spans="1:35">
      <c r="A187" s="44"/>
      <c r="B187" s="71" t="str">
        <f>IFERROR(VLOOKUP(C187,[10]Sheet2!$C$3:$F$1223,2,0),"")</f>
        <v/>
      </c>
      <c r="C187" s="75"/>
      <c r="D187" s="73" t="str">
        <f>IFERROR(VLOOKUP(C187,[10]Sheet2!$C$1:$F$1223,3,0),"")</f>
        <v/>
      </c>
      <c r="E187" s="73" t="str">
        <f>IFERROR(VLOOKUP(C187,[10]Sheet2!$C$1:$F$1223,4,0),"")</f>
        <v/>
      </c>
      <c r="F187" s="75"/>
      <c r="G187" s="72"/>
      <c r="H187" s="75"/>
      <c r="I187" s="75"/>
      <c r="J187" s="76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8"/>
      <c r="W187" s="44"/>
      <c r="X187" s="77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8"/>
    </row>
    <row r="188" spans="1:35">
      <c r="A188" s="44"/>
      <c r="B188" s="71" t="str">
        <f>IFERROR(VLOOKUP(C188,[10]Sheet2!$C$3:$F$1223,2,0),"")</f>
        <v/>
      </c>
      <c r="C188" s="75"/>
      <c r="D188" s="73" t="str">
        <f>IFERROR(VLOOKUP(C188,[10]Sheet2!$C$1:$F$1223,3,0),"")</f>
        <v/>
      </c>
      <c r="E188" s="73" t="str">
        <f>IFERROR(VLOOKUP(C188,[10]Sheet2!$C$1:$F$1223,4,0),"")</f>
        <v/>
      </c>
      <c r="F188" s="75"/>
      <c r="G188" s="72"/>
      <c r="H188" s="75"/>
      <c r="I188" s="75"/>
      <c r="J188" s="76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8"/>
      <c r="W188" s="44"/>
      <c r="X188" s="77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8"/>
    </row>
    <row r="189" spans="1:35">
      <c r="A189" s="44"/>
      <c r="B189" s="71" t="str">
        <f>IFERROR(VLOOKUP(C189,[10]Sheet2!$C$3:$F$1223,2,0),"")</f>
        <v/>
      </c>
      <c r="C189" s="75"/>
      <c r="D189" s="73" t="str">
        <f>IFERROR(VLOOKUP(C189,[10]Sheet2!$C$1:$F$1223,3,0),"")</f>
        <v/>
      </c>
      <c r="E189" s="73" t="str">
        <f>IFERROR(VLOOKUP(C189,[10]Sheet2!$C$1:$F$1223,4,0),"")</f>
        <v/>
      </c>
      <c r="F189" s="75"/>
      <c r="G189" s="72"/>
      <c r="H189" s="75"/>
      <c r="I189" s="75"/>
      <c r="J189" s="76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8"/>
      <c r="W189" s="44"/>
      <c r="X189" s="77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8"/>
    </row>
    <row r="190" spans="1:35">
      <c r="A190" s="44"/>
      <c r="B190" s="71" t="str">
        <f>IFERROR(VLOOKUP(C190,[10]Sheet2!$C$3:$F$1223,2,0),"")</f>
        <v/>
      </c>
      <c r="C190" s="75"/>
      <c r="D190" s="73" t="str">
        <f>IFERROR(VLOOKUP(C190,[10]Sheet2!$C$1:$F$1223,3,0),"")</f>
        <v/>
      </c>
      <c r="E190" s="73" t="str">
        <f>IFERROR(VLOOKUP(C190,[10]Sheet2!$C$1:$F$1223,4,0),"")</f>
        <v/>
      </c>
      <c r="F190" s="75"/>
      <c r="G190" s="72"/>
      <c r="H190" s="75"/>
      <c r="I190" s="75"/>
      <c r="J190" s="76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8"/>
      <c r="W190" s="44"/>
      <c r="X190" s="77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8"/>
    </row>
    <row r="191" spans="1:35">
      <c r="A191" s="44"/>
      <c r="B191" s="71" t="str">
        <f>IFERROR(VLOOKUP(C191,[10]Sheet2!$C$3:$F$1223,2,0),"")</f>
        <v/>
      </c>
      <c r="C191" s="75"/>
      <c r="D191" s="73" t="str">
        <f>IFERROR(VLOOKUP(C191,[10]Sheet2!$C$1:$F$1223,3,0),"")</f>
        <v/>
      </c>
      <c r="E191" s="73" t="str">
        <f>IFERROR(VLOOKUP(C191,[10]Sheet2!$C$1:$F$1223,4,0),"")</f>
        <v/>
      </c>
      <c r="F191" s="75"/>
      <c r="G191" s="72"/>
      <c r="H191" s="75"/>
      <c r="I191" s="75"/>
      <c r="J191" s="76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8"/>
      <c r="W191" s="44"/>
      <c r="X191" s="77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8"/>
    </row>
    <row r="192" spans="1:35">
      <c r="A192" s="44"/>
      <c r="B192" s="71" t="str">
        <f>IFERROR(VLOOKUP(C192,[10]Sheet2!$C$3:$F$1223,2,0),"")</f>
        <v/>
      </c>
      <c r="C192" s="75"/>
      <c r="D192" s="73" t="str">
        <f>IFERROR(VLOOKUP(C192,[10]Sheet2!$C$1:$F$1223,3,0),"")</f>
        <v/>
      </c>
      <c r="E192" s="73" t="str">
        <f>IFERROR(VLOOKUP(C192,[10]Sheet2!$C$1:$F$1223,4,0),"")</f>
        <v/>
      </c>
      <c r="F192" s="75"/>
      <c r="G192" s="72"/>
      <c r="H192" s="75"/>
      <c r="I192" s="75"/>
      <c r="J192" s="76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8"/>
      <c r="W192" s="44"/>
      <c r="X192" s="77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8"/>
    </row>
    <row r="193" spans="1:35">
      <c r="A193" s="44"/>
      <c r="B193" s="71" t="str">
        <f>IFERROR(VLOOKUP(C193,[10]Sheet2!$C$3:$F$1223,2,0),"")</f>
        <v/>
      </c>
      <c r="C193" s="75"/>
      <c r="D193" s="73" t="str">
        <f>IFERROR(VLOOKUP(C193,[10]Sheet2!$C$1:$F$1223,3,0),"")</f>
        <v/>
      </c>
      <c r="E193" s="73" t="str">
        <f>IFERROR(VLOOKUP(C193,[10]Sheet2!$C$1:$F$1223,4,0),"")</f>
        <v/>
      </c>
      <c r="F193" s="75"/>
      <c r="G193" s="72"/>
      <c r="H193" s="75"/>
      <c r="I193" s="75"/>
      <c r="J193" s="76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8"/>
      <c r="W193" s="44"/>
      <c r="X193" s="77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8"/>
    </row>
    <row r="194" spans="1:35">
      <c r="A194" s="44"/>
      <c r="B194" s="71" t="str">
        <f>IFERROR(VLOOKUP(C194,[10]Sheet2!$C$3:$F$1223,2,0),"")</f>
        <v/>
      </c>
      <c r="C194" s="75"/>
      <c r="D194" s="73" t="str">
        <f>IFERROR(VLOOKUP(C194,[10]Sheet2!$C$1:$F$1223,3,0),"")</f>
        <v/>
      </c>
      <c r="E194" s="73" t="str">
        <f>IFERROR(VLOOKUP(C194,[10]Sheet2!$C$1:$F$1223,4,0),"")</f>
        <v/>
      </c>
      <c r="F194" s="75"/>
      <c r="G194" s="72"/>
      <c r="H194" s="75"/>
      <c r="I194" s="75"/>
      <c r="J194" s="76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8"/>
      <c r="W194" s="44"/>
      <c r="X194" s="77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8"/>
    </row>
    <row r="195" spans="1:35">
      <c r="A195" s="44"/>
      <c r="B195" s="71" t="str">
        <f>IFERROR(VLOOKUP(C195,[10]Sheet2!$C$3:$F$1223,2,0),"")</f>
        <v/>
      </c>
      <c r="C195" s="75"/>
      <c r="D195" s="73" t="str">
        <f>IFERROR(VLOOKUP(C195,[10]Sheet2!$C$1:$F$1223,3,0),"")</f>
        <v/>
      </c>
      <c r="E195" s="73" t="str">
        <f>IFERROR(VLOOKUP(C195,[10]Sheet2!$C$1:$F$1223,4,0),"")</f>
        <v/>
      </c>
      <c r="F195" s="75"/>
      <c r="G195" s="72"/>
      <c r="H195" s="75"/>
      <c r="I195" s="75"/>
      <c r="J195" s="76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8"/>
      <c r="W195" s="44"/>
      <c r="X195" s="77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8"/>
    </row>
    <row r="196" spans="1:35">
      <c r="A196" s="44"/>
      <c r="B196" s="71" t="str">
        <f>IFERROR(VLOOKUP(C196,[10]Sheet2!$C$3:$F$1223,2,0),"")</f>
        <v/>
      </c>
      <c r="C196" s="75"/>
      <c r="D196" s="73" t="str">
        <f>IFERROR(VLOOKUP(C196,[10]Sheet2!$C$1:$F$1223,3,0),"")</f>
        <v/>
      </c>
      <c r="E196" s="73" t="str">
        <f>IFERROR(VLOOKUP(C196,[10]Sheet2!$C$1:$F$1223,4,0),"")</f>
        <v/>
      </c>
      <c r="F196" s="75"/>
      <c r="G196" s="72"/>
      <c r="H196" s="75"/>
      <c r="I196" s="75"/>
      <c r="J196" s="76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8"/>
      <c r="W196" s="44"/>
      <c r="X196" s="77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8"/>
    </row>
    <row r="197" spans="1:35">
      <c r="A197" s="44"/>
      <c r="B197" s="71" t="str">
        <f>IFERROR(VLOOKUP(C197,[10]Sheet2!$C$3:$F$1223,2,0),"")</f>
        <v/>
      </c>
      <c r="C197" s="75"/>
      <c r="D197" s="73" t="str">
        <f>IFERROR(VLOOKUP(C197,[10]Sheet2!$C$1:$F$1223,3,0),"")</f>
        <v/>
      </c>
      <c r="E197" s="73" t="str">
        <f>IFERROR(VLOOKUP(C197,[10]Sheet2!$C$1:$F$1223,4,0),"")</f>
        <v/>
      </c>
      <c r="F197" s="75"/>
      <c r="G197" s="72"/>
      <c r="H197" s="75"/>
      <c r="I197" s="75"/>
      <c r="J197" s="76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8"/>
      <c r="W197" s="44"/>
      <c r="X197" s="77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8"/>
    </row>
    <row r="198" spans="1:35">
      <c r="A198" s="44"/>
      <c r="B198" s="71" t="str">
        <f>IFERROR(VLOOKUP(C198,[10]Sheet2!$C$3:$F$1223,2,0),"")</f>
        <v/>
      </c>
      <c r="C198" s="75"/>
      <c r="D198" s="73" t="str">
        <f>IFERROR(VLOOKUP(C198,[10]Sheet2!$C$1:$F$1223,3,0),"")</f>
        <v/>
      </c>
      <c r="E198" s="73" t="str">
        <f>IFERROR(VLOOKUP(C198,[10]Sheet2!$C$1:$F$1223,4,0),"")</f>
        <v/>
      </c>
      <c r="F198" s="75"/>
      <c r="G198" s="72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8"/>
      <c r="W198" s="44"/>
      <c r="X198" s="77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8"/>
    </row>
    <row r="199" spans="1:35">
      <c r="A199" s="44"/>
      <c r="B199" s="71" t="str">
        <f>IFERROR(VLOOKUP(C199,[10]Sheet2!$C$3:$F$1223,2,0),"")</f>
        <v/>
      </c>
      <c r="C199" s="75"/>
      <c r="D199" s="73" t="str">
        <f>IFERROR(VLOOKUP(C199,[10]Sheet2!$C$1:$F$1223,3,0),"")</f>
        <v/>
      </c>
      <c r="E199" s="73" t="str">
        <f>IFERROR(VLOOKUP(C199,[10]Sheet2!$C$1:$F$1223,4,0),"")</f>
        <v/>
      </c>
      <c r="F199" s="75"/>
      <c r="G199" s="72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8"/>
      <c r="W199" s="44"/>
      <c r="X199" s="77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8"/>
    </row>
    <row r="200" spans="1:35">
      <c r="A200" s="44"/>
      <c r="B200" s="71" t="str">
        <f>IFERROR(VLOOKUP(C200,[10]Sheet2!$C$3:$F$1223,2,0),"")</f>
        <v/>
      </c>
      <c r="C200" s="75"/>
      <c r="D200" s="73" t="str">
        <f>IFERROR(VLOOKUP(C200,[10]Sheet2!$C$1:$F$1223,3,0),"")</f>
        <v/>
      </c>
      <c r="E200" s="73" t="str">
        <f>IFERROR(VLOOKUP(C200,[10]Sheet2!$C$1:$F$1223,4,0),"")</f>
        <v/>
      </c>
      <c r="F200" s="75"/>
      <c r="G200" s="72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8"/>
      <c r="W200" s="44"/>
      <c r="X200" s="77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8"/>
    </row>
    <row r="201" spans="1:35">
      <c r="A201" s="44"/>
      <c r="B201" s="71" t="str">
        <f>IFERROR(VLOOKUP(C201,[10]Sheet2!$C$3:$F$1223,2,0),"")</f>
        <v/>
      </c>
      <c r="C201" s="75"/>
      <c r="D201" s="73" t="str">
        <f>IFERROR(VLOOKUP(C201,[10]Sheet2!$C$1:$F$1223,3,0),"")</f>
        <v/>
      </c>
      <c r="E201" s="73" t="str">
        <f>IFERROR(VLOOKUP(C201,[10]Sheet2!$C$1:$F$1223,4,0),"")</f>
        <v/>
      </c>
      <c r="F201" s="75"/>
      <c r="G201" s="72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8"/>
      <c r="W201" s="44"/>
      <c r="X201" s="77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8"/>
    </row>
    <row r="202" spans="1:35">
      <c r="A202" s="44"/>
      <c r="B202" s="71" t="str">
        <f>IFERROR(VLOOKUP(C202,[10]Sheet2!$C$3:$F$1223,2,0),"")</f>
        <v/>
      </c>
      <c r="C202" s="75"/>
      <c r="D202" s="73" t="str">
        <f>IFERROR(VLOOKUP(C202,[10]Sheet2!$C$1:$F$1223,3,0),"")</f>
        <v/>
      </c>
      <c r="E202" s="73" t="str">
        <f>IFERROR(VLOOKUP(C202,[10]Sheet2!$C$1:$F$1223,4,0),"")</f>
        <v/>
      </c>
      <c r="F202" s="75"/>
      <c r="G202" s="72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8"/>
      <c r="W202" s="44"/>
      <c r="X202" s="77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8"/>
    </row>
    <row r="203" spans="1:35">
      <c r="A203" s="44"/>
      <c r="B203" s="71" t="str">
        <f>IFERROR(VLOOKUP(C203,[10]Sheet2!$C$3:$F$1223,2,0),"")</f>
        <v/>
      </c>
      <c r="C203" s="75"/>
      <c r="D203" s="73" t="str">
        <f>IFERROR(VLOOKUP(C203,[10]Sheet2!$C$1:$F$1223,3,0),"")</f>
        <v/>
      </c>
      <c r="E203" s="73" t="str">
        <f>IFERROR(VLOOKUP(C203,[10]Sheet2!$C$1:$F$1223,4,0),"")</f>
        <v/>
      </c>
      <c r="F203" s="75"/>
      <c r="G203" s="72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8"/>
      <c r="W203" s="44"/>
      <c r="X203" s="77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8"/>
    </row>
    <row r="204" spans="1:35">
      <c r="A204" s="44"/>
      <c r="B204" s="71" t="str">
        <f>IFERROR(VLOOKUP(C204,[10]Sheet2!$C$3:$F$1223,2,0),"")</f>
        <v/>
      </c>
      <c r="C204" s="75"/>
      <c r="D204" s="73" t="str">
        <f>IFERROR(VLOOKUP(C204,[10]Sheet2!$C$1:$F$1223,3,0),"")</f>
        <v/>
      </c>
      <c r="E204" s="73" t="str">
        <f>IFERROR(VLOOKUP(C204,[10]Sheet2!$C$1:$F$1223,4,0),"")</f>
        <v/>
      </c>
      <c r="F204" s="75"/>
      <c r="G204" s="72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8"/>
      <c r="W204" s="44"/>
      <c r="X204" s="77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8"/>
    </row>
    <row r="205" spans="1:35">
      <c r="A205" s="44"/>
      <c r="B205" s="71" t="str">
        <f>IFERROR(VLOOKUP(C205,[10]Sheet2!$C$3:$F$1223,2,0),"")</f>
        <v/>
      </c>
      <c r="C205" s="75"/>
      <c r="D205" s="73" t="str">
        <f>IFERROR(VLOOKUP(C205,[10]Sheet2!$C$1:$F$1223,3,0),"")</f>
        <v/>
      </c>
      <c r="E205" s="73" t="str">
        <f>IFERROR(VLOOKUP(C205,[10]Sheet2!$C$1:$F$1223,4,0),"")</f>
        <v/>
      </c>
      <c r="F205" s="75"/>
      <c r="G205" s="72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8"/>
      <c r="W205" s="44"/>
      <c r="X205" s="77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8"/>
    </row>
    <row r="206" spans="1:35">
      <c r="A206" s="44"/>
      <c r="B206" s="71" t="str">
        <f>IFERROR(VLOOKUP(C206,[10]Sheet2!$C$3:$F$1223,2,0),"")</f>
        <v/>
      </c>
      <c r="C206" s="75"/>
      <c r="D206" s="73" t="str">
        <f>IFERROR(VLOOKUP(C206,[10]Sheet2!$C$1:$F$1223,3,0),"")</f>
        <v/>
      </c>
      <c r="E206" s="73" t="str">
        <f>IFERROR(VLOOKUP(C206,[10]Sheet2!$C$1:$F$1223,4,0),"")</f>
        <v/>
      </c>
      <c r="F206" s="75"/>
      <c r="G206" s="72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8"/>
      <c r="W206" s="44"/>
      <c r="X206" s="77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8"/>
    </row>
    <row r="207" spans="1:35">
      <c r="A207" s="44"/>
      <c r="B207" s="71" t="str">
        <f>IFERROR(VLOOKUP(C207,[10]Sheet2!$C$3:$F$1223,2,0),"")</f>
        <v/>
      </c>
      <c r="C207" s="75"/>
      <c r="D207" s="73" t="str">
        <f>IFERROR(VLOOKUP(C207,[10]Sheet2!$C$1:$F$1223,3,0),"")</f>
        <v/>
      </c>
      <c r="E207" s="73" t="str">
        <f>IFERROR(VLOOKUP(C207,[10]Sheet2!$C$1:$F$1223,4,0),"")</f>
        <v/>
      </c>
      <c r="F207" s="75"/>
      <c r="G207" s="72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8"/>
      <c r="W207" s="44"/>
      <c r="X207" s="77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8"/>
    </row>
    <row r="208" spans="1:35">
      <c r="A208" s="44"/>
      <c r="B208" s="71" t="str">
        <f>IFERROR(VLOOKUP(C208,[10]Sheet2!$C$3:$F$1223,2,0),"")</f>
        <v/>
      </c>
      <c r="C208" s="75"/>
      <c r="D208" s="73" t="str">
        <f>IFERROR(VLOOKUP(C208,[10]Sheet2!$C$1:$F$1223,3,0),"")</f>
        <v/>
      </c>
      <c r="E208" s="73" t="str">
        <f>IFERROR(VLOOKUP(C208,[10]Sheet2!$C$1:$F$1223,4,0),"")</f>
        <v/>
      </c>
      <c r="F208" s="75"/>
      <c r="G208" s="72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8"/>
      <c r="W208" s="44"/>
      <c r="X208" s="77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8"/>
    </row>
    <row r="209" spans="1:35">
      <c r="A209" s="44"/>
      <c r="B209" s="71" t="str">
        <f>IFERROR(VLOOKUP(C209,[10]Sheet2!$C$3:$F$1223,2,0),"")</f>
        <v/>
      </c>
      <c r="C209" s="75"/>
      <c r="D209" s="73" t="str">
        <f>IFERROR(VLOOKUP(C209,[10]Sheet2!$C$1:$F$1223,3,0),"")</f>
        <v/>
      </c>
      <c r="E209" s="73" t="str">
        <f>IFERROR(VLOOKUP(C209,[10]Sheet2!$C$1:$F$1223,4,0),"")</f>
        <v/>
      </c>
      <c r="F209" s="75"/>
      <c r="G209" s="72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8"/>
      <c r="W209" s="44"/>
      <c r="X209" s="77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8"/>
    </row>
    <row r="210" spans="1:35">
      <c r="A210" s="44"/>
      <c r="B210" s="71" t="str">
        <f>IFERROR(VLOOKUP(C210,[10]Sheet2!$C$3:$F$1223,2,0),"")</f>
        <v/>
      </c>
      <c r="C210" s="75"/>
      <c r="D210" s="73" t="str">
        <f>IFERROR(VLOOKUP(C210,[10]Sheet2!$C$1:$F$1223,3,0),"")</f>
        <v/>
      </c>
      <c r="E210" s="73" t="str">
        <f>IFERROR(VLOOKUP(C210,[10]Sheet2!$C$1:$F$1223,4,0),"")</f>
        <v/>
      </c>
      <c r="F210" s="75"/>
      <c r="G210" s="72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8"/>
      <c r="W210" s="44"/>
      <c r="X210" s="77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8"/>
    </row>
    <row r="211" spans="1:35">
      <c r="A211" s="44"/>
      <c r="B211" s="71" t="str">
        <f>IFERROR(VLOOKUP(C211,[10]Sheet2!$C$3:$F$1223,2,0),"")</f>
        <v/>
      </c>
      <c r="C211" s="75"/>
      <c r="D211" s="73" t="str">
        <f>IFERROR(VLOOKUP(C211,[10]Sheet2!$C$1:$F$1223,3,0),"")</f>
        <v/>
      </c>
      <c r="E211" s="73" t="str">
        <f>IFERROR(VLOOKUP(C211,[10]Sheet2!$C$1:$F$1223,4,0),"")</f>
        <v/>
      </c>
      <c r="F211" s="75"/>
      <c r="G211" s="72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8"/>
      <c r="W211" s="44"/>
      <c r="X211" s="77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8"/>
    </row>
    <row r="212" spans="1:35">
      <c r="A212" s="44"/>
      <c r="B212" s="71" t="str">
        <f>IFERROR(VLOOKUP(C212,[10]Sheet2!$C$3:$F$1223,2,0),"")</f>
        <v/>
      </c>
      <c r="C212" s="75"/>
      <c r="D212" s="73" t="str">
        <f>IFERROR(VLOOKUP(C212,[10]Sheet2!$C$1:$F$1223,3,0),"")</f>
        <v/>
      </c>
      <c r="E212" s="73" t="str">
        <f>IFERROR(VLOOKUP(C212,[10]Sheet2!$C$1:$F$1223,4,0),"")</f>
        <v/>
      </c>
      <c r="F212" s="75"/>
      <c r="G212" s="72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8"/>
      <c r="W212" s="44"/>
      <c r="X212" s="77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8"/>
    </row>
    <row r="213" spans="1:35">
      <c r="A213" s="44"/>
      <c r="B213" s="71" t="str">
        <f>IFERROR(VLOOKUP(C213,[10]Sheet2!$C$3:$F$1223,2,0),"")</f>
        <v/>
      </c>
      <c r="C213" s="75"/>
      <c r="D213" s="73" t="str">
        <f>IFERROR(VLOOKUP(C213,[10]Sheet2!$C$1:$F$1223,3,0),"")</f>
        <v/>
      </c>
      <c r="E213" s="73" t="str">
        <f>IFERROR(VLOOKUP(C213,[10]Sheet2!$C$1:$F$1223,4,0),"")</f>
        <v/>
      </c>
      <c r="F213" s="75"/>
      <c r="G213" s="72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8"/>
      <c r="W213" s="44"/>
      <c r="X213" s="77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8"/>
    </row>
    <row r="214" spans="1:35">
      <c r="A214" s="44"/>
      <c r="B214" s="71" t="str">
        <f>IFERROR(VLOOKUP(C214,[10]Sheet2!$C$3:$F$1223,2,0),"")</f>
        <v/>
      </c>
      <c r="C214" s="75"/>
      <c r="D214" s="73" t="str">
        <f>IFERROR(VLOOKUP(C214,[10]Sheet2!$C$1:$F$1223,3,0),"")</f>
        <v/>
      </c>
      <c r="E214" s="73" t="str">
        <f>IFERROR(VLOOKUP(C214,[10]Sheet2!$C$1:$F$1223,4,0),"")</f>
        <v/>
      </c>
      <c r="F214" s="75"/>
      <c r="G214" s="72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8"/>
      <c r="W214" s="44"/>
      <c r="X214" s="77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8"/>
    </row>
    <row r="215" spans="1:35">
      <c r="A215" s="44"/>
      <c r="B215" s="71" t="str">
        <f>IFERROR(VLOOKUP(C215,[10]Sheet2!$C$3:$F$1223,2,0),"")</f>
        <v/>
      </c>
      <c r="C215" s="75"/>
      <c r="D215" s="73" t="str">
        <f>IFERROR(VLOOKUP(C215,[10]Sheet2!$C$1:$F$1223,3,0),"")</f>
        <v/>
      </c>
      <c r="E215" s="73" t="str">
        <f>IFERROR(VLOOKUP(C215,[10]Sheet2!$C$1:$F$1223,4,0),"")</f>
        <v/>
      </c>
      <c r="F215" s="75"/>
      <c r="G215" s="72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8"/>
      <c r="W215" s="44"/>
      <c r="X215" s="77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8"/>
    </row>
    <row r="216" spans="1:35">
      <c r="A216" s="44"/>
      <c r="B216" s="71" t="str">
        <f>IFERROR(VLOOKUP(C216,[10]Sheet2!$C$3:$F$1223,2,0),"")</f>
        <v/>
      </c>
      <c r="C216" s="75"/>
      <c r="D216" s="73" t="str">
        <f>IFERROR(VLOOKUP(C216,[10]Sheet2!$C$1:$F$1223,3,0),"")</f>
        <v/>
      </c>
      <c r="E216" s="73" t="str">
        <f>IFERROR(VLOOKUP(C216,[10]Sheet2!$C$1:$F$1223,4,0),"")</f>
        <v/>
      </c>
      <c r="F216" s="75"/>
      <c r="G216" s="72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8"/>
      <c r="W216" s="44"/>
      <c r="X216" s="77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8"/>
    </row>
    <row r="217" spans="1:35">
      <c r="A217" s="44"/>
      <c r="B217" s="71" t="str">
        <f>IFERROR(VLOOKUP(C217,[10]Sheet2!$C$3:$F$1223,2,0),"")</f>
        <v/>
      </c>
      <c r="C217" s="75"/>
      <c r="D217" s="73" t="str">
        <f>IFERROR(VLOOKUP(C217,[10]Sheet2!$C$1:$F$1223,3,0),"")</f>
        <v/>
      </c>
      <c r="E217" s="73" t="str">
        <f>IFERROR(VLOOKUP(C217,[10]Sheet2!$C$1:$F$1223,4,0),"")</f>
        <v/>
      </c>
      <c r="F217" s="75"/>
      <c r="G217" s="72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8"/>
      <c r="W217" s="44"/>
      <c r="X217" s="77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8"/>
    </row>
    <row r="218" spans="1:35">
      <c r="A218" s="44"/>
      <c r="B218" s="71" t="str">
        <f>IFERROR(VLOOKUP(C218,[10]Sheet2!$C$3:$F$1223,2,0),"")</f>
        <v/>
      </c>
      <c r="C218" s="75"/>
      <c r="D218" s="73" t="str">
        <f>IFERROR(VLOOKUP(C218,[10]Sheet2!$C$1:$F$1223,3,0),"")</f>
        <v/>
      </c>
      <c r="E218" s="73" t="str">
        <f>IFERROR(VLOOKUP(C218,[10]Sheet2!$C$1:$F$1223,4,0),"")</f>
        <v/>
      </c>
      <c r="F218" s="75"/>
      <c r="G218" s="72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8"/>
      <c r="W218" s="44"/>
      <c r="X218" s="77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8"/>
    </row>
    <row r="219" spans="1:35">
      <c r="A219" s="44"/>
      <c r="B219" s="71" t="str">
        <f>IFERROR(VLOOKUP(C219,[10]Sheet2!$C$3:$F$1223,2,0),"")</f>
        <v/>
      </c>
      <c r="C219" s="75"/>
      <c r="D219" s="73" t="str">
        <f>IFERROR(VLOOKUP(C219,[10]Sheet2!$C$1:$F$1223,3,0),"")</f>
        <v/>
      </c>
      <c r="E219" s="73" t="str">
        <f>IFERROR(VLOOKUP(C219,[10]Sheet2!$C$1:$F$1223,4,0),"")</f>
        <v/>
      </c>
      <c r="F219" s="75"/>
      <c r="G219" s="72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8"/>
      <c r="W219" s="44"/>
      <c r="X219" s="77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8"/>
    </row>
    <row r="220" spans="1:35">
      <c r="A220" s="44"/>
      <c r="B220" s="71" t="str">
        <f>IFERROR(VLOOKUP(C220,[10]Sheet2!$C$3:$F$1223,2,0),"")</f>
        <v/>
      </c>
      <c r="C220" s="75"/>
      <c r="D220" s="73" t="str">
        <f>IFERROR(VLOOKUP(C220,[10]Sheet2!$C$1:$F$1223,3,0),"")</f>
        <v/>
      </c>
      <c r="E220" s="73" t="str">
        <f>IFERROR(VLOOKUP(C220,[10]Sheet2!$C$1:$F$1223,4,0),"")</f>
        <v/>
      </c>
      <c r="F220" s="75"/>
      <c r="G220" s="72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8"/>
      <c r="W220" s="44"/>
      <c r="X220" s="77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8"/>
    </row>
    <row r="221" spans="1:35">
      <c r="A221" s="44"/>
      <c r="B221" s="71" t="str">
        <f>IFERROR(VLOOKUP(C221,[10]Sheet2!$C$3:$F$1223,2,0),"")</f>
        <v/>
      </c>
      <c r="C221" s="75"/>
      <c r="D221" s="73" t="str">
        <f>IFERROR(VLOOKUP(C221,[10]Sheet2!$C$1:$F$1223,3,0),"")</f>
        <v/>
      </c>
      <c r="E221" s="73" t="str">
        <f>IFERROR(VLOOKUP(C221,[10]Sheet2!$C$1:$F$1223,4,0),"")</f>
        <v/>
      </c>
      <c r="F221" s="75"/>
      <c r="G221" s="72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8"/>
      <c r="W221" s="44"/>
      <c r="X221" s="77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8"/>
    </row>
    <row r="222" spans="1:35">
      <c r="A222" s="44"/>
      <c r="B222" s="71" t="str">
        <f>IFERROR(VLOOKUP(C222,[10]Sheet2!$C$3:$F$1223,2,0),"")</f>
        <v/>
      </c>
      <c r="C222" s="75"/>
      <c r="D222" s="73" t="str">
        <f>IFERROR(VLOOKUP(C222,[10]Sheet2!$C$1:$F$1223,3,0),"")</f>
        <v/>
      </c>
      <c r="E222" s="73" t="str">
        <f>IFERROR(VLOOKUP(C222,[10]Sheet2!$C$1:$F$1223,4,0),"")</f>
        <v/>
      </c>
      <c r="F222" s="75"/>
      <c r="G222" s="72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8"/>
      <c r="W222" s="44"/>
      <c r="X222" s="77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8"/>
    </row>
    <row r="223" spans="1:35">
      <c r="A223" s="44"/>
      <c r="B223" s="71" t="str">
        <f>IFERROR(VLOOKUP(C223,[10]Sheet2!$C$3:$F$1223,2,0),"")</f>
        <v/>
      </c>
      <c r="C223" s="75"/>
      <c r="D223" s="73" t="str">
        <f>IFERROR(VLOOKUP(C223,[10]Sheet2!$C$1:$F$1223,3,0),"")</f>
        <v/>
      </c>
      <c r="E223" s="73" t="str">
        <f>IFERROR(VLOOKUP(C223,[10]Sheet2!$C$1:$F$1223,4,0),"")</f>
        <v/>
      </c>
      <c r="F223" s="75"/>
      <c r="G223" s="72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8"/>
      <c r="W223" s="44"/>
      <c r="X223" s="77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8"/>
    </row>
    <row r="224" spans="1:35">
      <c r="A224" s="44"/>
      <c r="B224" s="71" t="str">
        <f>IFERROR(VLOOKUP(C224,[10]Sheet2!$C$3:$F$1223,2,0),"")</f>
        <v/>
      </c>
      <c r="C224" s="75"/>
      <c r="D224" s="73" t="str">
        <f>IFERROR(VLOOKUP(C224,[10]Sheet2!$C$1:$F$1223,3,0),"")</f>
        <v/>
      </c>
      <c r="E224" s="73" t="str">
        <f>IFERROR(VLOOKUP(C224,[10]Sheet2!$C$1:$F$1223,4,0),"")</f>
        <v/>
      </c>
      <c r="F224" s="75"/>
      <c r="G224" s="72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8"/>
      <c r="W224" s="44"/>
      <c r="X224" s="77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8"/>
    </row>
    <row r="225" spans="1:35">
      <c r="A225" s="44"/>
      <c r="B225" s="71" t="str">
        <f>IFERROR(VLOOKUP(C225,[10]Sheet2!$C$3:$F$1223,2,0),"")</f>
        <v/>
      </c>
      <c r="C225" s="75"/>
      <c r="D225" s="73" t="str">
        <f>IFERROR(VLOOKUP(C225,[10]Sheet2!$C$1:$F$1223,3,0),"")</f>
        <v/>
      </c>
      <c r="E225" s="73" t="str">
        <f>IFERROR(VLOOKUP(C225,[10]Sheet2!$C$1:$F$1223,4,0),"")</f>
        <v/>
      </c>
      <c r="F225" s="75"/>
      <c r="G225" s="72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8"/>
      <c r="W225" s="44"/>
      <c r="X225" s="77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8"/>
    </row>
    <row r="226" spans="1:35">
      <c r="A226" s="44"/>
      <c r="B226" s="71" t="str">
        <f>IFERROR(VLOOKUP(C226,[10]Sheet2!$C$3:$F$1223,2,0),"")</f>
        <v/>
      </c>
      <c r="C226" s="75"/>
      <c r="D226" s="73" t="str">
        <f>IFERROR(VLOOKUP(C226,[10]Sheet2!$C$1:$F$1223,3,0),"")</f>
        <v/>
      </c>
      <c r="E226" s="73" t="str">
        <f>IFERROR(VLOOKUP(C226,[10]Sheet2!$C$1:$F$1223,4,0),"")</f>
        <v/>
      </c>
      <c r="F226" s="75"/>
      <c r="G226" s="72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8"/>
      <c r="W226" s="44"/>
      <c r="X226" s="77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8"/>
    </row>
    <row r="227" spans="1:35">
      <c r="A227" s="44"/>
      <c r="B227" s="71" t="str">
        <f>IFERROR(VLOOKUP(C227,[10]Sheet2!$C$3:$F$1223,2,0),"")</f>
        <v/>
      </c>
      <c r="C227" s="75"/>
      <c r="D227" s="73" t="str">
        <f>IFERROR(VLOOKUP(C227,[10]Sheet2!$C$1:$F$1223,3,0),"")</f>
        <v/>
      </c>
      <c r="E227" s="73" t="str">
        <f>IFERROR(VLOOKUP(C227,[10]Sheet2!$C$1:$F$1223,4,0),"")</f>
        <v/>
      </c>
      <c r="F227" s="75"/>
      <c r="G227" s="72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8"/>
      <c r="W227" s="44"/>
      <c r="X227" s="77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8"/>
    </row>
    <row r="228" spans="1:35">
      <c r="A228" s="44"/>
      <c r="B228" s="71" t="str">
        <f>IFERROR(VLOOKUP(C228,[10]Sheet2!$C$3:$F$1223,2,0),"")</f>
        <v/>
      </c>
      <c r="C228" s="75"/>
      <c r="D228" s="73" t="str">
        <f>IFERROR(VLOOKUP(C228,[10]Sheet2!$C$1:$F$1223,3,0),"")</f>
        <v/>
      </c>
      <c r="E228" s="73" t="str">
        <f>IFERROR(VLOOKUP(C228,[10]Sheet2!$C$1:$F$1223,4,0),"")</f>
        <v/>
      </c>
      <c r="F228" s="75"/>
      <c r="G228" s="72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8"/>
      <c r="W228" s="44"/>
      <c r="X228" s="77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8"/>
    </row>
    <row r="229" spans="1:35">
      <c r="A229" s="44"/>
      <c r="B229" s="71" t="str">
        <f>IFERROR(VLOOKUP(C229,[10]Sheet2!$C$3:$F$1223,2,0),"")</f>
        <v/>
      </c>
      <c r="C229" s="75"/>
      <c r="D229" s="73" t="str">
        <f>IFERROR(VLOOKUP(C229,[10]Sheet2!$C$1:$F$1223,3,0),"")</f>
        <v/>
      </c>
      <c r="E229" s="73" t="str">
        <f>IFERROR(VLOOKUP(C229,[10]Sheet2!$C$1:$F$1223,4,0),"")</f>
        <v/>
      </c>
      <c r="F229" s="75"/>
      <c r="G229" s="72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8"/>
      <c r="W229" s="44"/>
      <c r="X229" s="77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8"/>
    </row>
    <row r="230" spans="1:35">
      <c r="A230" s="44"/>
      <c r="B230" s="71" t="str">
        <f>IFERROR(VLOOKUP(C230,[10]Sheet2!$C$3:$F$1223,2,0),"")</f>
        <v/>
      </c>
      <c r="C230" s="75"/>
      <c r="D230" s="73" t="str">
        <f>IFERROR(VLOOKUP(C230,[10]Sheet2!$C$1:$F$1223,3,0),"")</f>
        <v/>
      </c>
      <c r="E230" s="73" t="str">
        <f>IFERROR(VLOOKUP(C230,[10]Sheet2!$C$1:$F$1223,4,0),"")</f>
        <v/>
      </c>
      <c r="F230" s="75"/>
      <c r="G230" s="72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8"/>
      <c r="W230" s="44"/>
      <c r="X230" s="77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8"/>
    </row>
    <row r="231" spans="1:35">
      <c r="A231" s="44"/>
      <c r="B231" s="71" t="str">
        <f>IFERROR(VLOOKUP(C231,[10]Sheet2!$C$3:$F$1223,2,0),"")</f>
        <v/>
      </c>
      <c r="C231" s="75"/>
      <c r="D231" s="73" t="str">
        <f>IFERROR(VLOOKUP(C231,[10]Sheet2!$C$1:$F$1223,3,0),"")</f>
        <v/>
      </c>
      <c r="E231" s="73" t="str">
        <f>IFERROR(VLOOKUP(C231,[10]Sheet2!$C$1:$F$1223,4,0),"")</f>
        <v/>
      </c>
      <c r="F231" s="75"/>
      <c r="G231" s="72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8"/>
      <c r="W231" s="44"/>
      <c r="X231" s="77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8"/>
    </row>
    <row r="232" spans="1:35">
      <c r="A232" s="44"/>
      <c r="B232" s="71" t="str">
        <f>IFERROR(VLOOKUP(C232,[10]Sheet2!$C$3:$F$1223,2,0),"")</f>
        <v/>
      </c>
      <c r="C232" s="75"/>
      <c r="D232" s="73" t="str">
        <f>IFERROR(VLOOKUP(C232,[10]Sheet2!$C$1:$F$1223,3,0),"")</f>
        <v/>
      </c>
      <c r="E232" s="73" t="str">
        <f>IFERROR(VLOOKUP(C232,[10]Sheet2!$C$1:$F$1223,4,0),"")</f>
        <v/>
      </c>
      <c r="F232" s="75"/>
      <c r="G232" s="72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8"/>
      <c r="W232" s="44"/>
      <c r="X232" s="77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8"/>
    </row>
    <row r="233" spans="1:35">
      <c r="A233" s="44"/>
      <c r="B233" s="71" t="str">
        <f>IFERROR(VLOOKUP(C233,[10]Sheet2!$C$3:$F$1223,2,0),"")</f>
        <v/>
      </c>
      <c r="C233" s="75"/>
      <c r="D233" s="73" t="str">
        <f>IFERROR(VLOOKUP(C233,[10]Sheet2!$C$1:$F$1223,3,0),"")</f>
        <v/>
      </c>
      <c r="E233" s="73" t="str">
        <f>IFERROR(VLOOKUP(C233,[10]Sheet2!$C$1:$F$1223,4,0),"")</f>
        <v/>
      </c>
      <c r="F233" s="75"/>
      <c r="G233" s="72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8"/>
      <c r="W233" s="44"/>
      <c r="X233" s="77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8"/>
    </row>
    <row r="234" spans="1:35">
      <c r="A234" s="44"/>
      <c r="B234" s="71" t="str">
        <f>IFERROR(VLOOKUP(C234,[10]Sheet2!$C$3:$F$1223,2,0),"")</f>
        <v/>
      </c>
      <c r="C234" s="75"/>
      <c r="D234" s="73" t="str">
        <f>IFERROR(VLOOKUP(C234,[10]Sheet2!$C$1:$F$1223,3,0),"")</f>
        <v/>
      </c>
      <c r="E234" s="73" t="str">
        <f>IFERROR(VLOOKUP(C234,[10]Sheet2!$C$1:$F$1223,4,0),"")</f>
        <v/>
      </c>
      <c r="F234" s="75"/>
      <c r="G234" s="72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8"/>
      <c r="W234" s="44"/>
      <c r="X234" s="77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8"/>
    </row>
    <row r="235" spans="1:35">
      <c r="A235" s="44"/>
      <c r="B235" s="71" t="str">
        <f>IFERROR(VLOOKUP(C235,[10]Sheet2!$C$3:$F$1223,2,0),"")</f>
        <v/>
      </c>
      <c r="C235" s="75"/>
      <c r="D235" s="73" t="str">
        <f>IFERROR(VLOOKUP(C235,[10]Sheet2!$C$1:$F$1223,3,0),"")</f>
        <v/>
      </c>
      <c r="E235" s="73" t="str">
        <f>IFERROR(VLOOKUP(C235,[10]Sheet2!$C$1:$F$1223,4,0),"")</f>
        <v/>
      </c>
      <c r="F235" s="75"/>
      <c r="G235" s="72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8"/>
      <c r="W235" s="44"/>
      <c r="X235" s="77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8"/>
    </row>
    <row r="236" spans="1:35">
      <c r="A236" s="44"/>
      <c r="B236" s="71" t="str">
        <f>IFERROR(VLOOKUP(C236,[10]Sheet2!$C$3:$F$1223,2,0),"")</f>
        <v/>
      </c>
      <c r="C236" s="75"/>
      <c r="D236" s="73" t="str">
        <f>IFERROR(VLOOKUP(C236,[10]Sheet2!$C$1:$F$1223,3,0),"")</f>
        <v/>
      </c>
      <c r="E236" s="73" t="str">
        <f>IFERROR(VLOOKUP(C236,[10]Sheet2!$C$1:$F$1223,4,0),"")</f>
        <v/>
      </c>
      <c r="F236" s="75"/>
      <c r="G236" s="72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8"/>
      <c r="W236" s="44"/>
      <c r="X236" s="77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8"/>
    </row>
    <row r="237" spans="1:35">
      <c r="A237" s="44"/>
      <c r="B237" s="71" t="str">
        <f>IFERROR(VLOOKUP(C237,[10]Sheet2!$C$3:$F$1223,2,0),"")</f>
        <v/>
      </c>
      <c r="C237" s="75"/>
      <c r="D237" s="73" t="str">
        <f>IFERROR(VLOOKUP(C237,[10]Sheet2!$C$1:$F$1223,3,0),"")</f>
        <v/>
      </c>
      <c r="E237" s="73" t="str">
        <f>IFERROR(VLOOKUP(C237,[10]Sheet2!$C$1:$F$1223,4,0),"")</f>
        <v/>
      </c>
      <c r="F237" s="75"/>
      <c r="G237" s="72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8"/>
      <c r="W237" s="44"/>
      <c r="X237" s="77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8"/>
    </row>
    <row r="238" spans="1:35">
      <c r="A238" s="44"/>
      <c r="B238" s="71" t="str">
        <f>IFERROR(VLOOKUP(C238,[10]Sheet2!$C$3:$F$1223,2,0),"")</f>
        <v/>
      </c>
      <c r="C238" s="75"/>
      <c r="D238" s="73" t="str">
        <f>IFERROR(VLOOKUP(C238,[10]Sheet2!$C$1:$F$1223,3,0),"")</f>
        <v/>
      </c>
      <c r="E238" s="73" t="str">
        <f>IFERROR(VLOOKUP(C238,[10]Sheet2!$C$1:$F$1223,4,0),"")</f>
        <v/>
      </c>
      <c r="F238" s="75"/>
      <c r="G238" s="72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8"/>
      <c r="W238" s="44"/>
      <c r="X238" s="77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8"/>
    </row>
    <row r="239" spans="1:35">
      <c r="A239" s="44"/>
      <c r="B239" s="71" t="str">
        <f>IFERROR(VLOOKUP(C239,[10]Sheet2!$C$3:$F$1223,2,0),"")</f>
        <v/>
      </c>
      <c r="C239" s="75"/>
      <c r="D239" s="73" t="str">
        <f>IFERROR(VLOOKUP(C239,[10]Sheet2!$C$1:$F$1223,3,0),"")</f>
        <v/>
      </c>
      <c r="E239" s="73" t="str">
        <f>IFERROR(VLOOKUP(C239,[10]Sheet2!$C$1:$F$1223,4,0),"")</f>
        <v/>
      </c>
      <c r="F239" s="75"/>
      <c r="G239" s="72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8"/>
      <c r="W239" s="44"/>
      <c r="X239" s="77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8"/>
    </row>
    <row r="240" spans="1:35">
      <c r="A240" s="44"/>
      <c r="B240" s="71" t="str">
        <f>IFERROR(VLOOKUP(C240,[10]Sheet2!$C$3:$F$1223,2,0),"")</f>
        <v/>
      </c>
      <c r="C240" s="75"/>
      <c r="D240" s="73" t="str">
        <f>IFERROR(VLOOKUP(C240,[10]Sheet2!$C$1:$F$1223,3,0),"")</f>
        <v/>
      </c>
      <c r="E240" s="73" t="str">
        <f>IFERROR(VLOOKUP(C240,[10]Sheet2!$C$1:$F$1223,4,0),"")</f>
        <v/>
      </c>
      <c r="F240" s="75"/>
      <c r="G240" s="72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8"/>
      <c r="W240" s="44"/>
      <c r="X240" s="77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8"/>
    </row>
    <row r="241" spans="1:35">
      <c r="A241" s="44"/>
      <c r="B241" s="71" t="str">
        <f>IFERROR(VLOOKUP(C241,[10]Sheet2!$C$3:$F$1223,2,0),"")</f>
        <v/>
      </c>
      <c r="C241" s="75"/>
      <c r="D241" s="73" t="str">
        <f>IFERROR(VLOOKUP(C241,[10]Sheet2!$C$1:$F$1223,3,0),"")</f>
        <v/>
      </c>
      <c r="E241" s="73" t="str">
        <f>IFERROR(VLOOKUP(C241,[10]Sheet2!$C$1:$F$1223,4,0),"")</f>
        <v/>
      </c>
      <c r="F241" s="75"/>
      <c r="G241" s="72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8"/>
      <c r="W241" s="44"/>
      <c r="X241" s="77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8"/>
    </row>
    <row r="242" spans="1:35">
      <c r="A242" s="44"/>
      <c r="B242" s="71" t="str">
        <f>IFERROR(VLOOKUP(C242,[10]Sheet2!$C$3:$F$1223,2,0),"")</f>
        <v/>
      </c>
      <c r="C242" s="75"/>
      <c r="D242" s="73" t="str">
        <f>IFERROR(VLOOKUP(C242,[10]Sheet2!$C$1:$F$1223,3,0),"")</f>
        <v/>
      </c>
      <c r="E242" s="73" t="str">
        <f>IFERROR(VLOOKUP(C242,[10]Sheet2!$C$1:$F$1223,4,0),"")</f>
        <v/>
      </c>
      <c r="F242" s="75"/>
      <c r="G242" s="72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8"/>
      <c r="W242" s="44"/>
      <c r="X242" s="77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8"/>
    </row>
    <row r="243" spans="1:35">
      <c r="A243" s="44"/>
      <c r="B243" s="71" t="str">
        <f>IFERROR(VLOOKUP(C243,[10]Sheet2!$C$3:$F$1223,2,0),"")</f>
        <v/>
      </c>
      <c r="C243" s="75"/>
      <c r="D243" s="73" t="str">
        <f>IFERROR(VLOOKUP(C243,[10]Sheet2!$C$1:$F$1223,3,0),"")</f>
        <v/>
      </c>
      <c r="E243" s="73" t="str">
        <f>IFERROR(VLOOKUP(C243,[10]Sheet2!$C$1:$F$1223,4,0),"")</f>
        <v/>
      </c>
      <c r="F243" s="75"/>
      <c r="G243" s="72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8"/>
      <c r="W243" s="44"/>
      <c r="X243" s="77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8"/>
    </row>
    <row r="244" spans="1:35">
      <c r="A244" s="44"/>
      <c r="B244" s="71" t="str">
        <f>IFERROR(VLOOKUP(C244,[10]Sheet2!$C$3:$F$1223,2,0),"")</f>
        <v/>
      </c>
      <c r="C244" s="75"/>
      <c r="D244" s="73" t="str">
        <f>IFERROR(VLOOKUP(C244,[10]Sheet2!$C$1:$F$1223,3,0),"")</f>
        <v/>
      </c>
      <c r="E244" s="73" t="str">
        <f>IFERROR(VLOOKUP(C244,[10]Sheet2!$C$1:$F$1223,4,0),"")</f>
        <v/>
      </c>
      <c r="F244" s="75"/>
      <c r="G244" s="72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8"/>
      <c r="W244" s="44"/>
      <c r="X244" s="77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8"/>
    </row>
    <row r="245" spans="1:35">
      <c r="A245" s="44"/>
      <c r="B245" s="71" t="str">
        <f>IFERROR(VLOOKUP(C245,[10]Sheet2!$C$3:$F$1223,2,0),"")</f>
        <v/>
      </c>
      <c r="C245" s="75"/>
      <c r="D245" s="73" t="str">
        <f>IFERROR(VLOOKUP(C245,[10]Sheet2!$C$1:$F$1223,3,0),"")</f>
        <v/>
      </c>
      <c r="E245" s="73" t="str">
        <f>IFERROR(VLOOKUP(C245,[10]Sheet2!$C$1:$F$1223,4,0),"")</f>
        <v/>
      </c>
      <c r="F245" s="75"/>
      <c r="G245" s="72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8"/>
      <c r="W245" s="44"/>
      <c r="X245" s="77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8"/>
    </row>
    <row r="246" spans="1:35">
      <c r="A246" s="44"/>
      <c r="B246" s="71" t="str">
        <f>IFERROR(VLOOKUP(C246,[10]Sheet2!$C$3:$F$1223,2,0),"")</f>
        <v/>
      </c>
      <c r="C246" s="75"/>
      <c r="D246" s="73" t="str">
        <f>IFERROR(VLOOKUP(C246,[10]Sheet2!$C$1:$F$1223,3,0),"")</f>
        <v/>
      </c>
      <c r="E246" s="73" t="str">
        <f>IFERROR(VLOOKUP(C246,[10]Sheet2!$C$1:$F$1223,4,0),"")</f>
        <v/>
      </c>
      <c r="F246" s="75"/>
      <c r="G246" s="72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8"/>
      <c r="W246" s="44"/>
      <c r="X246" s="77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8"/>
    </row>
    <row r="247" spans="1:35">
      <c r="A247" s="44"/>
      <c r="B247" s="71" t="str">
        <f>IFERROR(VLOOKUP(C247,[10]Sheet2!$C$3:$F$1223,2,0),"")</f>
        <v/>
      </c>
      <c r="C247" s="75"/>
      <c r="D247" s="73" t="str">
        <f>IFERROR(VLOOKUP(C247,[10]Sheet2!$C$1:$F$1223,3,0),"")</f>
        <v/>
      </c>
      <c r="E247" s="73" t="str">
        <f>IFERROR(VLOOKUP(C247,[10]Sheet2!$C$1:$F$1223,4,0),"")</f>
        <v/>
      </c>
      <c r="F247" s="75"/>
      <c r="G247" s="72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8"/>
      <c r="W247" s="44"/>
      <c r="X247" s="77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8"/>
    </row>
    <row r="248" spans="1:35">
      <c r="A248" s="44"/>
      <c r="B248" s="71" t="str">
        <f>IFERROR(VLOOKUP(C248,[10]Sheet2!$C$3:$F$1223,2,0),"")</f>
        <v/>
      </c>
      <c r="C248" s="75"/>
      <c r="D248" s="73" t="str">
        <f>IFERROR(VLOOKUP(C248,[10]Sheet2!$C$1:$F$1223,3,0),"")</f>
        <v/>
      </c>
      <c r="E248" s="73" t="str">
        <f>IFERROR(VLOOKUP(C248,[10]Sheet2!$C$1:$F$1223,4,0),"")</f>
        <v/>
      </c>
      <c r="F248" s="75"/>
      <c r="G248" s="72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8"/>
      <c r="W248" s="44"/>
      <c r="X248" s="77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8"/>
    </row>
    <row r="249" spans="1:35">
      <c r="A249" s="44"/>
      <c r="B249" s="71" t="str">
        <f>IFERROR(VLOOKUP(C249,[10]Sheet2!$C$3:$F$1223,2,0),"")</f>
        <v/>
      </c>
      <c r="C249" s="75"/>
      <c r="D249" s="73" t="str">
        <f>IFERROR(VLOOKUP(C249,[10]Sheet2!$C$1:$F$1223,3,0),"")</f>
        <v/>
      </c>
      <c r="E249" s="73" t="str">
        <f>IFERROR(VLOOKUP(C249,[10]Sheet2!$C$1:$F$1223,4,0),"")</f>
        <v/>
      </c>
      <c r="F249" s="75"/>
      <c r="G249" s="72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8"/>
      <c r="W249" s="44"/>
      <c r="X249" s="77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8"/>
    </row>
    <row r="250" spans="1:35">
      <c r="A250" s="44"/>
      <c r="B250" s="71" t="str">
        <f>IFERROR(VLOOKUP(C250,[10]Sheet2!$C$3:$F$1223,2,0),"")</f>
        <v/>
      </c>
      <c r="C250" s="75"/>
      <c r="D250" s="73" t="str">
        <f>IFERROR(VLOOKUP(C250,[10]Sheet2!$C$1:$F$1223,3,0),"")</f>
        <v/>
      </c>
      <c r="E250" s="73" t="str">
        <f>IFERROR(VLOOKUP(C250,[10]Sheet2!$C$1:$F$1223,4,0),"")</f>
        <v/>
      </c>
      <c r="F250" s="75"/>
      <c r="G250" s="72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8"/>
      <c r="W250" s="44"/>
      <c r="X250" s="77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8"/>
    </row>
    <row r="251" spans="1:35">
      <c r="A251" s="44"/>
      <c r="B251" s="71" t="str">
        <f>IFERROR(VLOOKUP(C251,[10]Sheet2!$C$3:$F$1223,2,0),"")</f>
        <v/>
      </c>
      <c r="C251" s="75"/>
      <c r="D251" s="73" t="str">
        <f>IFERROR(VLOOKUP(C251,[10]Sheet2!$C$1:$F$1223,3,0),"")</f>
        <v/>
      </c>
      <c r="E251" s="73" t="str">
        <f>IFERROR(VLOOKUP(C251,[10]Sheet2!$C$1:$F$1223,4,0),"")</f>
        <v/>
      </c>
      <c r="F251" s="75"/>
      <c r="G251" s="72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8"/>
      <c r="W251" s="44"/>
      <c r="X251" s="77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8"/>
    </row>
    <row r="252" spans="1:35">
      <c r="A252" s="44"/>
      <c r="B252" s="71" t="str">
        <f>IFERROR(VLOOKUP(C252,[10]Sheet2!$C$3:$F$1223,2,0),"")</f>
        <v/>
      </c>
      <c r="C252" s="75"/>
      <c r="D252" s="73" t="str">
        <f>IFERROR(VLOOKUP(C252,[10]Sheet2!$C$1:$F$1223,3,0),"")</f>
        <v/>
      </c>
      <c r="E252" s="73" t="str">
        <f>IFERROR(VLOOKUP(C252,[10]Sheet2!$C$1:$F$1223,4,0),"")</f>
        <v/>
      </c>
      <c r="F252" s="75"/>
      <c r="G252" s="72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8"/>
      <c r="W252" s="44"/>
      <c r="X252" s="77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8"/>
    </row>
    <row r="253" spans="1:35">
      <c r="A253" s="44"/>
      <c r="B253" s="71" t="str">
        <f>IFERROR(VLOOKUP(C253,[10]Sheet2!$C$3:$F$1223,2,0),"")</f>
        <v/>
      </c>
      <c r="C253" s="75"/>
      <c r="D253" s="73" t="str">
        <f>IFERROR(VLOOKUP(C253,[10]Sheet2!$C$1:$F$1223,3,0),"")</f>
        <v/>
      </c>
      <c r="E253" s="73" t="str">
        <f>IFERROR(VLOOKUP(C253,[10]Sheet2!$C$1:$F$1223,4,0),"")</f>
        <v/>
      </c>
      <c r="F253" s="75"/>
      <c r="G253" s="72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8"/>
      <c r="W253" s="44"/>
      <c r="X253" s="77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8"/>
    </row>
    <row r="254" spans="1:35">
      <c r="A254" s="44"/>
      <c r="B254" s="71" t="str">
        <f>IFERROR(VLOOKUP(C254,[10]Sheet2!$C$3:$F$1223,2,0),"")</f>
        <v/>
      </c>
      <c r="C254" s="75"/>
      <c r="D254" s="73" t="str">
        <f>IFERROR(VLOOKUP(C254,[10]Sheet2!$C$1:$F$1223,3,0),"")</f>
        <v/>
      </c>
      <c r="E254" s="73" t="str">
        <f>IFERROR(VLOOKUP(C254,[10]Sheet2!$C$1:$F$1223,4,0),"")</f>
        <v/>
      </c>
      <c r="F254" s="75"/>
      <c r="G254" s="72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8"/>
      <c r="W254" s="44"/>
      <c r="X254" s="77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8"/>
    </row>
    <row r="255" spans="1:35">
      <c r="A255" s="44"/>
      <c r="B255" s="71" t="str">
        <f>IFERROR(VLOOKUP(C255,[10]Sheet2!$C$3:$F$1223,2,0),"")</f>
        <v/>
      </c>
      <c r="C255" s="75"/>
      <c r="D255" s="73" t="str">
        <f>IFERROR(VLOOKUP(C255,[10]Sheet2!$C$1:$F$1223,3,0),"")</f>
        <v/>
      </c>
      <c r="E255" s="73" t="str">
        <f>IFERROR(VLOOKUP(C255,[10]Sheet2!$C$1:$F$1223,4,0),"")</f>
        <v/>
      </c>
      <c r="F255" s="75"/>
      <c r="G255" s="72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8"/>
      <c r="W255" s="44"/>
      <c r="X255" s="77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8"/>
    </row>
    <row r="256" spans="1:35">
      <c r="A256" s="44"/>
      <c r="B256" s="71" t="str">
        <f>IFERROR(VLOOKUP(C256,[10]Sheet2!$C$3:$F$1223,2,0),"")</f>
        <v/>
      </c>
      <c r="C256" s="75"/>
      <c r="D256" s="73" t="str">
        <f>IFERROR(VLOOKUP(C256,[10]Sheet2!$C$1:$F$1223,3,0),"")</f>
        <v/>
      </c>
      <c r="E256" s="73" t="str">
        <f>IFERROR(VLOOKUP(C256,[10]Sheet2!$C$1:$F$1223,4,0),"")</f>
        <v/>
      </c>
      <c r="F256" s="75"/>
      <c r="G256" s="72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8"/>
      <c r="W256" s="44"/>
      <c r="X256" s="77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8"/>
    </row>
    <row r="257" spans="1:35">
      <c r="A257" s="44"/>
      <c r="B257" s="71" t="str">
        <f>IFERROR(VLOOKUP(C257,[10]Sheet2!$C$3:$F$1223,2,0),"")</f>
        <v/>
      </c>
      <c r="C257" s="75"/>
      <c r="D257" s="73" t="str">
        <f>IFERROR(VLOOKUP(C257,[10]Sheet2!$C$1:$F$1223,3,0),"")</f>
        <v/>
      </c>
      <c r="E257" s="73" t="str">
        <f>IFERROR(VLOOKUP(C257,[10]Sheet2!$C$1:$F$1223,4,0),"")</f>
        <v/>
      </c>
      <c r="F257" s="75"/>
      <c r="G257" s="72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8"/>
      <c r="W257" s="44"/>
      <c r="X257" s="77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8"/>
    </row>
    <row r="258" spans="1:35">
      <c r="A258" s="44"/>
      <c r="B258" s="71" t="str">
        <f>IFERROR(VLOOKUP(C258,[10]Sheet2!$C$3:$F$1223,2,0),"")</f>
        <v/>
      </c>
      <c r="C258" s="75"/>
      <c r="D258" s="73" t="str">
        <f>IFERROR(VLOOKUP(C258,[10]Sheet2!$C$1:$F$1223,3,0),"")</f>
        <v/>
      </c>
      <c r="E258" s="73" t="str">
        <f>IFERROR(VLOOKUP(C258,[10]Sheet2!$C$1:$F$1223,4,0),"")</f>
        <v/>
      </c>
      <c r="F258" s="75"/>
      <c r="G258" s="72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8"/>
      <c r="W258" s="44"/>
      <c r="X258" s="77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8"/>
    </row>
    <row r="259" spans="1:35">
      <c r="A259" s="44"/>
      <c r="B259" s="71" t="str">
        <f>IFERROR(VLOOKUP(C259,[10]Sheet2!$C$3:$F$1223,2,0),"")</f>
        <v/>
      </c>
      <c r="C259" s="75"/>
      <c r="D259" s="73" t="str">
        <f>IFERROR(VLOOKUP(C259,[10]Sheet2!$C$1:$F$1223,3,0),"")</f>
        <v/>
      </c>
      <c r="E259" s="73" t="str">
        <f>IFERROR(VLOOKUP(C259,[10]Sheet2!$C$1:$F$1223,4,0),"")</f>
        <v/>
      </c>
      <c r="F259" s="75"/>
      <c r="G259" s="72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8"/>
      <c r="W259" s="44"/>
      <c r="X259" s="77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8"/>
    </row>
    <row r="260" spans="1:35">
      <c r="A260" s="44"/>
      <c r="B260" s="71" t="str">
        <f>IFERROR(VLOOKUP(C260,[10]Sheet2!$C$3:$F$1223,2,0),"")</f>
        <v/>
      </c>
      <c r="C260" s="75"/>
      <c r="D260" s="73" t="str">
        <f>IFERROR(VLOOKUP(C260,[10]Sheet2!$C$1:$F$1223,3,0),"")</f>
        <v/>
      </c>
      <c r="E260" s="73" t="str">
        <f>IFERROR(VLOOKUP(C260,[10]Sheet2!$C$1:$F$1223,4,0),"")</f>
        <v/>
      </c>
      <c r="F260" s="75"/>
      <c r="G260" s="72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8"/>
      <c r="W260" s="44"/>
      <c r="X260" s="77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8"/>
    </row>
    <row r="261" spans="1:35">
      <c r="A261" s="44"/>
      <c r="B261" s="71" t="str">
        <f>IFERROR(VLOOKUP(C261,[10]Sheet2!$C$3:$F$1223,2,0),"")</f>
        <v/>
      </c>
      <c r="C261" s="75"/>
      <c r="D261" s="73" t="str">
        <f>IFERROR(VLOOKUP(C261,[10]Sheet2!$C$1:$F$1223,3,0),"")</f>
        <v/>
      </c>
      <c r="E261" s="73" t="str">
        <f>IFERROR(VLOOKUP(C261,[10]Sheet2!$C$1:$F$1223,4,0),"")</f>
        <v/>
      </c>
      <c r="F261" s="75"/>
      <c r="G261" s="72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8"/>
      <c r="W261" s="44"/>
      <c r="X261" s="77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8"/>
    </row>
    <row r="262" spans="1:35">
      <c r="A262" s="44"/>
      <c r="B262" s="71" t="str">
        <f>IFERROR(VLOOKUP(C262,[10]Sheet2!$C$3:$F$1223,2,0),"")</f>
        <v/>
      </c>
      <c r="C262" s="75"/>
      <c r="D262" s="73" t="str">
        <f>IFERROR(VLOOKUP(C262,[10]Sheet2!$C$1:$F$1223,3,0),"")</f>
        <v/>
      </c>
      <c r="E262" s="73" t="str">
        <f>IFERROR(VLOOKUP(C262,[10]Sheet2!$C$1:$F$1223,4,0),"")</f>
        <v/>
      </c>
      <c r="F262" s="75"/>
      <c r="G262" s="72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8"/>
      <c r="W262" s="44"/>
      <c r="X262" s="77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8"/>
    </row>
    <row r="263" spans="1:35">
      <c r="A263" s="44"/>
      <c r="B263" s="71" t="str">
        <f>IFERROR(VLOOKUP(C263,[10]Sheet2!$C$3:$F$1223,2,0),"")</f>
        <v/>
      </c>
      <c r="C263" s="75"/>
      <c r="D263" s="73" t="str">
        <f>IFERROR(VLOOKUP(C263,[10]Sheet2!$C$1:$F$1223,3,0),"")</f>
        <v/>
      </c>
      <c r="E263" s="73" t="str">
        <f>IFERROR(VLOOKUP(C263,[10]Sheet2!$C$1:$F$1223,4,0),"")</f>
        <v/>
      </c>
      <c r="F263" s="75"/>
      <c r="G263" s="72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8"/>
      <c r="W263" s="44"/>
      <c r="X263" s="77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8"/>
    </row>
    <row r="264" spans="1:35">
      <c r="A264" s="44"/>
      <c r="B264" s="71" t="str">
        <f>IFERROR(VLOOKUP(C264,[10]Sheet2!$C$3:$F$1223,2,0),"")</f>
        <v/>
      </c>
      <c r="C264" s="75"/>
      <c r="D264" s="73" t="str">
        <f>IFERROR(VLOOKUP(C264,[10]Sheet2!$C$1:$F$1223,3,0),"")</f>
        <v/>
      </c>
      <c r="E264" s="73" t="str">
        <f>IFERROR(VLOOKUP(C264,[10]Sheet2!$C$1:$F$1223,4,0),"")</f>
        <v/>
      </c>
      <c r="F264" s="75"/>
      <c r="G264" s="72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8"/>
      <c r="W264" s="44"/>
      <c r="X264" s="77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8"/>
    </row>
    <row r="265" spans="1:35">
      <c r="A265" s="44"/>
      <c r="B265" s="71" t="str">
        <f>IFERROR(VLOOKUP(C265,[10]Sheet2!$C$3:$F$1223,2,0),"")</f>
        <v/>
      </c>
      <c r="C265" s="75"/>
      <c r="D265" s="73" t="str">
        <f>IFERROR(VLOOKUP(C265,[10]Sheet2!$C$1:$F$1223,3,0),"")</f>
        <v/>
      </c>
      <c r="E265" s="73" t="str">
        <f>IFERROR(VLOOKUP(C265,[10]Sheet2!$C$1:$F$1223,4,0),"")</f>
        <v/>
      </c>
      <c r="F265" s="75"/>
      <c r="G265" s="72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8"/>
      <c r="W265" s="44"/>
      <c r="X265" s="77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8"/>
    </row>
    <row r="266" spans="1:35">
      <c r="A266" s="44"/>
      <c r="B266" s="71" t="str">
        <f>IFERROR(VLOOKUP(C266,[10]Sheet2!$C$3:$F$1223,2,0),"")</f>
        <v/>
      </c>
      <c r="C266" s="75"/>
      <c r="D266" s="73" t="str">
        <f>IFERROR(VLOOKUP(C266,[10]Sheet2!$C$1:$F$1223,3,0),"")</f>
        <v/>
      </c>
      <c r="E266" s="73" t="str">
        <f>IFERROR(VLOOKUP(C266,[10]Sheet2!$C$1:$F$1223,4,0),"")</f>
        <v/>
      </c>
      <c r="F266" s="75"/>
      <c r="G266" s="72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8"/>
      <c r="W266" s="44"/>
      <c r="X266" s="77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8"/>
    </row>
    <row r="267" spans="1:35">
      <c r="A267" s="44"/>
      <c r="B267" s="71" t="str">
        <f>IFERROR(VLOOKUP(C267,[10]Sheet2!$C$3:$F$1223,2,0),"")</f>
        <v/>
      </c>
      <c r="C267" s="75"/>
      <c r="D267" s="73" t="str">
        <f>IFERROR(VLOOKUP(C267,[10]Sheet2!$C$1:$F$1223,3,0),"")</f>
        <v/>
      </c>
      <c r="E267" s="73" t="str">
        <f>IFERROR(VLOOKUP(C267,[10]Sheet2!$C$1:$F$1223,4,0),"")</f>
        <v/>
      </c>
      <c r="F267" s="75"/>
      <c r="G267" s="72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8"/>
      <c r="W267" s="44"/>
      <c r="X267" s="77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8"/>
    </row>
    <row r="268" spans="1:35">
      <c r="A268" s="44"/>
      <c r="B268" s="71" t="str">
        <f>IFERROR(VLOOKUP(C268,[10]Sheet2!$C$3:$F$1223,2,0),"")</f>
        <v/>
      </c>
      <c r="C268" s="75"/>
      <c r="D268" s="73" t="str">
        <f>IFERROR(VLOOKUP(C268,[10]Sheet2!$C$1:$F$1223,3,0),"")</f>
        <v/>
      </c>
      <c r="E268" s="73" t="str">
        <f>IFERROR(VLOOKUP(C268,[10]Sheet2!$C$1:$F$1223,4,0),"")</f>
        <v/>
      </c>
      <c r="F268" s="75"/>
      <c r="G268" s="72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8"/>
      <c r="W268" s="44"/>
      <c r="X268" s="77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8"/>
    </row>
    <row r="269" spans="1:35">
      <c r="A269" s="44"/>
      <c r="B269" s="71" t="str">
        <f>IFERROR(VLOOKUP(C269,[10]Sheet2!$C$3:$F$1223,2,0),"")</f>
        <v/>
      </c>
      <c r="C269" s="75"/>
      <c r="D269" s="73" t="str">
        <f>IFERROR(VLOOKUP(C269,[10]Sheet2!$C$1:$F$1223,3,0),"")</f>
        <v/>
      </c>
      <c r="E269" s="73" t="str">
        <f>IFERROR(VLOOKUP(C269,[10]Sheet2!$C$1:$F$1223,4,0),"")</f>
        <v/>
      </c>
      <c r="F269" s="75"/>
      <c r="G269" s="72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8"/>
      <c r="W269" s="44"/>
      <c r="X269" s="77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8"/>
    </row>
    <row r="270" spans="1:35">
      <c r="A270" s="44"/>
      <c r="B270" s="71" t="str">
        <f>IFERROR(VLOOKUP(C270,[10]Sheet2!$C$3:$F$1223,2,0),"")</f>
        <v/>
      </c>
      <c r="C270" s="75"/>
      <c r="D270" s="73" t="str">
        <f>IFERROR(VLOOKUP(C270,[10]Sheet2!$C$1:$F$1223,3,0),"")</f>
        <v/>
      </c>
      <c r="E270" s="73" t="str">
        <f>IFERROR(VLOOKUP(C270,[10]Sheet2!$C$1:$F$1223,4,0),"")</f>
        <v/>
      </c>
      <c r="F270" s="75"/>
      <c r="G270" s="72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8"/>
      <c r="W270" s="44"/>
      <c r="X270" s="77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8"/>
    </row>
    <row r="271" spans="1:35">
      <c r="A271" s="44"/>
      <c r="B271" s="71" t="str">
        <f>IFERROR(VLOOKUP(C271,[10]Sheet2!$C$3:$F$1223,2,0),"")</f>
        <v/>
      </c>
      <c r="C271" s="75"/>
      <c r="D271" s="73" t="str">
        <f>IFERROR(VLOOKUP(C271,[10]Sheet2!$C$1:$F$1223,3,0),"")</f>
        <v/>
      </c>
      <c r="E271" s="73" t="str">
        <f>IFERROR(VLOOKUP(C271,[10]Sheet2!$C$1:$F$1223,4,0),"")</f>
        <v/>
      </c>
      <c r="F271" s="75"/>
      <c r="G271" s="72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8"/>
      <c r="W271" s="44"/>
      <c r="X271" s="77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8"/>
    </row>
    <row r="272" spans="1:35">
      <c r="A272" s="44"/>
      <c r="B272" s="71" t="str">
        <f>IFERROR(VLOOKUP(C272,[10]Sheet2!$C$3:$F$1223,2,0),"")</f>
        <v/>
      </c>
      <c r="C272" s="75"/>
      <c r="D272" s="73" t="str">
        <f>IFERROR(VLOOKUP(C272,[10]Sheet2!$C$1:$F$1223,3,0),"")</f>
        <v/>
      </c>
      <c r="E272" s="73" t="str">
        <f>IFERROR(VLOOKUP(C272,[10]Sheet2!$C$1:$F$1223,4,0),"")</f>
        <v/>
      </c>
      <c r="F272" s="75"/>
      <c r="G272" s="72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8"/>
      <c r="W272" s="44"/>
      <c r="X272" s="77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8"/>
    </row>
    <row r="273" spans="1:35">
      <c r="A273" s="44"/>
      <c r="B273" s="71" t="str">
        <f>IFERROR(VLOOKUP(C273,[10]Sheet2!$C$3:$F$1223,2,0),"")</f>
        <v/>
      </c>
      <c r="C273" s="75"/>
      <c r="D273" s="73" t="str">
        <f>IFERROR(VLOOKUP(C273,[10]Sheet2!$C$1:$F$1223,3,0),"")</f>
        <v/>
      </c>
      <c r="E273" s="73" t="str">
        <f>IFERROR(VLOOKUP(C273,[10]Sheet2!$C$1:$F$1223,4,0),"")</f>
        <v/>
      </c>
      <c r="F273" s="75"/>
      <c r="G273" s="72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8"/>
      <c r="W273" s="44"/>
      <c r="X273" s="77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8"/>
    </row>
    <row r="274" spans="1:35">
      <c r="A274" s="44"/>
      <c r="B274" s="71" t="str">
        <f>IFERROR(VLOOKUP(C274,[10]Sheet2!$C$3:$F$1223,2,0),"")</f>
        <v/>
      </c>
      <c r="C274" s="75"/>
      <c r="D274" s="73" t="str">
        <f>IFERROR(VLOOKUP(C274,[10]Sheet2!$C$1:$F$1223,3,0),"")</f>
        <v/>
      </c>
      <c r="E274" s="73" t="str">
        <f>IFERROR(VLOOKUP(C274,[10]Sheet2!$C$1:$F$1223,4,0),"")</f>
        <v/>
      </c>
      <c r="F274" s="75"/>
      <c r="G274" s="72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8"/>
      <c r="W274" s="44"/>
      <c r="X274" s="77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8"/>
    </row>
    <row r="275" spans="1:35">
      <c r="A275" s="44"/>
      <c r="B275" s="71" t="str">
        <f>IFERROR(VLOOKUP(C275,[10]Sheet2!$C$3:$F$1223,2,0),"")</f>
        <v/>
      </c>
      <c r="C275" s="75"/>
      <c r="D275" s="73" t="str">
        <f>IFERROR(VLOOKUP(C275,[10]Sheet2!$C$1:$F$1223,3,0),"")</f>
        <v/>
      </c>
      <c r="E275" s="73" t="str">
        <f>IFERROR(VLOOKUP(C275,[10]Sheet2!$C$1:$F$1223,4,0),"")</f>
        <v/>
      </c>
      <c r="F275" s="75"/>
      <c r="G275" s="72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8"/>
      <c r="W275" s="44"/>
      <c r="X275" s="77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8"/>
    </row>
    <row r="276" spans="1:35">
      <c r="A276" s="44"/>
      <c r="B276" s="71" t="str">
        <f>IFERROR(VLOOKUP(C276,[10]Sheet2!$C$3:$F$1223,2,0),"")</f>
        <v/>
      </c>
      <c r="C276" s="75"/>
      <c r="D276" s="73" t="str">
        <f>IFERROR(VLOOKUP(C276,[10]Sheet2!$C$1:$F$1223,3,0),"")</f>
        <v/>
      </c>
      <c r="E276" s="73" t="str">
        <f>IFERROR(VLOOKUP(C276,[10]Sheet2!$C$1:$F$1223,4,0),"")</f>
        <v/>
      </c>
      <c r="F276" s="75"/>
      <c r="G276" s="72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8"/>
      <c r="W276" s="44"/>
      <c r="X276" s="77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8"/>
    </row>
    <row r="277" spans="1:35">
      <c r="A277" s="44"/>
      <c r="B277" s="71" t="str">
        <f>IFERROR(VLOOKUP(C277,[10]Sheet2!$C$3:$F$1223,2,0),"")</f>
        <v/>
      </c>
      <c r="C277" s="75"/>
      <c r="D277" s="73" t="str">
        <f>IFERROR(VLOOKUP(C277,[10]Sheet2!$C$1:$F$1223,3,0),"")</f>
        <v/>
      </c>
      <c r="E277" s="73" t="str">
        <f>IFERROR(VLOOKUP(C277,[10]Sheet2!$C$1:$F$1223,4,0),"")</f>
        <v/>
      </c>
      <c r="F277" s="75"/>
      <c r="G277" s="72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8"/>
      <c r="W277" s="44"/>
      <c r="X277" s="77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8"/>
    </row>
    <row r="278" spans="1:35">
      <c r="A278" s="44"/>
      <c r="B278" s="71" t="str">
        <f>IFERROR(VLOOKUP(C278,[10]Sheet2!$C$3:$F$1223,2,0),"")</f>
        <v/>
      </c>
      <c r="C278" s="75"/>
      <c r="D278" s="73" t="str">
        <f>IFERROR(VLOOKUP(C278,[10]Sheet2!$C$1:$F$1223,3,0),"")</f>
        <v/>
      </c>
      <c r="E278" s="73" t="str">
        <f>IFERROR(VLOOKUP(C278,[10]Sheet2!$C$1:$F$1223,4,0),"")</f>
        <v/>
      </c>
      <c r="F278" s="75"/>
      <c r="G278" s="72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8"/>
      <c r="W278" s="44"/>
      <c r="X278" s="77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8"/>
    </row>
    <row r="279" spans="1:35">
      <c r="A279" s="44"/>
      <c r="B279" s="71" t="str">
        <f>IFERROR(VLOOKUP(C279,[10]Sheet2!$C$3:$F$1223,2,0),"")</f>
        <v/>
      </c>
      <c r="C279" s="75"/>
      <c r="D279" s="73" t="str">
        <f>IFERROR(VLOOKUP(C279,[10]Sheet2!$C$1:$F$1223,3,0),"")</f>
        <v/>
      </c>
      <c r="E279" s="73" t="str">
        <f>IFERROR(VLOOKUP(C279,[10]Sheet2!$C$1:$F$1223,4,0),"")</f>
        <v/>
      </c>
      <c r="F279" s="75"/>
      <c r="G279" s="72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8"/>
      <c r="W279" s="44"/>
      <c r="X279" s="77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8"/>
    </row>
    <row r="280" spans="1:35">
      <c r="A280" s="44"/>
      <c r="B280" s="71" t="str">
        <f>IFERROR(VLOOKUP(C280,[10]Sheet2!$C$3:$F$1223,2,0),"")</f>
        <v/>
      </c>
      <c r="C280" s="75"/>
      <c r="D280" s="73" t="str">
        <f>IFERROR(VLOOKUP(C280,[10]Sheet2!$C$1:$F$1223,3,0),"")</f>
        <v/>
      </c>
      <c r="E280" s="73" t="str">
        <f>IFERROR(VLOOKUP(C280,[10]Sheet2!$C$1:$F$1223,4,0),"")</f>
        <v/>
      </c>
      <c r="F280" s="75"/>
      <c r="G280" s="72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8"/>
      <c r="W280" s="44"/>
      <c r="X280" s="77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8"/>
    </row>
    <row r="281" spans="1:35">
      <c r="A281" s="44"/>
      <c r="B281" s="71" t="str">
        <f>IFERROR(VLOOKUP(C281,[10]Sheet2!$C$3:$F$1223,2,0),"")</f>
        <v/>
      </c>
      <c r="C281" s="75"/>
      <c r="D281" s="73" t="str">
        <f>IFERROR(VLOOKUP(C281,[10]Sheet2!$C$1:$F$1223,3,0),"")</f>
        <v/>
      </c>
      <c r="E281" s="73" t="str">
        <f>IFERROR(VLOOKUP(C281,[10]Sheet2!$C$1:$F$1223,4,0),"")</f>
        <v/>
      </c>
      <c r="F281" s="75"/>
      <c r="G281" s="72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8"/>
      <c r="W281" s="44"/>
      <c r="X281" s="77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8"/>
    </row>
    <row r="282" spans="1:35">
      <c r="A282" s="44"/>
      <c r="B282" s="71" t="str">
        <f>IFERROR(VLOOKUP(C282,[10]Sheet2!$C$3:$F$1223,2,0),"")</f>
        <v/>
      </c>
      <c r="C282" s="75"/>
      <c r="D282" s="73" t="str">
        <f>IFERROR(VLOOKUP(C282,[10]Sheet2!$C$1:$F$1223,3,0),"")</f>
        <v/>
      </c>
      <c r="E282" s="73" t="str">
        <f>IFERROR(VLOOKUP(C282,[10]Sheet2!$C$1:$F$1223,4,0),"")</f>
        <v/>
      </c>
      <c r="F282" s="75"/>
      <c r="G282" s="72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8"/>
      <c r="W282" s="44"/>
      <c r="X282" s="77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8"/>
    </row>
    <row r="283" spans="1:35">
      <c r="A283" s="44"/>
      <c r="B283" s="71" t="str">
        <f>IFERROR(VLOOKUP(C283,[10]Sheet2!$C$3:$F$1223,2,0),"")</f>
        <v/>
      </c>
      <c r="C283" s="75"/>
      <c r="D283" s="73" t="str">
        <f>IFERROR(VLOOKUP(C283,[10]Sheet2!$C$1:$F$1223,3,0),"")</f>
        <v/>
      </c>
      <c r="E283" s="73" t="str">
        <f>IFERROR(VLOOKUP(C283,[10]Sheet2!$C$1:$F$1223,4,0),"")</f>
        <v/>
      </c>
      <c r="F283" s="75"/>
      <c r="G283" s="72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8"/>
      <c r="W283" s="44"/>
      <c r="X283" s="77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8"/>
    </row>
    <row r="284" spans="1:35">
      <c r="A284" s="44"/>
      <c r="B284" s="71" t="str">
        <f>IFERROR(VLOOKUP(C284,[10]Sheet2!$C$3:$F$1223,2,0),"")</f>
        <v/>
      </c>
      <c r="C284" s="75"/>
      <c r="D284" s="73" t="str">
        <f>IFERROR(VLOOKUP(C284,[10]Sheet2!$C$1:$F$1223,3,0),"")</f>
        <v/>
      </c>
      <c r="E284" s="73" t="str">
        <f>IFERROR(VLOOKUP(C284,[10]Sheet2!$C$1:$F$1223,4,0),"")</f>
        <v/>
      </c>
      <c r="F284" s="75"/>
      <c r="G284" s="72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8"/>
      <c r="W284" s="44"/>
      <c r="X284" s="77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8"/>
    </row>
    <row r="285" spans="1:35">
      <c r="A285" s="44"/>
      <c r="B285" s="71" t="str">
        <f>IFERROR(VLOOKUP(C285,[10]Sheet2!$C$3:$F$1223,2,0),"")</f>
        <v/>
      </c>
      <c r="C285" s="75"/>
      <c r="D285" s="73" t="str">
        <f>IFERROR(VLOOKUP(C285,[10]Sheet2!$C$1:$F$1223,3,0),"")</f>
        <v/>
      </c>
      <c r="E285" s="73" t="str">
        <f>IFERROR(VLOOKUP(C285,[10]Sheet2!$C$1:$F$1223,4,0),"")</f>
        <v/>
      </c>
      <c r="F285" s="75"/>
      <c r="G285" s="72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8"/>
      <c r="W285" s="44"/>
      <c r="X285" s="77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8"/>
    </row>
    <row r="286" spans="1:35">
      <c r="A286" s="44"/>
      <c r="B286" s="71" t="str">
        <f>IFERROR(VLOOKUP(C286,[10]Sheet2!$C$3:$F$1223,2,0),"")</f>
        <v/>
      </c>
      <c r="C286" s="75"/>
      <c r="D286" s="73" t="str">
        <f>IFERROR(VLOOKUP(C286,[10]Sheet2!$C$1:$F$1223,3,0),"")</f>
        <v/>
      </c>
      <c r="E286" s="73" t="str">
        <f>IFERROR(VLOOKUP(C286,[10]Sheet2!$C$1:$F$1223,4,0),"")</f>
        <v/>
      </c>
      <c r="F286" s="75"/>
      <c r="G286" s="72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8"/>
      <c r="W286" s="44"/>
      <c r="X286" s="77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8"/>
    </row>
    <row r="287" spans="1:35">
      <c r="A287" s="44"/>
      <c r="B287" s="71" t="str">
        <f>IFERROR(VLOOKUP(C287,[10]Sheet2!$C$3:$F$1223,2,0),"")</f>
        <v/>
      </c>
      <c r="C287" s="75"/>
      <c r="D287" s="73" t="str">
        <f>IFERROR(VLOOKUP(C287,[10]Sheet2!$C$1:$F$1223,3,0),"")</f>
        <v/>
      </c>
      <c r="E287" s="73" t="str">
        <f>IFERROR(VLOOKUP(C287,[10]Sheet2!$C$1:$F$1223,4,0),"")</f>
        <v/>
      </c>
      <c r="F287" s="75"/>
      <c r="G287" s="72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8"/>
      <c r="W287" s="44"/>
      <c r="X287" s="77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8"/>
    </row>
    <row r="288" spans="1:35">
      <c r="A288" s="44"/>
      <c r="B288" s="71" t="str">
        <f>IFERROR(VLOOKUP(C288,[10]Sheet2!$C$3:$F$1223,2,0),"")</f>
        <v/>
      </c>
      <c r="C288" s="75"/>
      <c r="D288" s="73" t="str">
        <f>IFERROR(VLOOKUP(C288,[10]Sheet2!$C$1:$F$1223,3,0),"")</f>
        <v/>
      </c>
      <c r="E288" s="73" t="str">
        <f>IFERROR(VLOOKUP(C288,[10]Sheet2!$C$1:$F$1223,4,0),"")</f>
        <v/>
      </c>
      <c r="F288" s="75"/>
      <c r="G288" s="72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8"/>
      <c r="W288" s="44"/>
      <c r="X288" s="77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8"/>
    </row>
    <row r="289" spans="1:35">
      <c r="A289" s="44"/>
      <c r="B289" s="71" t="str">
        <f>IFERROR(VLOOKUP(C289,[10]Sheet2!$C$3:$F$1223,2,0),"")</f>
        <v/>
      </c>
      <c r="C289" s="75"/>
      <c r="D289" s="73" t="str">
        <f>IFERROR(VLOOKUP(C289,[10]Sheet2!$C$1:$F$1223,3,0),"")</f>
        <v/>
      </c>
      <c r="E289" s="73" t="str">
        <f>IFERROR(VLOOKUP(C289,[10]Sheet2!$C$1:$F$1223,4,0),"")</f>
        <v/>
      </c>
      <c r="F289" s="75"/>
      <c r="G289" s="72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8"/>
      <c r="W289" s="44"/>
      <c r="X289" s="77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8"/>
    </row>
    <row r="290" spans="1:35">
      <c r="A290" s="44"/>
      <c r="B290" s="71" t="str">
        <f>IFERROR(VLOOKUP(C290,[10]Sheet2!$C$3:$F$1223,2,0),"")</f>
        <v/>
      </c>
      <c r="C290" s="75"/>
      <c r="D290" s="73" t="str">
        <f>IFERROR(VLOOKUP(C290,[10]Sheet2!$C$1:$F$1223,3,0),"")</f>
        <v/>
      </c>
      <c r="E290" s="73" t="str">
        <f>IFERROR(VLOOKUP(C290,[10]Sheet2!$C$1:$F$1223,4,0),"")</f>
        <v/>
      </c>
      <c r="F290" s="75"/>
      <c r="G290" s="72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8"/>
      <c r="W290" s="44"/>
      <c r="X290" s="77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8"/>
    </row>
    <row r="291" spans="1:35">
      <c r="A291" s="44"/>
      <c r="B291" s="71" t="str">
        <f>IFERROR(VLOOKUP(C291,[10]Sheet2!$C$3:$F$1223,2,0),"")</f>
        <v/>
      </c>
      <c r="C291" s="75"/>
      <c r="D291" s="73" t="str">
        <f>IFERROR(VLOOKUP(C291,[10]Sheet2!$C$1:$F$1223,3,0),"")</f>
        <v/>
      </c>
      <c r="E291" s="73" t="str">
        <f>IFERROR(VLOOKUP(C291,[10]Sheet2!$C$1:$F$1223,4,0),"")</f>
        <v/>
      </c>
      <c r="F291" s="75"/>
      <c r="G291" s="72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8"/>
      <c r="W291" s="44"/>
      <c r="X291" s="77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8"/>
    </row>
    <row r="292" spans="1:35">
      <c r="A292" s="44"/>
      <c r="B292" s="71" t="str">
        <f>IFERROR(VLOOKUP(C292,[10]Sheet2!$C$3:$F$1223,2,0),"")</f>
        <v/>
      </c>
      <c r="C292" s="75"/>
      <c r="D292" s="73" t="str">
        <f>IFERROR(VLOOKUP(C292,[10]Sheet2!$C$1:$F$1223,3,0),"")</f>
        <v/>
      </c>
      <c r="E292" s="73" t="str">
        <f>IFERROR(VLOOKUP(C292,[10]Sheet2!$C$1:$F$1223,4,0),"")</f>
        <v/>
      </c>
      <c r="F292" s="75"/>
      <c r="G292" s="72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8"/>
      <c r="W292" s="44"/>
      <c r="X292" s="77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8"/>
    </row>
    <row r="293" spans="1:35">
      <c r="A293" s="44"/>
      <c r="B293" s="71" t="str">
        <f>IFERROR(VLOOKUP(C293,[10]Sheet2!$C$3:$F$1223,2,0),"")</f>
        <v/>
      </c>
      <c r="C293" s="75"/>
      <c r="D293" s="73" t="str">
        <f>IFERROR(VLOOKUP(C293,[10]Sheet2!$C$1:$F$1223,3,0),"")</f>
        <v/>
      </c>
      <c r="E293" s="73" t="str">
        <f>IFERROR(VLOOKUP(C293,[10]Sheet2!$C$1:$F$1223,4,0),"")</f>
        <v/>
      </c>
      <c r="F293" s="75"/>
      <c r="G293" s="72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8"/>
      <c r="W293" s="44"/>
      <c r="X293" s="77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8"/>
    </row>
    <row r="294" spans="1:35">
      <c r="A294" s="44"/>
      <c r="B294" s="71" t="str">
        <f>IFERROR(VLOOKUP(C294,[10]Sheet2!$C$3:$F$1223,2,0),"")</f>
        <v/>
      </c>
      <c r="C294" s="75"/>
      <c r="D294" s="73" t="str">
        <f>IFERROR(VLOOKUP(C294,[10]Sheet2!$C$1:$F$1223,3,0),"")</f>
        <v/>
      </c>
      <c r="E294" s="73" t="str">
        <f>IFERROR(VLOOKUP(C294,[10]Sheet2!$C$1:$F$1223,4,0),"")</f>
        <v/>
      </c>
      <c r="F294" s="75"/>
      <c r="G294" s="72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8"/>
      <c r="W294" s="44"/>
      <c r="X294" s="77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8"/>
    </row>
    <row r="295" spans="1:35">
      <c r="A295" s="44"/>
      <c r="B295" s="71" t="str">
        <f>IFERROR(VLOOKUP(C295,[10]Sheet2!$C$3:$F$1223,2,0),"")</f>
        <v/>
      </c>
      <c r="C295" s="75"/>
      <c r="D295" s="73" t="str">
        <f>IFERROR(VLOOKUP(C295,[10]Sheet2!$C$1:$F$1223,3,0),"")</f>
        <v/>
      </c>
      <c r="E295" s="73" t="str">
        <f>IFERROR(VLOOKUP(C295,[10]Sheet2!$C$1:$F$1223,4,0),"")</f>
        <v/>
      </c>
      <c r="F295" s="75"/>
      <c r="G295" s="72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8"/>
      <c r="W295" s="44"/>
      <c r="X295" s="77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8"/>
    </row>
    <row r="296" spans="1:35">
      <c r="A296" s="44"/>
      <c r="B296" s="71" t="str">
        <f>IFERROR(VLOOKUP(C296,[10]Sheet2!$C$3:$F$1223,2,0),"")</f>
        <v/>
      </c>
      <c r="C296" s="75"/>
      <c r="D296" s="73" t="str">
        <f>IFERROR(VLOOKUP(C296,[10]Sheet2!$C$1:$F$1223,3,0),"")</f>
        <v/>
      </c>
      <c r="E296" s="73" t="str">
        <f>IFERROR(VLOOKUP(C296,[10]Sheet2!$C$1:$F$1223,4,0),"")</f>
        <v/>
      </c>
      <c r="F296" s="75"/>
      <c r="G296" s="72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8"/>
      <c r="W296" s="44"/>
      <c r="X296" s="77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8"/>
    </row>
    <row r="297" spans="1:35">
      <c r="A297" s="44"/>
      <c r="B297" s="71" t="str">
        <f>IFERROR(VLOOKUP(C297,[10]Sheet2!$C$3:$F$1223,2,0),"")</f>
        <v/>
      </c>
      <c r="C297" s="75"/>
      <c r="D297" s="73" t="str">
        <f>IFERROR(VLOOKUP(C297,[10]Sheet2!$C$1:$F$1223,3,0),"")</f>
        <v/>
      </c>
      <c r="E297" s="73" t="str">
        <f>IFERROR(VLOOKUP(C297,[10]Sheet2!$C$1:$F$1223,4,0),"")</f>
        <v/>
      </c>
      <c r="F297" s="75"/>
      <c r="G297" s="72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8"/>
      <c r="W297" s="44"/>
      <c r="X297" s="77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8"/>
    </row>
    <row r="298" spans="1:35">
      <c r="A298" s="44"/>
      <c r="B298" s="71" t="str">
        <f>IFERROR(VLOOKUP(C298,[10]Sheet2!$C$3:$F$1223,2,0),"")</f>
        <v/>
      </c>
      <c r="C298" s="75"/>
      <c r="D298" s="73" t="str">
        <f>IFERROR(VLOOKUP(C298,[10]Sheet2!$C$1:$F$1223,3,0),"")</f>
        <v/>
      </c>
      <c r="E298" s="73" t="str">
        <f>IFERROR(VLOOKUP(C298,[10]Sheet2!$C$1:$F$1223,4,0),"")</f>
        <v/>
      </c>
      <c r="F298" s="75"/>
      <c r="G298" s="72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8"/>
      <c r="W298" s="44"/>
      <c r="X298" s="77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8"/>
    </row>
    <row r="299" spans="1:35">
      <c r="A299" s="44"/>
      <c r="B299" s="71" t="str">
        <f>IFERROR(VLOOKUP(C299,[10]Sheet2!$C$3:$F$1223,2,0),"")</f>
        <v/>
      </c>
      <c r="C299" s="75"/>
      <c r="D299" s="73" t="str">
        <f>IFERROR(VLOOKUP(C299,[10]Sheet2!$C$1:$F$1223,3,0),"")</f>
        <v/>
      </c>
      <c r="E299" s="73" t="str">
        <f>IFERROR(VLOOKUP(C299,[10]Sheet2!$C$1:$F$1223,4,0),"")</f>
        <v/>
      </c>
      <c r="F299" s="75"/>
      <c r="G299" s="72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8"/>
      <c r="W299" s="44"/>
      <c r="X299" s="77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8"/>
    </row>
    <row r="300" spans="1:35">
      <c r="A300" s="44"/>
      <c r="B300" s="71" t="str">
        <f>IFERROR(VLOOKUP(C300,[10]Sheet2!$C$3:$F$1223,2,0),"")</f>
        <v/>
      </c>
      <c r="C300" s="75"/>
      <c r="D300" s="73" t="str">
        <f>IFERROR(VLOOKUP(C300,[10]Sheet2!$C$1:$F$1223,3,0),"")</f>
        <v/>
      </c>
      <c r="E300" s="73" t="str">
        <f>IFERROR(VLOOKUP(C300,[10]Sheet2!$C$1:$F$1223,4,0),"")</f>
        <v/>
      </c>
      <c r="F300" s="75"/>
      <c r="G300" s="72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8"/>
      <c r="W300" s="44"/>
      <c r="X300" s="77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8"/>
    </row>
    <row r="301" spans="1:35">
      <c r="A301" s="44"/>
      <c r="B301" s="71" t="str">
        <f>IFERROR(VLOOKUP(C301,[10]Sheet2!$C$3:$F$1223,2,0),"")</f>
        <v/>
      </c>
      <c r="C301" s="75"/>
      <c r="D301" s="73" t="str">
        <f>IFERROR(VLOOKUP(C301,[10]Sheet2!$C$1:$F$1223,3,0),"")</f>
        <v/>
      </c>
      <c r="E301" s="73" t="str">
        <f>IFERROR(VLOOKUP(C301,[10]Sheet2!$C$1:$F$1223,4,0),"")</f>
        <v/>
      </c>
      <c r="F301" s="75"/>
      <c r="G301" s="72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8"/>
      <c r="W301" s="44"/>
      <c r="X301" s="77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8"/>
    </row>
    <row r="302" spans="1:35">
      <c r="A302" s="44"/>
      <c r="B302" s="71" t="str">
        <f>IFERROR(VLOOKUP(C302,[10]Sheet2!$C$3:$F$1223,2,0),"")</f>
        <v/>
      </c>
      <c r="C302" s="75"/>
      <c r="D302" s="73" t="str">
        <f>IFERROR(VLOOKUP(C302,[10]Sheet2!$C$1:$F$1223,3,0),"")</f>
        <v/>
      </c>
      <c r="E302" s="73" t="str">
        <f>IFERROR(VLOOKUP(C302,[10]Sheet2!$C$1:$F$1223,4,0),"")</f>
        <v/>
      </c>
      <c r="F302" s="75"/>
      <c r="G302" s="72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8"/>
      <c r="W302" s="44"/>
      <c r="X302" s="77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8"/>
    </row>
    <row r="303" spans="1:35">
      <c r="A303" s="44"/>
      <c r="B303" s="71" t="str">
        <f>IFERROR(VLOOKUP(C303,[10]Sheet2!$C$3:$F$1223,2,0),"")</f>
        <v/>
      </c>
      <c r="C303" s="75"/>
      <c r="D303" s="73" t="str">
        <f>IFERROR(VLOOKUP(C303,[10]Sheet2!$C$1:$F$1223,3,0),"")</f>
        <v/>
      </c>
      <c r="E303" s="73" t="str">
        <f>IFERROR(VLOOKUP(C303,[10]Sheet2!$C$1:$F$1223,4,0),"")</f>
        <v/>
      </c>
      <c r="F303" s="75"/>
      <c r="G303" s="72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8"/>
      <c r="W303" s="44"/>
      <c r="X303" s="77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8"/>
    </row>
    <row r="304" spans="1:35">
      <c r="A304" s="44"/>
      <c r="B304" s="71" t="str">
        <f>IFERROR(VLOOKUP(C304,[10]Sheet2!$C$3:$F$1223,2,0),"")</f>
        <v/>
      </c>
      <c r="C304" s="75"/>
      <c r="D304" s="73" t="str">
        <f>IFERROR(VLOOKUP(C304,[10]Sheet2!$C$1:$F$1223,3,0),"")</f>
        <v/>
      </c>
      <c r="E304" s="73" t="str">
        <f>IFERROR(VLOOKUP(C304,[10]Sheet2!$C$1:$F$1223,4,0),"")</f>
        <v/>
      </c>
      <c r="F304" s="75"/>
      <c r="G304" s="72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8"/>
      <c r="W304" s="44"/>
      <c r="X304" s="77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8"/>
    </row>
    <row r="305" spans="1:35">
      <c r="A305" s="44"/>
      <c r="B305" s="71" t="str">
        <f>IFERROR(VLOOKUP(C305,[10]Sheet2!$C$3:$F$1223,2,0),"")</f>
        <v/>
      </c>
      <c r="C305" s="75"/>
      <c r="D305" s="73" t="str">
        <f>IFERROR(VLOOKUP(C305,[10]Sheet2!$C$1:$F$1223,3,0),"")</f>
        <v/>
      </c>
      <c r="E305" s="73" t="str">
        <f>IFERROR(VLOOKUP(C305,[10]Sheet2!$C$1:$F$1223,4,0),"")</f>
        <v/>
      </c>
      <c r="F305" s="75"/>
      <c r="G305" s="72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8"/>
      <c r="W305" s="44"/>
      <c r="X305" s="77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8"/>
    </row>
    <row r="306" spans="1:35">
      <c r="A306" s="44"/>
      <c r="B306" s="71" t="str">
        <f>IFERROR(VLOOKUP(C306,[10]Sheet2!$C$3:$F$1223,2,0),"")</f>
        <v/>
      </c>
      <c r="C306" s="75"/>
      <c r="D306" s="73" t="str">
        <f>IFERROR(VLOOKUP(C306,[10]Sheet2!$C$1:$F$1223,3,0),"")</f>
        <v/>
      </c>
      <c r="E306" s="73" t="str">
        <f>IFERROR(VLOOKUP(C306,[10]Sheet2!$C$1:$F$1223,4,0),"")</f>
        <v/>
      </c>
      <c r="F306" s="75"/>
      <c r="G306" s="72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8"/>
      <c r="W306" s="44"/>
      <c r="X306" s="77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8"/>
    </row>
    <row r="307" spans="1:35">
      <c r="A307" s="44"/>
      <c r="B307" s="71" t="str">
        <f>IFERROR(VLOOKUP(C307,[10]Sheet2!$C$3:$F$1223,2,0),"")</f>
        <v/>
      </c>
      <c r="C307" s="75"/>
      <c r="D307" s="73" t="str">
        <f>IFERROR(VLOOKUP(C307,[10]Sheet2!$C$1:$F$1223,3,0),"")</f>
        <v/>
      </c>
      <c r="E307" s="73" t="str">
        <f>IFERROR(VLOOKUP(C307,[10]Sheet2!$C$1:$F$1223,4,0),"")</f>
        <v/>
      </c>
      <c r="F307" s="75"/>
      <c r="G307" s="72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8"/>
      <c r="W307" s="44"/>
      <c r="X307" s="77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8"/>
    </row>
    <row r="308" spans="1:35">
      <c r="A308" s="44"/>
      <c r="B308" s="71" t="str">
        <f>IFERROR(VLOOKUP(C308,[10]Sheet2!$C$3:$F$1223,2,0),"")</f>
        <v/>
      </c>
      <c r="C308" s="75"/>
      <c r="D308" s="73" t="str">
        <f>IFERROR(VLOOKUP(C308,[10]Sheet2!$C$1:$F$1223,3,0),"")</f>
        <v/>
      </c>
      <c r="E308" s="73" t="str">
        <f>IFERROR(VLOOKUP(C308,[10]Sheet2!$C$1:$F$1223,4,0),"")</f>
        <v/>
      </c>
      <c r="F308" s="75"/>
      <c r="G308" s="72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8"/>
      <c r="W308" s="44"/>
      <c r="X308" s="77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8"/>
    </row>
    <row r="309" spans="1:35">
      <c r="A309" s="44"/>
      <c r="B309" s="71" t="str">
        <f>IFERROR(VLOOKUP(C309,[10]Sheet2!$C$3:$F$1223,2,0),"")</f>
        <v/>
      </c>
      <c r="C309" s="75"/>
      <c r="D309" s="73" t="str">
        <f>IFERROR(VLOOKUP(C309,[10]Sheet2!$C$1:$F$1223,3,0),"")</f>
        <v/>
      </c>
      <c r="E309" s="73" t="str">
        <f>IFERROR(VLOOKUP(C309,[10]Sheet2!$C$1:$F$1223,4,0),"")</f>
        <v/>
      </c>
      <c r="F309" s="75"/>
      <c r="G309" s="72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8"/>
      <c r="W309" s="44"/>
      <c r="X309" s="77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8"/>
    </row>
    <row r="310" spans="1:35">
      <c r="A310" s="44"/>
      <c r="B310" s="71" t="str">
        <f>IFERROR(VLOOKUP(C310,[10]Sheet2!$C$3:$F$1223,2,0),"")</f>
        <v/>
      </c>
      <c r="C310" s="75"/>
      <c r="D310" s="73" t="str">
        <f>IFERROR(VLOOKUP(C310,[10]Sheet2!$C$1:$F$1223,3,0),"")</f>
        <v/>
      </c>
      <c r="E310" s="73" t="str">
        <f>IFERROR(VLOOKUP(C310,[10]Sheet2!$C$1:$F$1223,4,0),"")</f>
        <v/>
      </c>
      <c r="F310" s="75"/>
      <c r="G310" s="72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8"/>
      <c r="W310" s="44"/>
      <c r="X310" s="77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8"/>
    </row>
    <row r="311" spans="1:35">
      <c r="A311" s="44"/>
      <c r="B311" s="71" t="str">
        <f>IFERROR(VLOOKUP(C311,[10]Sheet2!$C$3:$F$1223,2,0),"")</f>
        <v/>
      </c>
      <c r="C311" s="75"/>
      <c r="D311" s="73" t="str">
        <f>IFERROR(VLOOKUP(C311,[10]Sheet2!$C$1:$F$1223,3,0),"")</f>
        <v/>
      </c>
      <c r="E311" s="73" t="str">
        <f>IFERROR(VLOOKUP(C311,[10]Sheet2!$C$1:$F$1223,4,0),"")</f>
        <v/>
      </c>
      <c r="F311" s="75"/>
      <c r="G311" s="72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8"/>
      <c r="W311" s="44"/>
      <c r="X311" s="77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8"/>
    </row>
    <row r="312" spans="1:35">
      <c r="A312" s="44"/>
      <c r="B312" s="71" t="str">
        <f>IFERROR(VLOOKUP(C312,[10]Sheet2!$C$3:$F$1223,2,0),"")</f>
        <v/>
      </c>
      <c r="C312" s="75"/>
      <c r="D312" s="73" t="str">
        <f>IFERROR(VLOOKUP(C312,[10]Sheet2!$C$1:$F$1223,3,0),"")</f>
        <v/>
      </c>
      <c r="E312" s="73" t="str">
        <f>IFERROR(VLOOKUP(C312,[10]Sheet2!$C$1:$F$1223,4,0),"")</f>
        <v/>
      </c>
      <c r="F312" s="75"/>
      <c r="G312" s="72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8"/>
      <c r="W312" s="44"/>
      <c r="X312" s="77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8"/>
    </row>
    <row r="313" spans="1:35">
      <c r="A313" s="44"/>
      <c r="B313" s="71" t="str">
        <f>IFERROR(VLOOKUP(C313,[10]Sheet2!$C$3:$F$1223,2,0),"")</f>
        <v/>
      </c>
      <c r="C313" s="75"/>
      <c r="D313" s="73" t="str">
        <f>IFERROR(VLOOKUP(C313,[10]Sheet2!$C$1:$F$1223,3,0),"")</f>
        <v/>
      </c>
      <c r="E313" s="73" t="str">
        <f>IFERROR(VLOOKUP(C313,[10]Sheet2!$C$1:$F$1223,4,0),"")</f>
        <v/>
      </c>
      <c r="F313" s="75"/>
      <c r="G313" s="72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8"/>
      <c r="W313" s="44"/>
      <c r="X313" s="77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8"/>
    </row>
    <row r="314" spans="1:35">
      <c r="A314" s="44"/>
      <c r="B314" s="71" t="str">
        <f>IFERROR(VLOOKUP(C314,[10]Sheet2!$C$3:$F$1223,2,0),"")</f>
        <v/>
      </c>
      <c r="C314" s="75"/>
      <c r="D314" s="73" t="str">
        <f>IFERROR(VLOOKUP(C314,[10]Sheet2!$C$1:$F$1223,3,0),"")</f>
        <v/>
      </c>
      <c r="E314" s="73" t="str">
        <f>IFERROR(VLOOKUP(C314,[10]Sheet2!$C$1:$F$1223,4,0),"")</f>
        <v/>
      </c>
      <c r="F314" s="75"/>
      <c r="G314" s="72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8"/>
      <c r="W314" s="44"/>
      <c r="X314" s="77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8"/>
    </row>
    <row r="315" spans="1:35">
      <c r="A315" s="44"/>
      <c r="B315" s="71" t="str">
        <f>IFERROR(VLOOKUP(C315,[10]Sheet2!$C$3:$F$1223,2,0),"")</f>
        <v/>
      </c>
      <c r="C315" s="75"/>
      <c r="D315" s="73" t="str">
        <f>IFERROR(VLOOKUP(C315,[10]Sheet2!$C$1:$F$1223,3,0),"")</f>
        <v/>
      </c>
      <c r="E315" s="73" t="str">
        <f>IFERROR(VLOOKUP(C315,[10]Sheet2!$C$1:$F$1223,4,0),"")</f>
        <v/>
      </c>
      <c r="F315" s="75"/>
      <c r="G315" s="72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8"/>
      <c r="W315" s="44"/>
      <c r="X315" s="77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8"/>
    </row>
    <row r="316" spans="1:35">
      <c r="A316" s="44"/>
      <c r="B316" s="71" t="str">
        <f>IFERROR(VLOOKUP(C316,[10]Sheet2!$C$3:$F$1223,2,0),"")</f>
        <v/>
      </c>
      <c r="C316" s="75"/>
      <c r="D316" s="73" t="str">
        <f>IFERROR(VLOOKUP(C316,[10]Sheet2!$C$1:$F$1223,3,0),"")</f>
        <v/>
      </c>
      <c r="E316" s="73" t="str">
        <f>IFERROR(VLOOKUP(C316,[10]Sheet2!$C$1:$F$1223,4,0),"")</f>
        <v/>
      </c>
      <c r="F316" s="75"/>
      <c r="G316" s="72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8"/>
      <c r="W316" s="44"/>
      <c r="X316" s="77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8"/>
    </row>
    <row r="317" spans="1:35">
      <c r="A317" s="44"/>
      <c r="B317" s="71" t="str">
        <f>IFERROR(VLOOKUP(C317,[10]Sheet2!$C$3:$F$1223,2,0),"")</f>
        <v/>
      </c>
      <c r="C317" s="75"/>
      <c r="D317" s="73" t="str">
        <f>IFERROR(VLOOKUP(C317,[10]Sheet2!$C$1:$F$1223,3,0),"")</f>
        <v/>
      </c>
      <c r="E317" s="73" t="str">
        <f>IFERROR(VLOOKUP(C317,[10]Sheet2!$C$1:$F$1223,4,0),"")</f>
        <v/>
      </c>
      <c r="F317" s="75"/>
      <c r="G317" s="72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8"/>
      <c r="W317" s="44"/>
      <c r="X317" s="77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8"/>
    </row>
    <row r="318" spans="1:35">
      <c r="A318" s="44"/>
      <c r="B318" s="71" t="str">
        <f>IFERROR(VLOOKUP(C318,[10]Sheet2!$C$3:$F$1223,2,0),"")</f>
        <v/>
      </c>
      <c r="C318" s="75"/>
      <c r="D318" s="73" t="str">
        <f>IFERROR(VLOOKUP(C318,[10]Sheet2!$C$1:$F$1223,3,0),"")</f>
        <v/>
      </c>
      <c r="E318" s="73" t="str">
        <f>IFERROR(VLOOKUP(C318,[10]Sheet2!$C$1:$F$1223,4,0),"")</f>
        <v/>
      </c>
      <c r="F318" s="75"/>
      <c r="G318" s="72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8"/>
      <c r="W318" s="44"/>
      <c r="X318" s="77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8"/>
    </row>
    <row r="319" spans="1:35">
      <c r="A319" s="44"/>
      <c r="B319" s="71" t="str">
        <f>IFERROR(VLOOKUP(C319,[10]Sheet2!$C$3:$F$1223,2,0),"")</f>
        <v/>
      </c>
      <c r="C319" s="75"/>
      <c r="D319" s="73" t="str">
        <f>IFERROR(VLOOKUP(C319,[10]Sheet2!$C$1:$F$1223,3,0),"")</f>
        <v/>
      </c>
      <c r="E319" s="73" t="str">
        <f>IFERROR(VLOOKUP(C319,[10]Sheet2!$C$1:$F$1223,4,0),"")</f>
        <v/>
      </c>
      <c r="F319" s="75"/>
      <c r="G319" s="72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8"/>
      <c r="W319" s="44"/>
      <c r="X319" s="77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8"/>
    </row>
    <row r="320" spans="1:35">
      <c r="A320" s="44"/>
      <c r="B320" s="71" t="str">
        <f>IFERROR(VLOOKUP(C320,[10]Sheet2!$C$3:$F$1223,2,0),"")</f>
        <v/>
      </c>
      <c r="C320" s="75"/>
      <c r="D320" s="73" t="str">
        <f>IFERROR(VLOOKUP(C320,[10]Sheet2!$C$1:$F$1223,3,0),"")</f>
        <v/>
      </c>
      <c r="E320" s="73" t="str">
        <f>IFERROR(VLOOKUP(C320,[10]Sheet2!$C$1:$F$1223,4,0),"")</f>
        <v/>
      </c>
      <c r="F320" s="75"/>
      <c r="G320" s="72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8"/>
      <c r="W320" s="44"/>
      <c r="X320" s="77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8"/>
    </row>
    <row r="321" spans="1:35">
      <c r="A321" s="44"/>
      <c r="B321" s="71" t="str">
        <f>IFERROR(VLOOKUP(C321,[10]Sheet2!$C$3:$F$1223,2,0),"")</f>
        <v/>
      </c>
      <c r="C321" s="75"/>
      <c r="D321" s="73" t="str">
        <f>IFERROR(VLOOKUP(C321,[10]Sheet2!$C$1:$F$1223,3,0),"")</f>
        <v/>
      </c>
      <c r="E321" s="73" t="str">
        <f>IFERROR(VLOOKUP(C321,[10]Sheet2!$C$1:$F$1223,4,0),"")</f>
        <v/>
      </c>
      <c r="F321" s="75"/>
      <c r="G321" s="72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8"/>
      <c r="W321" s="44"/>
      <c r="X321" s="77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8"/>
    </row>
    <row r="322" spans="1:35">
      <c r="A322" s="44"/>
      <c r="B322" s="71" t="str">
        <f>IFERROR(VLOOKUP(C322,[10]Sheet2!$C$3:$F$1223,2,0),"")</f>
        <v/>
      </c>
      <c r="C322" s="75"/>
      <c r="D322" s="73" t="str">
        <f>IFERROR(VLOOKUP(C322,[10]Sheet2!$C$1:$F$1223,3,0),"")</f>
        <v/>
      </c>
      <c r="E322" s="73" t="str">
        <f>IFERROR(VLOOKUP(C322,[10]Sheet2!$C$1:$F$1223,4,0),"")</f>
        <v/>
      </c>
      <c r="F322" s="75"/>
      <c r="G322" s="72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8"/>
      <c r="W322" s="44"/>
      <c r="X322" s="77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8"/>
    </row>
    <row r="323" spans="1:35">
      <c r="A323" s="44"/>
      <c r="B323" s="71" t="str">
        <f>IFERROR(VLOOKUP(C323,[10]Sheet2!$C$3:$F$1223,2,0),"")</f>
        <v/>
      </c>
      <c r="C323" s="75"/>
      <c r="D323" s="73" t="str">
        <f>IFERROR(VLOOKUP(C323,[10]Sheet2!$C$1:$F$1223,3,0),"")</f>
        <v/>
      </c>
      <c r="E323" s="73" t="str">
        <f>IFERROR(VLOOKUP(C323,[10]Sheet2!$C$1:$F$1223,4,0),"")</f>
        <v/>
      </c>
      <c r="F323" s="75"/>
      <c r="G323" s="72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8"/>
      <c r="W323" s="44"/>
      <c r="X323" s="77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8"/>
    </row>
    <row r="324" spans="1:35">
      <c r="A324" s="44"/>
      <c r="B324" s="71" t="str">
        <f>IFERROR(VLOOKUP(C324,[10]Sheet2!$C$3:$F$1223,2,0),"")</f>
        <v/>
      </c>
      <c r="C324" s="75"/>
      <c r="D324" s="73" t="str">
        <f>IFERROR(VLOOKUP(C324,[10]Sheet2!$C$1:$F$1223,3,0),"")</f>
        <v/>
      </c>
      <c r="E324" s="73" t="str">
        <f>IFERROR(VLOOKUP(C324,[10]Sheet2!$C$1:$F$1223,4,0),"")</f>
        <v/>
      </c>
      <c r="F324" s="75"/>
      <c r="G324" s="72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8"/>
      <c r="W324" s="44"/>
      <c r="X324" s="77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8"/>
    </row>
    <row r="325" spans="1:35">
      <c r="A325" s="44"/>
      <c r="B325" s="71" t="str">
        <f>IFERROR(VLOOKUP(C325,[10]Sheet2!$C$3:$F$1223,2,0),"")</f>
        <v/>
      </c>
      <c r="C325" s="75"/>
      <c r="D325" s="73" t="str">
        <f>IFERROR(VLOOKUP(C325,[10]Sheet2!$C$1:$F$1223,3,0),"")</f>
        <v/>
      </c>
      <c r="E325" s="73" t="str">
        <f>IFERROR(VLOOKUP(C325,[10]Sheet2!$C$1:$F$1223,4,0),"")</f>
        <v/>
      </c>
      <c r="F325" s="75"/>
      <c r="G325" s="72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8"/>
      <c r="W325" s="44"/>
      <c r="X325" s="77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8"/>
    </row>
    <row r="326" spans="1:35">
      <c r="A326" s="44"/>
      <c r="B326" s="71" t="str">
        <f>IFERROR(VLOOKUP(C326,[10]Sheet2!$C$3:$F$1223,2,0),"")</f>
        <v/>
      </c>
      <c r="C326" s="75"/>
      <c r="D326" s="73" t="str">
        <f>IFERROR(VLOOKUP(C326,[10]Sheet2!$C$1:$F$1223,3,0),"")</f>
        <v/>
      </c>
      <c r="E326" s="73" t="str">
        <f>IFERROR(VLOOKUP(C326,[10]Sheet2!$C$1:$F$1223,4,0),"")</f>
        <v/>
      </c>
      <c r="F326" s="75"/>
      <c r="G326" s="72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8"/>
      <c r="W326" s="44"/>
      <c r="X326" s="77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8"/>
    </row>
    <row r="327" spans="1:35">
      <c r="A327" s="44"/>
      <c r="B327" s="71" t="str">
        <f>IFERROR(VLOOKUP(C327,[10]Sheet2!$C$3:$F$1223,2,0),"")</f>
        <v/>
      </c>
      <c r="C327" s="75"/>
      <c r="D327" s="73" t="str">
        <f>IFERROR(VLOOKUP(C327,[10]Sheet2!$C$1:$F$1223,3,0),"")</f>
        <v/>
      </c>
      <c r="E327" s="73" t="str">
        <f>IFERROR(VLOOKUP(C327,[10]Sheet2!$C$1:$F$1223,4,0),"")</f>
        <v/>
      </c>
      <c r="F327" s="75"/>
      <c r="G327" s="72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8"/>
      <c r="W327" s="44"/>
      <c r="X327" s="77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8"/>
    </row>
    <row r="328" spans="1:35">
      <c r="A328" s="44"/>
      <c r="B328" s="71" t="str">
        <f>IFERROR(VLOOKUP(C328,[10]Sheet2!$C$3:$F$1223,2,0),"")</f>
        <v/>
      </c>
      <c r="C328" s="75"/>
      <c r="D328" s="73" t="str">
        <f>IFERROR(VLOOKUP(C328,[10]Sheet2!$C$1:$F$1223,3,0),"")</f>
        <v/>
      </c>
      <c r="E328" s="73" t="str">
        <f>IFERROR(VLOOKUP(C328,[10]Sheet2!$C$1:$F$1223,4,0),"")</f>
        <v/>
      </c>
      <c r="F328" s="75"/>
      <c r="G328" s="72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8"/>
      <c r="W328" s="44"/>
      <c r="X328" s="77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8"/>
    </row>
    <row r="329" spans="1:35">
      <c r="A329" s="44"/>
      <c r="B329" s="71" t="str">
        <f>IFERROR(VLOOKUP(C329,[10]Sheet2!$C$3:$F$1223,2,0),"")</f>
        <v/>
      </c>
      <c r="C329" s="75"/>
      <c r="D329" s="73" t="str">
        <f>IFERROR(VLOOKUP(C329,[10]Sheet2!$C$1:$F$1223,3,0),"")</f>
        <v/>
      </c>
      <c r="E329" s="73" t="str">
        <f>IFERROR(VLOOKUP(C329,[10]Sheet2!$C$1:$F$1223,4,0),"")</f>
        <v/>
      </c>
      <c r="F329" s="75"/>
      <c r="G329" s="72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8"/>
      <c r="W329" s="44"/>
      <c r="X329" s="77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8"/>
    </row>
    <row r="330" spans="1:35">
      <c r="A330" s="44"/>
      <c r="B330" s="71" t="str">
        <f>IFERROR(VLOOKUP(C330,[10]Sheet2!$C$3:$F$1223,2,0),"")</f>
        <v/>
      </c>
      <c r="C330" s="75"/>
      <c r="D330" s="73" t="str">
        <f>IFERROR(VLOOKUP(C330,[10]Sheet2!$C$1:$F$1223,3,0),"")</f>
        <v/>
      </c>
      <c r="E330" s="73" t="str">
        <f>IFERROR(VLOOKUP(C330,[10]Sheet2!$C$1:$F$1223,4,0),"")</f>
        <v/>
      </c>
      <c r="F330" s="75"/>
      <c r="G330" s="72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8"/>
      <c r="W330" s="44"/>
      <c r="X330" s="77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8"/>
    </row>
    <row r="331" spans="1:35">
      <c r="A331" s="44"/>
      <c r="B331" s="71" t="str">
        <f>IFERROR(VLOOKUP(C331,[10]Sheet2!$C$3:$F$1223,2,0),"")</f>
        <v/>
      </c>
      <c r="C331" s="75"/>
      <c r="D331" s="73" t="str">
        <f>IFERROR(VLOOKUP(C331,[10]Sheet2!$C$1:$F$1223,3,0),"")</f>
        <v/>
      </c>
      <c r="E331" s="73" t="str">
        <f>IFERROR(VLOOKUP(C331,[10]Sheet2!$C$1:$F$1223,4,0),"")</f>
        <v/>
      </c>
      <c r="F331" s="75"/>
      <c r="G331" s="72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8"/>
      <c r="W331" s="44"/>
      <c r="X331" s="77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8"/>
    </row>
    <row r="332" spans="1:35">
      <c r="A332" s="44"/>
      <c r="B332" s="71" t="str">
        <f>IFERROR(VLOOKUP(C332,[10]Sheet2!$C$3:$F$1223,2,0),"")</f>
        <v/>
      </c>
      <c r="C332" s="75"/>
      <c r="D332" s="73" t="str">
        <f>IFERROR(VLOOKUP(C332,[10]Sheet2!$C$1:$F$1223,3,0),"")</f>
        <v/>
      </c>
      <c r="E332" s="73" t="str">
        <f>IFERROR(VLOOKUP(C332,[10]Sheet2!$C$1:$F$1223,4,0),"")</f>
        <v/>
      </c>
      <c r="F332" s="75"/>
      <c r="G332" s="72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8"/>
      <c r="W332" s="44"/>
      <c r="X332" s="77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8"/>
    </row>
    <row r="333" spans="1:35">
      <c r="A333" s="44"/>
      <c r="B333" s="71" t="str">
        <f>IFERROR(VLOOKUP(C333,[10]Sheet2!$C$3:$F$1223,2,0),"")</f>
        <v/>
      </c>
      <c r="C333" s="75"/>
      <c r="D333" s="73" t="str">
        <f>IFERROR(VLOOKUP(C333,[10]Sheet2!$C$1:$F$1223,3,0),"")</f>
        <v/>
      </c>
      <c r="E333" s="73" t="str">
        <f>IFERROR(VLOOKUP(C333,[10]Sheet2!$C$1:$F$1223,4,0),"")</f>
        <v/>
      </c>
      <c r="F333" s="75"/>
      <c r="G333" s="72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8"/>
      <c r="W333" s="44"/>
      <c r="X333" s="77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8"/>
    </row>
    <row r="334" spans="1:35">
      <c r="A334" s="44"/>
      <c r="B334" s="71" t="str">
        <f>IFERROR(VLOOKUP(C334,[10]Sheet2!$C$3:$F$1223,2,0),"")</f>
        <v/>
      </c>
      <c r="C334" s="75"/>
      <c r="D334" s="73" t="str">
        <f>IFERROR(VLOOKUP(C334,[10]Sheet2!$C$1:$F$1223,3,0),"")</f>
        <v/>
      </c>
      <c r="E334" s="73" t="str">
        <f>IFERROR(VLOOKUP(C334,[10]Sheet2!$C$1:$F$1223,4,0),"")</f>
        <v/>
      </c>
      <c r="F334" s="75"/>
      <c r="G334" s="72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8"/>
      <c r="W334" s="44"/>
      <c r="X334" s="77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8"/>
    </row>
    <row r="335" spans="1:35">
      <c r="A335" s="44"/>
      <c r="B335" s="71" t="str">
        <f>IFERROR(VLOOKUP(C335,[10]Sheet2!$C$3:$F$1223,2,0),"")</f>
        <v/>
      </c>
      <c r="C335" s="75"/>
      <c r="D335" s="73" t="str">
        <f>IFERROR(VLOOKUP(C335,[10]Sheet2!$C$1:$F$1223,3,0),"")</f>
        <v/>
      </c>
      <c r="E335" s="73" t="str">
        <f>IFERROR(VLOOKUP(C335,[10]Sheet2!$C$1:$F$1223,4,0),"")</f>
        <v/>
      </c>
      <c r="F335" s="75"/>
      <c r="G335" s="72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8"/>
      <c r="W335" s="44"/>
      <c r="X335" s="77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8"/>
    </row>
    <row r="336" spans="1:35">
      <c r="A336" s="44"/>
      <c r="B336" s="71" t="str">
        <f>IFERROR(VLOOKUP(C336,[10]Sheet2!$C$3:$F$1223,2,0),"")</f>
        <v/>
      </c>
      <c r="C336" s="75"/>
      <c r="D336" s="73" t="str">
        <f>IFERROR(VLOOKUP(C336,[10]Sheet2!$C$1:$F$1223,3,0),"")</f>
        <v/>
      </c>
      <c r="E336" s="73" t="str">
        <f>IFERROR(VLOOKUP(C336,[10]Sheet2!$C$1:$F$1223,4,0),"")</f>
        <v/>
      </c>
      <c r="F336" s="75"/>
      <c r="G336" s="72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8"/>
      <c r="W336" s="44"/>
      <c r="X336" s="77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8"/>
    </row>
    <row r="337" spans="1:35">
      <c r="A337" s="44"/>
      <c r="B337" s="71" t="str">
        <f>IFERROR(VLOOKUP(C337,[10]Sheet2!$C$3:$F$1223,2,0),"")</f>
        <v/>
      </c>
      <c r="C337" s="75"/>
      <c r="D337" s="73" t="str">
        <f>IFERROR(VLOOKUP(C337,[10]Sheet2!$C$1:$F$1223,3,0),"")</f>
        <v/>
      </c>
      <c r="E337" s="73" t="str">
        <f>IFERROR(VLOOKUP(C337,[10]Sheet2!$C$1:$F$1223,4,0),"")</f>
        <v/>
      </c>
      <c r="F337" s="75"/>
      <c r="G337" s="72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8"/>
      <c r="W337" s="44"/>
      <c r="X337" s="77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8"/>
    </row>
    <row r="338" spans="1:35">
      <c r="A338" s="44"/>
      <c r="B338" s="71" t="str">
        <f>IFERROR(VLOOKUP(C338,[10]Sheet2!$C$3:$F$1223,2,0),"")</f>
        <v/>
      </c>
      <c r="C338" s="75"/>
      <c r="D338" s="73" t="str">
        <f>IFERROR(VLOOKUP(C338,[10]Sheet2!$C$1:$F$1223,3,0),"")</f>
        <v/>
      </c>
      <c r="E338" s="73" t="str">
        <f>IFERROR(VLOOKUP(C338,[10]Sheet2!$C$1:$F$1223,4,0),"")</f>
        <v/>
      </c>
      <c r="F338" s="75"/>
      <c r="G338" s="72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8"/>
      <c r="W338" s="44"/>
      <c r="X338" s="77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8"/>
    </row>
    <row r="339" spans="1:35">
      <c r="A339" s="44"/>
      <c r="B339" s="71" t="str">
        <f>IFERROR(VLOOKUP(C339,[10]Sheet2!$C$3:$F$1223,2,0),"")</f>
        <v/>
      </c>
      <c r="C339" s="75"/>
      <c r="D339" s="73" t="str">
        <f>IFERROR(VLOOKUP(C339,[10]Sheet2!$C$1:$F$1223,3,0),"")</f>
        <v/>
      </c>
      <c r="E339" s="73" t="str">
        <f>IFERROR(VLOOKUP(C339,[10]Sheet2!$C$1:$F$1223,4,0),"")</f>
        <v/>
      </c>
      <c r="F339" s="75"/>
      <c r="G339" s="72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8"/>
      <c r="W339" s="44"/>
      <c r="X339" s="77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8"/>
    </row>
    <row r="340" spans="1:35">
      <c r="A340" s="44"/>
      <c r="B340" s="71" t="str">
        <f>IFERROR(VLOOKUP(C340,[10]Sheet2!$C$3:$F$1223,2,0),"")</f>
        <v/>
      </c>
      <c r="C340" s="75"/>
      <c r="D340" s="73" t="str">
        <f>IFERROR(VLOOKUP(C340,[10]Sheet2!$C$1:$F$1223,3,0),"")</f>
        <v/>
      </c>
      <c r="E340" s="73" t="str">
        <f>IFERROR(VLOOKUP(C340,[10]Sheet2!$C$1:$F$1223,4,0),"")</f>
        <v/>
      </c>
      <c r="F340" s="75"/>
      <c r="G340" s="72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8"/>
      <c r="W340" s="44"/>
      <c r="X340" s="77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8"/>
    </row>
    <row r="341" spans="1:35">
      <c r="A341" s="44"/>
      <c r="B341" s="71" t="str">
        <f>IFERROR(VLOOKUP(C341,[10]Sheet2!$C$3:$F$1223,2,0),"")</f>
        <v/>
      </c>
      <c r="C341" s="75"/>
      <c r="D341" s="73" t="str">
        <f>IFERROR(VLOOKUP(C341,[10]Sheet2!$C$1:$F$1223,3,0),"")</f>
        <v/>
      </c>
      <c r="E341" s="73" t="str">
        <f>IFERROR(VLOOKUP(C341,[10]Sheet2!$C$1:$F$1223,4,0),"")</f>
        <v/>
      </c>
      <c r="F341" s="75"/>
      <c r="G341" s="72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8"/>
      <c r="W341" s="44"/>
      <c r="X341" s="77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8"/>
    </row>
    <row r="342" spans="1:35">
      <c r="A342" s="44"/>
      <c r="B342" s="71" t="str">
        <f>IFERROR(VLOOKUP(C342,[10]Sheet2!$C$3:$F$1223,2,0),"")</f>
        <v/>
      </c>
      <c r="C342" s="75"/>
      <c r="D342" s="73" t="str">
        <f>IFERROR(VLOOKUP(C342,[10]Sheet2!$C$1:$F$1223,3,0),"")</f>
        <v/>
      </c>
      <c r="E342" s="73" t="str">
        <f>IFERROR(VLOOKUP(C342,[10]Sheet2!$C$1:$F$1223,4,0),"")</f>
        <v/>
      </c>
      <c r="F342" s="75"/>
      <c r="G342" s="72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8"/>
      <c r="W342" s="44"/>
      <c r="X342" s="77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8"/>
    </row>
    <row r="343" spans="1:35">
      <c r="A343" s="44"/>
      <c r="B343" s="71" t="str">
        <f>IFERROR(VLOOKUP(C343,[10]Sheet2!$C$3:$F$1223,2,0),"")</f>
        <v/>
      </c>
      <c r="C343" s="75"/>
      <c r="D343" s="73" t="str">
        <f>IFERROR(VLOOKUP(C343,[10]Sheet2!$C$1:$F$1223,3,0),"")</f>
        <v/>
      </c>
      <c r="E343" s="73" t="str">
        <f>IFERROR(VLOOKUP(C343,[10]Sheet2!$C$1:$F$1223,4,0),"")</f>
        <v/>
      </c>
      <c r="F343" s="75"/>
      <c r="G343" s="72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8"/>
      <c r="W343" s="44"/>
      <c r="X343" s="77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8"/>
    </row>
    <row r="344" spans="1:35">
      <c r="A344" s="44"/>
      <c r="B344" s="71" t="str">
        <f>IFERROR(VLOOKUP(C344,[10]Sheet2!$C$3:$F$1223,2,0),"")</f>
        <v/>
      </c>
      <c r="C344" s="75"/>
      <c r="D344" s="73" t="str">
        <f>IFERROR(VLOOKUP(C344,[10]Sheet2!$C$1:$F$1223,3,0),"")</f>
        <v/>
      </c>
      <c r="E344" s="73" t="str">
        <f>IFERROR(VLOOKUP(C344,[10]Sheet2!$C$1:$F$1223,4,0),"")</f>
        <v/>
      </c>
      <c r="F344" s="75"/>
      <c r="G344" s="72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8"/>
      <c r="W344" s="44"/>
      <c r="X344" s="77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8"/>
    </row>
    <row r="345" spans="1:35">
      <c r="A345" s="44"/>
      <c r="B345" s="71" t="str">
        <f>IFERROR(VLOOKUP(C345,[10]Sheet2!$C$3:$F$1223,2,0),"")</f>
        <v/>
      </c>
      <c r="C345" s="75"/>
      <c r="D345" s="73" t="str">
        <f>IFERROR(VLOOKUP(C345,[10]Sheet2!$C$1:$F$1223,3,0),"")</f>
        <v/>
      </c>
      <c r="E345" s="73" t="str">
        <f>IFERROR(VLOOKUP(C345,[10]Sheet2!$C$1:$F$1223,4,0),"")</f>
        <v/>
      </c>
      <c r="F345" s="75"/>
      <c r="G345" s="72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8"/>
      <c r="W345" s="44"/>
      <c r="X345" s="77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8"/>
    </row>
    <row r="346" spans="1:35">
      <c r="A346" s="44"/>
      <c r="B346" s="71" t="str">
        <f>IFERROR(VLOOKUP(C346,[10]Sheet2!$C$3:$F$1223,2,0),"")</f>
        <v/>
      </c>
      <c r="C346" s="75"/>
      <c r="D346" s="73" t="str">
        <f>IFERROR(VLOOKUP(C346,[10]Sheet2!$C$1:$F$1223,3,0),"")</f>
        <v/>
      </c>
      <c r="E346" s="73" t="str">
        <f>IFERROR(VLOOKUP(C346,[10]Sheet2!$C$1:$F$1223,4,0),"")</f>
        <v/>
      </c>
      <c r="F346" s="75"/>
      <c r="G346" s="72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8"/>
      <c r="W346" s="44"/>
      <c r="X346" s="77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8"/>
    </row>
    <row r="347" spans="1:35">
      <c r="A347" s="44"/>
      <c r="B347" s="71" t="str">
        <f>IFERROR(VLOOKUP(C347,[10]Sheet2!$C$3:$F$1223,2,0),"")</f>
        <v/>
      </c>
      <c r="C347" s="75"/>
      <c r="D347" s="73" t="str">
        <f>IFERROR(VLOOKUP(C347,[10]Sheet2!$C$1:$F$1223,3,0),"")</f>
        <v/>
      </c>
      <c r="E347" s="73" t="str">
        <f>IFERROR(VLOOKUP(C347,[10]Sheet2!$C$1:$F$1223,4,0),"")</f>
        <v/>
      </c>
      <c r="F347" s="75"/>
      <c r="G347" s="72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8"/>
      <c r="W347" s="44"/>
      <c r="X347" s="77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8"/>
    </row>
    <row r="348" spans="1:35">
      <c r="A348" s="44"/>
      <c r="B348" s="71" t="str">
        <f>IFERROR(VLOOKUP(C348,[10]Sheet2!$C$3:$F$1223,2,0),"")</f>
        <v/>
      </c>
      <c r="C348" s="75"/>
      <c r="D348" s="73" t="str">
        <f>IFERROR(VLOOKUP(C348,[10]Sheet2!$C$1:$F$1223,3,0),"")</f>
        <v/>
      </c>
      <c r="E348" s="73" t="str">
        <f>IFERROR(VLOOKUP(C348,[10]Sheet2!$C$1:$F$1223,4,0),"")</f>
        <v/>
      </c>
      <c r="F348" s="75"/>
      <c r="G348" s="72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8"/>
      <c r="W348" s="44"/>
      <c r="X348" s="77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8"/>
    </row>
    <row r="349" spans="1:35">
      <c r="A349" s="44"/>
      <c r="B349" s="71" t="str">
        <f>IFERROR(VLOOKUP(C349,[10]Sheet2!$C$3:$F$1223,2,0),"")</f>
        <v/>
      </c>
      <c r="C349" s="75"/>
      <c r="D349" s="73" t="str">
        <f>IFERROR(VLOOKUP(C349,[10]Sheet2!$C$1:$F$1223,3,0),"")</f>
        <v/>
      </c>
      <c r="E349" s="73" t="str">
        <f>IFERROR(VLOOKUP(C349,[10]Sheet2!$C$1:$F$1223,4,0),"")</f>
        <v/>
      </c>
      <c r="F349" s="75"/>
      <c r="G349" s="72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8"/>
      <c r="W349" s="44"/>
      <c r="X349" s="77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8"/>
    </row>
    <row r="350" spans="1:35">
      <c r="A350" s="44"/>
      <c r="B350" s="71" t="str">
        <f>IFERROR(VLOOKUP(C350,[10]Sheet2!$C$3:$F$1223,2,0),"")</f>
        <v/>
      </c>
      <c r="C350" s="75"/>
      <c r="D350" s="73" t="str">
        <f>IFERROR(VLOOKUP(C350,[10]Sheet2!$C$1:$F$1223,3,0),"")</f>
        <v/>
      </c>
      <c r="E350" s="73" t="str">
        <f>IFERROR(VLOOKUP(C350,[10]Sheet2!$C$1:$F$1223,4,0),"")</f>
        <v/>
      </c>
      <c r="F350" s="75"/>
      <c r="G350" s="72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8"/>
      <c r="W350" s="44"/>
      <c r="X350" s="77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8"/>
    </row>
    <row r="351" spans="1:35">
      <c r="A351" s="44"/>
      <c r="B351" s="71" t="str">
        <f>IFERROR(VLOOKUP(C351,[10]Sheet2!$C$3:$F$1223,2,0),"")</f>
        <v/>
      </c>
      <c r="C351" s="75"/>
      <c r="D351" s="73" t="str">
        <f>IFERROR(VLOOKUP(C351,[10]Sheet2!$C$1:$F$1223,3,0),"")</f>
        <v/>
      </c>
      <c r="E351" s="73" t="str">
        <f>IFERROR(VLOOKUP(C351,[10]Sheet2!$C$1:$F$1223,4,0),"")</f>
        <v/>
      </c>
      <c r="F351" s="75"/>
      <c r="G351" s="72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8"/>
      <c r="W351" s="44"/>
      <c r="X351" s="77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8"/>
    </row>
    <row r="352" spans="1:35">
      <c r="A352" s="44"/>
      <c r="B352" s="71" t="str">
        <f>IFERROR(VLOOKUP(C352,[10]Sheet2!$C$3:$F$1223,2,0),"")</f>
        <v/>
      </c>
      <c r="C352" s="75"/>
      <c r="D352" s="73" t="str">
        <f>IFERROR(VLOOKUP(C352,[10]Sheet2!$C$1:$F$1223,3,0),"")</f>
        <v/>
      </c>
      <c r="E352" s="73" t="str">
        <f>IFERROR(VLOOKUP(C352,[10]Sheet2!$C$1:$F$1223,4,0),"")</f>
        <v/>
      </c>
      <c r="F352" s="75"/>
      <c r="G352" s="72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8"/>
      <c r="W352" s="44"/>
      <c r="X352" s="77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8"/>
    </row>
    <row r="353" spans="1:35">
      <c r="A353" s="44"/>
      <c r="B353" s="71" t="str">
        <f>IFERROR(VLOOKUP(C353,[10]Sheet2!$C$3:$F$1223,2,0),"")</f>
        <v/>
      </c>
      <c r="C353" s="75"/>
      <c r="D353" s="73" t="str">
        <f>IFERROR(VLOOKUP(C353,[10]Sheet2!$C$1:$F$1223,3,0),"")</f>
        <v/>
      </c>
      <c r="E353" s="73" t="str">
        <f>IFERROR(VLOOKUP(C353,[10]Sheet2!$C$1:$F$1223,4,0),"")</f>
        <v/>
      </c>
      <c r="F353" s="75"/>
      <c r="G353" s="72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8"/>
      <c r="W353" s="44"/>
      <c r="X353" s="77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8"/>
    </row>
    <row r="354" spans="1:35">
      <c r="A354" s="44"/>
      <c r="B354" s="71" t="str">
        <f>IFERROR(VLOOKUP(C354,[10]Sheet2!$C$3:$F$1223,2,0),"")</f>
        <v/>
      </c>
      <c r="C354" s="75"/>
      <c r="D354" s="73" t="str">
        <f>IFERROR(VLOOKUP(C354,[10]Sheet2!$C$1:$F$1223,3,0),"")</f>
        <v/>
      </c>
      <c r="E354" s="73" t="str">
        <f>IFERROR(VLOOKUP(C354,[10]Sheet2!$C$1:$F$1223,4,0),"")</f>
        <v/>
      </c>
      <c r="F354" s="75"/>
      <c r="G354" s="72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8"/>
      <c r="W354" s="44"/>
      <c r="X354" s="77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8"/>
    </row>
    <row r="355" spans="1:35">
      <c r="A355" s="44"/>
      <c r="B355" s="71" t="str">
        <f>IFERROR(VLOOKUP(C355,[10]Sheet2!$C$3:$F$1223,2,0),"")</f>
        <v/>
      </c>
      <c r="C355" s="75"/>
      <c r="D355" s="73" t="str">
        <f>IFERROR(VLOOKUP(C355,[10]Sheet2!$C$1:$F$1223,3,0),"")</f>
        <v/>
      </c>
      <c r="E355" s="73" t="str">
        <f>IFERROR(VLOOKUP(C355,[10]Sheet2!$C$1:$F$1223,4,0),"")</f>
        <v/>
      </c>
      <c r="F355" s="75"/>
      <c r="G355" s="72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8"/>
      <c r="W355" s="44"/>
      <c r="X355" s="77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8"/>
    </row>
    <row r="356" spans="1:35">
      <c r="A356" s="44"/>
      <c r="B356" s="71" t="str">
        <f>IFERROR(VLOOKUP(C356,[10]Sheet2!$C$3:$F$1223,2,0),"")</f>
        <v/>
      </c>
      <c r="C356" s="75"/>
      <c r="D356" s="73" t="str">
        <f>IFERROR(VLOOKUP(C356,[10]Sheet2!$C$1:$F$1223,3,0),"")</f>
        <v/>
      </c>
      <c r="E356" s="73" t="str">
        <f>IFERROR(VLOOKUP(C356,[10]Sheet2!$C$1:$F$1223,4,0),"")</f>
        <v/>
      </c>
      <c r="F356" s="75"/>
      <c r="G356" s="72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8"/>
      <c r="W356" s="44"/>
      <c r="X356" s="77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8"/>
    </row>
    <row r="357" spans="1:35">
      <c r="A357" s="44"/>
      <c r="B357" s="71" t="str">
        <f>IFERROR(VLOOKUP(C357,[10]Sheet2!$C$3:$F$1223,2,0),"")</f>
        <v/>
      </c>
      <c r="C357" s="75"/>
      <c r="D357" s="73" t="str">
        <f>IFERROR(VLOOKUP(C357,[10]Sheet2!$C$1:$F$1223,3,0),"")</f>
        <v/>
      </c>
      <c r="E357" s="73" t="str">
        <f>IFERROR(VLOOKUP(C357,[10]Sheet2!$C$1:$F$1223,4,0),"")</f>
        <v/>
      </c>
      <c r="F357" s="75"/>
      <c r="G357" s="72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8"/>
      <c r="W357" s="44"/>
      <c r="X357" s="77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8"/>
    </row>
    <row r="358" spans="1:35">
      <c r="A358" s="44"/>
      <c r="B358" s="71" t="str">
        <f>IFERROR(VLOOKUP(C358,[10]Sheet2!$C$3:$F$1223,2,0),"")</f>
        <v/>
      </c>
      <c r="C358" s="75"/>
      <c r="D358" s="73" t="str">
        <f>IFERROR(VLOOKUP(C358,[10]Sheet2!$C$1:$F$1223,3,0),"")</f>
        <v/>
      </c>
      <c r="E358" s="73" t="str">
        <f>IFERROR(VLOOKUP(C358,[10]Sheet2!$C$1:$F$1223,4,0),"")</f>
        <v/>
      </c>
      <c r="F358" s="75"/>
      <c r="G358" s="72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8"/>
      <c r="W358" s="44"/>
      <c r="X358" s="77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8"/>
    </row>
    <row r="359" spans="1:35">
      <c r="A359" s="44"/>
      <c r="B359" s="71" t="str">
        <f>IFERROR(VLOOKUP(C359,[10]Sheet2!$C$3:$F$1223,2,0),"")</f>
        <v/>
      </c>
      <c r="C359" s="75"/>
      <c r="D359" s="73" t="str">
        <f>IFERROR(VLOOKUP(C359,[10]Sheet2!$C$1:$F$1223,3,0),"")</f>
        <v/>
      </c>
      <c r="E359" s="73" t="str">
        <f>IFERROR(VLOOKUP(C359,[10]Sheet2!$C$1:$F$1223,4,0),"")</f>
        <v/>
      </c>
      <c r="F359" s="75"/>
      <c r="G359" s="72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8"/>
      <c r="W359" s="44"/>
      <c r="X359" s="77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8"/>
    </row>
    <row r="360" spans="1:35">
      <c r="A360" s="44"/>
      <c r="B360" s="71" t="str">
        <f>IFERROR(VLOOKUP(C360,[10]Sheet2!$C$3:$F$1223,2,0),"")</f>
        <v/>
      </c>
      <c r="C360" s="75"/>
      <c r="D360" s="73" t="str">
        <f>IFERROR(VLOOKUP(C360,[10]Sheet2!$C$1:$F$1223,3,0),"")</f>
        <v/>
      </c>
      <c r="E360" s="73" t="str">
        <f>IFERROR(VLOOKUP(C360,[10]Sheet2!$C$1:$F$1223,4,0),"")</f>
        <v/>
      </c>
      <c r="F360" s="75"/>
      <c r="G360" s="72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8"/>
      <c r="W360" s="44"/>
      <c r="X360" s="77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8"/>
    </row>
    <row r="361" spans="1:35">
      <c r="A361" s="44"/>
      <c r="B361" s="71" t="str">
        <f>IFERROR(VLOOKUP(C361,[10]Sheet2!$C$3:$F$1223,2,0),"")</f>
        <v/>
      </c>
      <c r="C361" s="75"/>
      <c r="D361" s="73" t="str">
        <f>IFERROR(VLOOKUP(C361,[10]Sheet2!$C$1:$F$1223,3,0),"")</f>
        <v/>
      </c>
      <c r="E361" s="73" t="str">
        <f>IFERROR(VLOOKUP(C361,[10]Sheet2!$C$1:$F$1223,4,0),"")</f>
        <v/>
      </c>
      <c r="F361" s="75"/>
      <c r="G361" s="72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8"/>
      <c r="W361" s="44"/>
      <c r="X361" s="77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8"/>
    </row>
    <row r="362" spans="1:35">
      <c r="A362" s="44"/>
      <c r="B362" s="71" t="str">
        <f>IFERROR(VLOOKUP(C362,[10]Sheet2!$C$3:$F$1223,2,0),"")</f>
        <v/>
      </c>
      <c r="C362" s="75"/>
      <c r="D362" s="73" t="str">
        <f>IFERROR(VLOOKUP(C362,[10]Sheet2!$C$1:$F$1223,3,0),"")</f>
        <v/>
      </c>
      <c r="E362" s="73" t="str">
        <f>IFERROR(VLOOKUP(C362,[10]Sheet2!$C$1:$F$1223,4,0),"")</f>
        <v/>
      </c>
      <c r="F362" s="75"/>
      <c r="G362" s="72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8"/>
      <c r="W362" s="44"/>
      <c r="X362" s="77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8"/>
    </row>
    <row r="363" spans="1:35">
      <c r="A363" s="44"/>
      <c r="B363" s="71" t="str">
        <f>IFERROR(VLOOKUP(C363,[10]Sheet2!$C$3:$F$1223,2,0),"")</f>
        <v/>
      </c>
      <c r="C363" s="75"/>
      <c r="D363" s="73" t="str">
        <f>IFERROR(VLOOKUP(C363,[10]Sheet2!$C$1:$F$1223,3,0),"")</f>
        <v/>
      </c>
      <c r="E363" s="73" t="str">
        <f>IFERROR(VLOOKUP(C363,[10]Sheet2!$C$1:$F$1223,4,0),"")</f>
        <v/>
      </c>
      <c r="F363" s="75"/>
      <c r="G363" s="72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8"/>
      <c r="W363" s="44"/>
      <c r="X363" s="77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8"/>
    </row>
    <row r="364" spans="1:35">
      <c r="A364" s="44"/>
      <c r="B364" s="71" t="str">
        <f>IFERROR(VLOOKUP(C364,[10]Sheet2!$C$3:$F$1223,2,0),"")</f>
        <v/>
      </c>
      <c r="C364" s="75"/>
      <c r="D364" s="73" t="str">
        <f>IFERROR(VLOOKUP(C364,[10]Sheet2!$C$1:$F$1223,3,0),"")</f>
        <v/>
      </c>
      <c r="E364" s="73" t="str">
        <f>IFERROR(VLOOKUP(C364,[10]Sheet2!$C$1:$F$1223,4,0),"")</f>
        <v/>
      </c>
      <c r="F364" s="75"/>
      <c r="G364" s="72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8"/>
      <c r="W364" s="44"/>
      <c r="X364" s="77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8"/>
    </row>
    <row r="365" spans="1:35">
      <c r="A365" s="44"/>
      <c r="B365" s="71" t="str">
        <f>IFERROR(VLOOKUP(C365,[10]Sheet2!$C$3:$F$1223,2,0),"")</f>
        <v/>
      </c>
      <c r="C365" s="75"/>
      <c r="D365" s="73" t="str">
        <f>IFERROR(VLOOKUP(C365,[10]Sheet2!$C$1:$F$1223,3,0),"")</f>
        <v/>
      </c>
      <c r="E365" s="73" t="str">
        <f>IFERROR(VLOOKUP(C365,[10]Sheet2!$C$1:$F$1223,4,0),"")</f>
        <v/>
      </c>
      <c r="F365" s="75"/>
      <c r="G365" s="72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8"/>
      <c r="W365" s="44"/>
      <c r="X365" s="77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8"/>
    </row>
    <row r="366" spans="1:35">
      <c r="A366" s="44"/>
      <c r="B366" s="71" t="str">
        <f>IFERROR(VLOOKUP(C366,[10]Sheet2!$C$3:$F$1223,2,0),"")</f>
        <v/>
      </c>
      <c r="C366" s="75"/>
      <c r="D366" s="73" t="str">
        <f>IFERROR(VLOOKUP(C366,[10]Sheet2!$C$1:$F$1223,3,0),"")</f>
        <v/>
      </c>
      <c r="E366" s="73" t="str">
        <f>IFERROR(VLOOKUP(C366,[10]Sheet2!$C$1:$F$1223,4,0),"")</f>
        <v/>
      </c>
      <c r="F366" s="75"/>
      <c r="G366" s="72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8"/>
      <c r="W366" s="44"/>
      <c r="X366" s="77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8"/>
    </row>
    <row r="367" spans="1:35">
      <c r="A367" s="44"/>
      <c r="B367" s="71" t="str">
        <f>IFERROR(VLOOKUP(C367,[10]Sheet2!$C$3:$F$1223,2,0),"")</f>
        <v/>
      </c>
      <c r="C367" s="75"/>
      <c r="D367" s="73" t="str">
        <f>IFERROR(VLOOKUP(C367,[10]Sheet2!$C$1:$F$1223,3,0),"")</f>
        <v/>
      </c>
      <c r="E367" s="73" t="str">
        <f>IFERROR(VLOOKUP(C367,[10]Sheet2!$C$1:$F$1223,4,0),"")</f>
        <v/>
      </c>
      <c r="F367" s="75"/>
      <c r="G367" s="72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8"/>
      <c r="W367" s="44"/>
      <c r="X367" s="77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8"/>
    </row>
    <row r="368" spans="1:35">
      <c r="A368" s="44"/>
      <c r="B368" s="71" t="str">
        <f>IFERROR(VLOOKUP(C368,[10]Sheet2!$C$3:$F$1223,2,0),"")</f>
        <v/>
      </c>
      <c r="C368" s="75"/>
      <c r="D368" s="73" t="str">
        <f>IFERROR(VLOOKUP(C368,[10]Sheet2!$C$1:$F$1223,3,0),"")</f>
        <v/>
      </c>
      <c r="E368" s="73" t="str">
        <f>IFERROR(VLOOKUP(C368,[10]Sheet2!$C$1:$F$1223,4,0),"")</f>
        <v/>
      </c>
      <c r="F368" s="75"/>
      <c r="G368" s="72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8"/>
      <c r="W368" s="44"/>
      <c r="X368" s="77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8"/>
    </row>
    <row r="369" spans="1:35">
      <c r="A369" s="44"/>
      <c r="B369" s="71" t="str">
        <f>IFERROR(VLOOKUP(C369,[10]Sheet2!$C$3:$F$1223,2,0),"")</f>
        <v/>
      </c>
      <c r="C369" s="75"/>
      <c r="D369" s="73" t="str">
        <f>IFERROR(VLOOKUP(C369,[10]Sheet2!$C$1:$F$1223,3,0),"")</f>
        <v/>
      </c>
      <c r="E369" s="73" t="str">
        <f>IFERROR(VLOOKUP(C369,[10]Sheet2!$C$1:$F$1223,4,0),"")</f>
        <v/>
      </c>
      <c r="F369" s="75"/>
      <c r="G369" s="72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8"/>
      <c r="W369" s="44"/>
      <c r="X369" s="77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8"/>
    </row>
    <row r="370" spans="1:35">
      <c r="A370" s="44"/>
      <c r="B370" s="71" t="str">
        <f>IFERROR(VLOOKUP(C370,[10]Sheet2!$C$3:$F$1223,2,0),"")</f>
        <v/>
      </c>
      <c r="C370" s="75"/>
      <c r="D370" s="73" t="str">
        <f>IFERROR(VLOOKUP(C370,[10]Sheet2!$C$1:$F$1223,3,0),"")</f>
        <v/>
      </c>
      <c r="E370" s="73" t="str">
        <f>IFERROR(VLOOKUP(C370,[10]Sheet2!$C$1:$F$1223,4,0),"")</f>
        <v/>
      </c>
      <c r="F370" s="75"/>
      <c r="G370" s="72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8"/>
      <c r="W370" s="44"/>
      <c r="X370" s="77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8"/>
    </row>
    <row r="371" spans="1:35">
      <c r="A371" s="44"/>
      <c r="B371" s="71" t="str">
        <f>IFERROR(VLOOKUP(C371,[10]Sheet2!$C$3:$F$1223,2,0),"")</f>
        <v/>
      </c>
      <c r="C371" s="75"/>
      <c r="D371" s="73" t="str">
        <f>IFERROR(VLOOKUP(C371,[10]Sheet2!$C$1:$F$1223,3,0),"")</f>
        <v/>
      </c>
      <c r="E371" s="73" t="str">
        <f>IFERROR(VLOOKUP(C371,[10]Sheet2!$C$1:$F$1223,4,0),"")</f>
        <v/>
      </c>
      <c r="F371" s="75"/>
      <c r="G371" s="72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8"/>
      <c r="W371" s="44"/>
      <c r="X371" s="77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8"/>
    </row>
    <row r="372" spans="1:35">
      <c r="A372" s="44"/>
      <c r="B372" s="71" t="str">
        <f>IFERROR(VLOOKUP(C372,[10]Sheet2!$C$3:$F$1223,2,0),"")</f>
        <v/>
      </c>
      <c r="C372" s="75"/>
      <c r="D372" s="73" t="str">
        <f>IFERROR(VLOOKUP(C372,[10]Sheet2!$C$1:$F$1223,3,0),"")</f>
        <v/>
      </c>
      <c r="E372" s="73" t="str">
        <f>IFERROR(VLOOKUP(C372,[10]Sheet2!$C$1:$F$1223,4,0),"")</f>
        <v/>
      </c>
      <c r="F372" s="75"/>
      <c r="G372" s="72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8"/>
      <c r="W372" s="44"/>
      <c r="X372" s="77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8"/>
    </row>
    <row r="373" spans="1:35">
      <c r="A373" s="44"/>
      <c r="B373" s="71" t="str">
        <f>IFERROR(VLOOKUP(C373,[10]Sheet2!$C$3:$F$1223,2,0),"")</f>
        <v/>
      </c>
      <c r="C373" s="75"/>
      <c r="D373" s="73" t="str">
        <f>IFERROR(VLOOKUP(C373,[10]Sheet2!$C$1:$F$1223,3,0),"")</f>
        <v/>
      </c>
      <c r="E373" s="73" t="str">
        <f>IFERROR(VLOOKUP(C373,[10]Sheet2!$C$1:$F$1223,4,0),"")</f>
        <v/>
      </c>
      <c r="F373" s="75"/>
      <c r="G373" s="72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8"/>
      <c r="W373" s="44"/>
      <c r="X373" s="77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8"/>
    </row>
    <row r="374" spans="1:35">
      <c r="A374" s="44"/>
      <c r="B374" s="71" t="str">
        <f>IFERROR(VLOOKUP(C374,[10]Sheet2!$C$3:$F$1223,2,0),"")</f>
        <v/>
      </c>
      <c r="C374" s="75"/>
      <c r="D374" s="73" t="str">
        <f>IFERROR(VLOOKUP(C374,[10]Sheet2!$C$1:$F$1223,3,0),"")</f>
        <v/>
      </c>
      <c r="E374" s="73" t="str">
        <f>IFERROR(VLOOKUP(C374,[10]Sheet2!$C$1:$F$1223,4,0),"")</f>
        <v/>
      </c>
      <c r="F374" s="75"/>
      <c r="G374" s="72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8"/>
      <c r="W374" s="44"/>
      <c r="X374" s="77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8"/>
    </row>
    <row r="375" spans="1:35">
      <c r="A375" s="44"/>
      <c r="B375" s="71" t="str">
        <f>IFERROR(VLOOKUP(C375,[10]Sheet2!$C$3:$F$1223,2,0),"")</f>
        <v/>
      </c>
      <c r="C375" s="75"/>
      <c r="D375" s="73" t="str">
        <f>IFERROR(VLOOKUP(C375,[10]Sheet2!$C$1:$F$1223,3,0),"")</f>
        <v/>
      </c>
      <c r="E375" s="73" t="str">
        <f>IFERROR(VLOOKUP(C375,[10]Sheet2!$C$1:$F$1223,4,0),"")</f>
        <v/>
      </c>
      <c r="F375" s="75"/>
      <c r="G375" s="72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8"/>
      <c r="W375" s="44"/>
      <c r="X375" s="77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8"/>
    </row>
    <row r="376" spans="1:35">
      <c r="A376" s="44"/>
      <c r="B376" s="71" t="str">
        <f>IFERROR(VLOOKUP(C376,[10]Sheet2!$C$3:$F$1223,2,0),"")</f>
        <v/>
      </c>
      <c r="C376" s="75"/>
      <c r="D376" s="73" t="str">
        <f>IFERROR(VLOOKUP(C376,[10]Sheet2!$C$1:$F$1223,3,0),"")</f>
        <v/>
      </c>
      <c r="E376" s="73" t="str">
        <f>IFERROR(VLOOKUP(C376,[10]Sheet2!$C$1:$F$1223,4,0),"")</f>
        <v/>
      </c>
      <c r="F376" s="75"/>
      <c r="G376" s="72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8"/>
      <c r="W376" s="44"/>
      <c r="X376" s="77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8"/>
    </row>
    <row r="377" spans="1:35">
      <c r="A377" s="44"/>
      <c r="B377" s="71" t="str">
        <f>IFERROR(VLOOKUP(C377,[10]Sheet2!$C$3:$F$1223,2,0),"")</f>
        <v/>
      </c>
      <c r="C377" s="75"/>
      <c r="D377" s="73" t="str">
        <f>IFERROR(VLOOKUP(C377,[10]Sheet2!$C$1:$F$1223,3,0),"")</f>
        <v/>
      </c>
      <c r="E377" s="73" t="str">
        <f>IFERROR(VLOOKUP(C377,[10]Sheet2!$C$1:$F$1223,4,0),"")</f>
        <v/>
      </c>
      <c r="F377" s="75"/>
      <c r="G377" s="72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8"/>
      <c r="W377" s="44"/>
      <c r="X377" s="77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8"/>
    </row>
    <row r="378" spans="1:35">
      <c r="A378" s="44"/>
      <c r="B378" s="71" t="str">
        <f>IFERROR(VLOOKUP(C378,[10]Sheet2!$C$3:$F$1223,2,0),"")</f>
        <v/>
      </c>
      <c r="C378" s="75"/>
      <c r="D378" s="73" t="str">
        <f>IFERROR(VLOOKUP(C378,[10]Sheet2!$C$1:$F$1223,3,0),"")</f>
        <v/>
      </c>
      <c r="E378" s="73" t="str">
        <f>IFERROR(VLOOKUP(C378,[10]Sheet2!$C$1:$F$1223,4,0),"")</f>
        <v/>
      </c>
      <c r="F378" s="75"/>
      <c r="G378" s="72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8"/>
      <c r="W378" s="44"/>
      <c r="X378" s="77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8"/>
    </row>
    <row r="379" spans="1:35">
      <c r="A379" s="44"/>
      <c r="B379" s="71" t="str">
        <f>IFERROR(VLOOKUP(C379,[10]Sheet2!$C$3:$F$1223,2,0),"")</f>
        <v/>
      </c>
      <c r="C379" s="75"/>
      <c r="D379" s="73" t="str">
        <f>IFERROR(VLOOKUP(C379,[10]Sheet2!$C$1:$F$1223,3,0),"")</f>
        <v/>
      </c>
      <c r="E379" s="73" t="str">
        <f>IFERROR(VLOOKUP(C379,[10]Sheet2!$C$1:$F$1223,4,0),"")</f>
        <v/>
      </c>
      <c r="F379" s="75"/>
      <c r="G379" s="72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8"/>
      <c r="W379" s="44"/>
      <c r="X379" s="77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8"/>
    </row>
    <row r="380" spans="1:35">
      <c r="A380" s="44"/>
      <c r="B380" s="71" t="str">
        <f>IFERROR(VLOOKUP(C380,[10]Sheet2!$C$3:$F$1223,2,0),"")</f>
        <v/>
      </c>
      <c r="C380" s="75"/>
      <c r="D380" s="73" t="str">
        <f>IFERROR(VLOOKUP(C380,[10]Sheet2!$C$1:$F$1223,3,0),"")</f>
        <v/>
      </c>
      <c r="E380" s="73" t="str">
        <f>IFERROR(VLOOKUP(C380,[10]Sheet2!$C$1:$F$1223,4,0),"")</f>
        <v/>
      </c>
      <c r="F380" s="75"/>
      <c r="G380" s="72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8"/>
      <c r="W380" s="44"/>
      <c r="X380" s="77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8"/>
    </row>
    <row r="381" spans="1:35">
      <c r="A381" s="44"/>
      <c r="B381" s="71" t="str">
        <f>IFERROR(VLOOKUP(C381,[10]Sheet2!$C$3:$F$1223,2,0),"")</f>
        <v/>
      </c>
      <c r="C381" s="75"/>
      <c r="D381" s="73" t="str">
        <f>IFERROR(VLOOKUP(C381,[10]Sheet2!$C$1:$F$1223,3,0),"")</f>
        <v/>
      </c>
      <c r="E381" s="73" t="str">
        <f>IFERROR(VLOOKUP(C381,[10]Sheet2!$C$1:$F$1223,4,0),"")</f>
        <v/>
      </c>
      <c r="F381" s="75"/>
      <c r="G381" s="72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8"/>
      <c r="W381" s="44"/>
      <c r="X381" s="77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8"/>
    </row>
    <row r="382" spans="1:35">
      <c r="A382" s="44"/>
      <c r="B382" s="71" t="str">
        <f>IFERROR(VLOOKUP(C382,[10]Sheet2!$C$3:$F$1223,2,0),"")</f>
        <v/>
      </c>
      <c r="C382" s="75"/>
      <c r="D382" s="73" t="str">
        <f>IFERROR(VLOOKUP(C382,[10]Sheet2!$C$1:$F$1223,3,0),"")</f>
        <v/>
      </c>
      <c r="E382" s="73" t="str">
        <f>IFERROR(VLOOKUP(C382,[10]Sheet2!$C$1:$F$1223,4,0),"")</f>
        <v/>
      </c>
      <c r="F382" s="75"/>
      <c r="G382" s="72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8"/>
      <c r="W382" s="44"/>
      <c r="X382" s="77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8"/>
    </row>
    <row r="383" spans="1:35">
      <c r="A383" s="44"/>
      <c r="B383" s="71" t="str">
        <f>IFERROR(VLOOKUP(C383,[10]Sheet2!$C$3:$F$1223,2,0),"")</f>
        <v/>
      </c>
      <c r="C383" s="75"/>
      <c r="D383" s="73" t="str">
        <f>IFERROR(VLOOKUP(C383,[10]Sheet2!$C$1:$F$1223,3,0),"")</f>
        <v/>
      </c>
      <c r="E383" s="73" t="str">
        <f>IFERROR(VLOOKUP(C383,[10]Sheet2!$C$1:$F$1223,4,0),"")</f>
        <v/>
      </c>
      <c r="F383" s="75"/>
      <c r="G383" s="72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8"/>
      <c r="W383" s="44"/>
      <c r="X383" s="77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8"/>
    </row>
    <row r="384" spans="1:35">
      <c r="A384" s="44"/>
      <c r="B384" s="71" t="str">
        <f>IFERROR(VLOOKUP(C384,[10]Sheet2!$C$3:$F$1223,2,0),"")</f>
        <v/>
      </c>
      <c r="C384" s="75"/>
      <c r="D384" s="73" t="str">
        <f>IFERROR(VLOOKUP(C384,[10]Sheet2!$C$1:$F$1223,3,0),"")</f>
        <v/>
      </c>
      <c r="E384" s="73" t="str">
        <f>IFERROR(VLOOKUP(C384,[10]Sheet2!$C$1:$F$1223,4,0),"")</f>
        <v/>
      </c>
      <c r="F384" s="75"/>
      <c r="G384" s="72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8"/>
      <c r="W384" s="44"/>
      <c r="X384" s="77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8"/>
    </row>
    <row r="385" spans="1:35">
      <c r="A385" s="44"/>
      <c r="B385" s="71" t="str">
        <f>IFERROR(VLOOKUP(C385,[10]Sheet2!$C$3:$F$1223,2,0),"")</f>
        <v/>
      </c>
      <c r="C385" s="75"/>
      <c r="D385" s="73" t="str">
        <f>IFERROR(VLOOKUP(C385,[10]Sheet2!$C$1:$F$1223,3,0),"")</f>
        <v/>
      </c>
      <c r="E385" s="73" t="str">
        <f>IFERROR(VLOOKUP(C385,[10]Sheet2!$C$1:$F$1223,4,0),"")</f>
        <v/>
      </c>
      <c r="F385" s="75"/>
      <c r="G385" s="72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8"/>
      <c r="W385" s="44"/>
      <c r="X385" s="77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8"/>
    </row>
    <row r="386" spans="1:35">
      <c r="A386" s="44"/>
      <c r="B386" s="71" t="str">
        <f>IFERROR(VLOOKUP(C386,[10]Sheet2!$C$3:$F$1223,2,0),"")</f>
        <v/>
      </c>
      <c r="C386" s="75"/>
      <c r="D386" s="73" t="str">
        <f>IFERROR(VLOOKUP(C386,[10]Sheet2!$C$1:$F$1223,3,0),"")</f>
        <v/>
      </c>
      <c r="E386" s="73" t="str">
        <f>IFERROR(VLOOKUP(C386,[10]Sheet2!$C$1:$F$1223,4,0),"")</f>
        <v/>
      </c>
      <c r="F386" s="75"/>
      <c r="G386" s="72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8"/>
      <c r="W386" s="44"/>
      <c r="X386" s="77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8"/>
    </row>
    <row r="387" spans="1:35">
      <c r="A387" s="44"/>
      <c r="B387" s="71" t="str">
        <f>IFERROR(VLOOKUP(C387,[10]Sheet2!$C$3:$F$1223,2,0),"")</f>
        <v/>
      </c>
      <c r="C387" s="75"/>
      <c r="D387" s="73" t="str">
        <f>IFERROR(VLOOKUP(C387,[10]Sheet2!$C$1:$F$1223,3,0),"")</f>
        <v/>
      </c>
      <c r="E387" s="73" t="str">
        <f>IFERROR(VLOOKUP(C387,[10]Sheet2!$C$1:$F$1223,4,0),"")</f>
        <v/>
      </c>
      <c r="F387" s="75"/>
      <c r="G387" s="72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8"/>
      <c r="W387" s="44"/>
      <c r="X387" s="77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8"/>
    </row>
    <row r="388" spans="1:35">
      <c r="A388" s="44"/>
      <c r="B388" s="71" t="str">
        <f>IFERROR(VLOOKUP(C388,[10]Sheet2!$C$3:$F$1223,2,0),"")</f>
        <v/>
      </c>
      <c r="C388" s="75"/>
      <c r="D388" s="73" t="str">
        <f>IFERROR(VLOOKUP(C388,[10]Sheet2!$C$1:$F$1223,3,0),"")</f>
        <v/>
      </c>
      <c r="E388" s="73" t="str">
        <f>IFERROR(VLOOKUP(C388,[10]Sheet2!$C$1:$F$1223,4,0),"")</f>
        <v/>
      </c>
      <c r="F388" s="75"/>
      <c r="G388" s="72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8"/>
      <c r="W388" s="44"/>
      <c r="X388" s="77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8"/>
    </row>
    <row r="389" spans="1:35">
      <c r="A389" s="44"/>
      <c r="B389" s="71" t="str">
        <f>IFERROR(VLOOKUP(C389,[10]Sheet2!$C$3:$F$1223,2,0),"")</f>
        <v/>
      </c>
      <c r="C389" s="75"/>
      <c r="D389" s="73" t="str">
        <f>IFERROR(VLOOKUP(C389,[10]Sheet2!$C$1:$F$1223,3,0),"")</f>
        <v/>
      </c>
      <c r="E389" s="73" t="str">
        <f>IFERROR(VLOOKUP(C389,[10]Sheet2!$C$1:$F$1223,4,0),"")</f>
        <v/>
      </c>
      <c r="F389" s="75"/>
      <c r="G389" s="72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8"/>
      <c r="W389" s="44"/>
      <c r="X389" s="77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8"/>
    </row>
    <row r="390" spans="1:35">
      <c r="A390" s="44"/>
      <c r="B390" s="71" t="str">
        <f>IFERROR(VLOOKUP(C390,[10]Sheet2!$C$3:$F$1223,2,0),"")</f>
        <v/>
      </c>
      <c r="C390" s="75"/>
      <c r="D390" s="73" t="str">
        <f>IFERROR(VLOOKUP(C390,[10]Sheet2!$C$1:$F$1223,3,0),"")</f>
        <v/>
      </c>
      <c r="E390" s="73" t="str">
        <f>IFERROR(VLOOKUP(C390,[10]Sheet2!$C$1:$F$1223,4,0),"")</f>
        <v/>
      </c>
      <c r="F390" s="75"/>
      <c r="G390" s="72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8"/>
      <c r="W390" s="44"/>
      <c r="X390" s="77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8"/>
    </row>
    <row r="391" spans="1:35">
      <c r="A391" s="44"/>
      <c r="B391" s="71" t="str">
        <f>IFERROR(VLOOKUP(C391,[10]Sheet2!$C$3:$F$1223,2,0),"")</f>
        <v/>
      </c>
      <c r="C391" s="75"/>
      <c r="D391" s="73" t="str">
        <f>IFERROR(VLOOKUP(C391,[10]Sheet2!$C$1:$F$1223,3,0),"")</f>
        <v/>
      </c>
      <c r="E391" s="73" t="str">
        <f>IFERROR(VLOOKUP(C391,[10]Sheet2!$C$1:$F$1223,4,0),"")</f>
        <v/>
      </c>
      <c r="F391" s="75"/>
      <c r="G391" s="72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8"/>
      <c r="W391" s="44"/>
      <c r="X391" s="77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8"/>
    </row>
    <row r="392" spans="1:35">
      <c r="A392" s="44"/>
      <c r="B392" s="71" t="str">
        <f>IFERROR(VLOOKUP(C392,[10]Sheet2!$C$3:$F$1223,2,0),"")</f>
        <v/>
      </c>
      <c r="C392" s="75"/>
      <c r="D392" s="73" t="str">
        <f>IFERROR(VLOOKUP(C392,[10]Sheet2!$C$1:$F$1223,3,0),"")</f>
        <v/>
      </c>
      <c r="E392" s="73" t="str">
        <f>IFERROR(VLOOKUP(C392,[10]Sheet2!$C$1:$F$1223,4,0),"")</f>
        <v/>
      </c>
      <c r="F392" s="75"/>
      <c r="G392" s="72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8"/>
      <c r="W392" s="44"/>
      <c r="X392" s="77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8"/>
    </row>
    <row r="393" spans="1:35">
      <c r="A393" s="44"/>
      <c r="B393" s="71" t="str">
        <f>IFERROR(VLOOKUP(C393,[10]Sheet2!$C$3:$F$1223,2,0),"")</f>
        <v/>
      </c>
      <c r="C393" s="75"/>
      <c r="D393" s="73" t="str">
        <f>IFERROR(VLOOKUP(C393,[10]Sheet2!$C$1:$F$1223,3,0),"")</f>
        <v/>
      </c>
      <c r="E393" s="73" t="str">
        <f>IFERROR(VLOOKUP(C393,[10]Sheet2!$C$1:$F$1223,4,0),"")</f>
        <v/>
      </c>
      <c r="F393" s="75"/>
      <c r="G393" s="72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8"/>
      <c r="W393" s="44"/>
      <c r="X393" s="77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8"/>
    </row>
    <row r="394" spans="1:35">
      <c r="A394" s="44"/>
      <c r="B394" s="71" t="str">
        <f>IFERROR(VLOOKUP(C394,[10]Sheet2!$C$3:$F$1223,2,0),"")</f>
        <v/>
      </c>
      <c r="C394" s="75"/>
      <c r="D394" s="73" t="str">
        <f>IFERROR(VLOOKUP(C394,[10]Sheet2!$C$1:$F$1223,3,0),"")</f>
        <v/>
      </c>
      <c r="E394" s="73" t="str">
        <f>IFERROR(VLOOKUP(C394,[10]Sheet2!$C$1:$F$1223,4,0),"")</f>
        <v/>
      </c>
      <c r="F394" s="75"/>
      <c r="G394" s="72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8"/>
      <c r="W394" s="44"/>
      <c r="X394" s="77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8"/>
    </row>
    <row r="395" spans="1:35">
      <c r="A395" s="44"/>
      <c r="B395" s="71" t="str">
        <f>IFERROR(VLOOKUP(C395,[10]Sheet2!$C$3:$F$1223,2,0),"")</f>
        <v/>
      </c>
      <c r="C395" s="75"/>
      <c r="D395" s="73" t="str">
        <f>IFERROR(VLOOKUP(C395,[10]Sheet2!$C$1:$F$1223,3,0),"")</f>
        <v/>
      </c>
      <c r="E395" s="73" t="str">
        <f>IFERROR(VLOOKUP(C395,[10]Sheet2!$C$1:$F$1223,4,0),"")</f>
        <v/>
      </c>
      <c r="F395" s="75"/>
      <c r="G395" s="72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8"/>
      <c r="W395" s="44"/>
      <c r="X395" s="77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8"/>
    </row>
    <row r="396" spans="1:35">
      <c r="A396" s="44"/>
      <c r="B396" s="71" t="str">
        <f>IFERROR(VLOOKUP(C396,[10]Sheet2!$C$3:$F$1223,2,0),"")</f>
        <v/>
      </c>
      <c r="C396" s="75"/>
      <c r="D396" s="73" t="str">
        <f>IFERROR(VLOOKUP(C396,[10]Sheet2!$C$1:$F$1223,3,0),"")</f>
        <v/>
      </c>
      <c r="E396" s="73" t="str">
        <f>IFERROR(VLOOKUP(C396,[10]Sheet2!$C$1:$F$1223,4,0),"")</f>
        <v/>
      </c>
      <c r="F396" s="75"/>
      <c r="G396" s="72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8"/>
      <c r="W396" s="44"/>
      <c r="X396" s="77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8"/>
    </row>
    <row r="397" spans="1:35">
      <c r="A397" s="44"/>
      <c r="B397" s="71" t="str">
        <f>IFERROR(VLOOKUP(C397,[10]Sheet2!$C$3:$F$1223,2,0),"")</f>
        <v/>
      </c>
      <c r="C397" s="75"/>
      <c r="D397" s="73" t="str">
        <f>IFERROR(VLOOKUP(C397,[10]Sheet2!$C$1:$F$1223,3,0),"")</f>
        <v/>
      </c>
      <c r="E397" s="73" t="str">
        <f>IFERROR(VLOOKUP(C397,[10]Sheet2!$C$1:$F$1223,4,0),"")</f>
        <v/>
      </c>
      <c r="F397" s="75"/>
      <c r="G397" s="72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8"/>
      <c r="W397" s="44"/>
      <c r="X397" s="77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8"/>
    </row>
    <row r="398" spans="1:35">
      <c r="A398" s="44"/>
      <c r="B398" s="71" t="str">
        <f>IFERROR(VLOOKUP(C398,[10]Sheet2!$C$3:$F$1223,2,0),"")</f>
        <v/>
      </c>
      <c r="C398" s="75"/>
      <c r="D398" s="73" t="str">
        <f>IFERROR(VLOOKUP(C398,[10]Sheet2!$C$1:$F$1223,3,0),"")</f>
        <v/>
      </c>
      <c r="E398" s="73" t="str">
        <f>IFERROR(VLOOKUP(C398,[10]Sheet2!$C$1:$F$1223,4,0),"")</f>
        <v/>
      </c>
      <c r="F398" s="75"/>
      <c r="G398" s="72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8"/>
      <c r="W398" s="44"/>
      <c r="X398" s="77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8"/>
    </row>
    <row r="399" spans="1:35">
      <c r="A399" s="44"/>
      <c r="B399" s="71" t="str">
        <f>IFERROR(VLOOKUP(C399,[10]Sheet2!$C$3:$F$1223,2,0),"")</f>
        <v/>
      </c>
      <c r="C399" s="75"/>
      <c r="D399" s="73" t="str">
        <f>IFERROR(VLOOKUP(C399,[10]Sheet2!$C$1:$F$1223,3,0),"")</f>
        <v/>
      </c>
      <c r="E399" s="73" t="str">
        <f>IFERROR(VLOOKUP(C399,[10]Sheet2!$C$1:$F$1223,4,0),"")</f>
        <v/>
      </c>
      <c r="F399" s="75"/>
      <c r="G399" s="72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8"/>
      <c r="W399" s="44"/>
      <c r="X399" s="77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8"/>
    </row>
    <row r="400" spans="1:35">
      <c r="A400" s="44"/>
      <c r="B400" s="71" t="str">
        <f>IFERROR(VLOOKUP(C400,[10]Sheet2!$C$3:$F$1223,2,0),"")</f>
        <v/>
      </c>
      <c r="C400" s="75"/>
      <c r="D400" s="73" t="str">
        <f>IFERROR(VLOOKUP(C400,[10]Sheet2!$C$1:$F$1223,3,0),"")</f>
        <v/>
      </c>
      <c r="E400" s="73" t="str">
        <f>IFERROR(VLOOKUP(C400,[10]Sheet2!$C$1:$F$1223,4,0),"")</f>
        <v/>
      </c>
      <c r="F400" s="75"/>
      <c r="G400" s="72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8"/>
      <c r="W400" s="44"/>
      <c r="X400" s="77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8"/>
    </row>
    <row r="401" spans="1:35">
      <c r="A401" s="44"/>
      <c r="B401" s="71" t="str">
        <f>IFERROR(VLOOKUP(C401,[10]Sheet2!$C$3:$F$1223,2,0),"")</f>
        <v/>
      </c>
      <c r="C401" s="75"/>
      <c r="D401" s="73" t="str">
        <f>IFERROR(VLOOKUP(C401,[10]Sheet2!$C$1:$F$1223,3,0),"")</f>
        <v/>
      </c>
      <c r="E401" s="73" t="str">
        <f>IFERROR(VLOOKUP(C401,[10]Sheet2!$C$1:$F$1223,4,0),"")</f>
        <v/>
      </c>
      <c r="F401" s="75"/>
      <c r="G401" s="72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8"/>
      <c r="W401" s="44"/>
      <c r="X401" s="77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8"/>
    </row>
    <row r="402" spans="1:35">
      <c r="A402" s="44"/>
      <c r="B402" s="71" t="str">
        <f>IFERROR(VLOOKUP(C402,[10]Sheet2!$C$3:$F$1223,2,0),"")</f>
        <v/>
      </c>
      <c r="C402" s="75"/>
      <c r="D402" s="73" t="str">
        <f>IFERROR(VLOOKUP(C402,[10]Sheet2!$C$1:$F$1223,3,0),"")</f>
        <v/>
      </c>
      <c r="E402" s="73" t="str">
        <f>IFERROR(VLOOKUP(C402,[10]Sheet2!$C$1:$F$1223,4,0),"")</f>
        <v/>
      </c>
      <c r="F402" s="75"/>
      <c r="G402" s="72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8"/>
      <c r="W402" s="44"/>
      <c r="X402" s="77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8"/>
    </row>
    <row r="403" spans="1:35">
      <c r="A403" s="44"/>
      <c r="B403" s="71" t="str">
        <f>IFERROR(VLOOKUP(C403,[10]Sheet2!$C$3:$F$1223,2,0),"")</f>
        <v/>
      </c>
      <c r="C403" s="75"/>
      <c r="D403" s="73" t="str">
        <f>IFERROR(VLOOKUP(C403,[10]Sheet2!$C$1:$F$1223,3,0),"")</f>
        <v/>
      </c>
      <c r="E403" s="73" t="str">
        <f>IFERROR(VLOOKUP(C403,[10]Sheet2!$C$1:$F$1223,4,0),"")</f>
        <v/>
      </c>
      <c r="F403" s="75"/>
      <c r="G403" s="72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8"/>
      <c r="W403" s="44"/>
      <c r="X403" s="77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8"/>
    </row>
    <row r="404" spans="1:35">
      <c r="A404" s="44"/>
      <c r="B404" s="71" t="str">
        <f>IFERROR(VLOOKUP(C404,[10]Sheet2!$C$3:$F$1223,2,0),"")</f>
        <v/>
      </c>
      <c r="C404" s="75"/>
      <c r="D404" s="73" t="str">
        <f>IFERROR(VLOOKUP(C404,[10]Sheet2!$C$1:$F$1223,3,0),"")</f>
        <v/>
      </c>
      <c r="E404" s="73" t="str">
        <f>IFERROR(VLOOKUP(C404,[10]Sheet2!$C$1:$F$1223,4,0),"")</f>
        <v/>
      </c>
      <c r="F404" s="75"/>
      <c r="G404" s="72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8"/>
      <c r="W404" s="44"/>
      <c r="X404" s="77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8"/>
    </row>
    <row r="405" spans="1:35">
      <c r="A405" s="44"/>
      <c r="B405" s="71" t="str">
        <f>IFERROR(VLOOKUP(C405,[10]Sheet2!$C$3:$F$1223,2,0),"")</f>
        <v/>
      </c>
      <c r="C405" s="75"/>
      <c r="D405" s="73" t="str">
        <f>IFERROR(VLOOKUP(C405,[10]Sheet2!$C$1:$F$1223,3,0),"")</f>
        <v/>
      </c>
      <c r="E405" s="73" t="str">
        <f>IFERROR(VLOOKUP(C405,[10]Sheet2!$C$1:$F$1223,4,0),"")</f>
        <v/>
      </c>
      <c r="F405" s="75"/>
      <c r="G405" s="72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8"/>
      <c r="W405" s="44"/>
      <c r="X405" s="77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8"/>
    </row>
    <row r="406" spans="1:35">
      <c r="A406" s="44"/>
      <c r="B406" s="71" t="str">
        <f>IFERROR(VLOOKUP(C406,[10]Sheet2!$C$3:$F$1223,2,0),"")</f>
        <v/>
      </c>
      <c r="C406" s="75"/>
      <c r="D406" s="73" t="str">
        <f>IFERROR(VLOOKUP(C406,[10]Sheet2!$C$1:$F$1223,3,0),"")</f>
        <v/>
      </c>
      <c r="E406" s="73" t="str">
        <f>IFERROR(VLOOKUP(C406,[10]Sheet2!$C$1:$F$1223,4,0),"")</f>
        <v/>
      </c>
      <c r="F406" s="75"/>
      <c r="G406" s="72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8"/>
      <c r="W406" s="44"/>
      <c r="X406" s="77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8"/>
    </row>
    <row r="407" spans="1:35">
      <c r="A407" s="44"/>
      <c r="B407" s="71" t="str">
        <f>IFERROR(VLOOKUP(C407,[10]Sheet2!$C$3:$F$1223,2,0),"")</f>
        <v/>
      </c>
      <c r="C407" s="75"/>
      <c r="D407" s="73" t="str">
        <f>IFERROR(VLOOKUP(C407,[10]Sheet2!$C$1:$F$1223,3,0),"")</f>
        <v/>
      </c>
      <c r="E407" s="73" t="str">
        <f>IFERROR(VLOOKUP(C407,[10]Sheet2!$C$1:$F$1223,4,0),"")</f>
        <v/>
      </c>
      <c r="F407" s="75"/>
      <c r="G407" s="72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8"/>
      <c r="W407" s="44"/>
      <c r="X407" s="77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8"/>
    </row>
    <row r="408" spans="1:35">
      <c r="A408" s="44"/>
      <c r="B408" s="71" t="str">
        <f>IFERROR(VLOOKUP(C408,[10]Sheet2!$C$3:$F$1223,2,0),"")</f>
        <v/>
      </c>
      <c r="C408" s="75"/>
      <c r="D408" s="73" t="str">
        <f>IFERROR(VLOOKUP(C408,[10]Sheet2!$C$1:$F$1223,3,0),"")</f>
        <v/>
      </c>
      <c r="E408" s="73" t="str">
        <f>IFERROR(VLOOKUP(C408,[10]Sheet2!$C$1:$F$1223,4,0),"")</f>
        <v/>
      </c>
      <c r="F408" s="75"/>
      <c r="G408" s="72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8"/>
      <c r="W408" s="44"/>
      <c r="X408" s="77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8"/>
    </row>
    <row r="409" spans="1:35">
      <c r="A409" s="44"/>
      <c r="B409" s="71" t="str">
        <f>IFERROR(VLOOKUP(C409,[10]Sheet2!$C$3:$F$1223,2,0),"")</f>
        <v/>
      </c>
      <c r="C409" s="75"/>
      <c r="D409" s="73" t="str">
        <f>IFERROR(VLOOKUP(C409,[10]Sheet2!$C$1:$F$1223,3,0),"")</f>
        <v/>
      </c>
      <c r="E409" s="73" t="str">
        <f>IFERROR(VLOOKUP(C409,[10]Sheet2!$C$1:$F$1223,4,0),"")</f>
        <v/>
      </c>
      <c r="F409" s="75"/>
      <c r="G409" s="72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8"/>
      <c r="W409" s="44"/>
      <c r="X409" s="77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8"/>
    </row>
    <row r="410" spans="1:35">
      <c r="A410" s="44"/>
      <c r="B410" s="71" t="str">
        <f>IFERROR(VLOOKUP(C410,[10]Sheet2!$C$3:$F$1223,2,0),"")</f>
        <v/>
      </c>
      <c r="C410" s="75"/>
      <c r="D410" s="73" t="str">
        <f>IFERROR(VLOOKUP(C410,[10]Sheet2!$C$1:$F$1223,3,0),"")</f>
        <v/>
      </c>
      <c r="E410" s="73" t="str">
        <f>IFERROR(VLOOKUP(C410,[10]Sheet2!$C$1:$F$1223,4,0),"")</f>
        <v/>
      </c>
      <c r="F410" s="75"/>
      <c r="G410" s="72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8"/>
      <c r="W410" s="44"/>
      <c r="X410" s="77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8"/>
    </row>
    <row r="411" spans="1:35">
      <c r="A411" s="44"/>
      <c r="B411" s="71" t="str">
        <f>IFERROR(VLOOKUP(C411,[10]Sheet2!$C$3:$F$1223,2,0),"")</f>
        <v/>
      </c>
      <c r="C411" s="75"/>
      <c r="D411" s="73" t="str">
        <f>IFERROR(VLOOKUP(C411,[10]Sheet2!$C$1:$F$1223,3,0),"")</f>
        <v/>
      </c>
      <c r="E411" s="73" t="str">
        <f>IFERROR(VLOOKUP(C411,[10]Sheet2!$C$1:$F$1223,4,0),"")</f>
        <v/>
      </c>
      <c r="F411" s="75"/>
      <c r="G411" s="72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8"/>
      <c r="W411" s="44"/>
      <c r="X411" s="77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8"/>
    </row>
    <row r="412" spans="1:35">
      <c r="A412" s="44"/>
      <c r="B412" s="71" t="str">
        <f>IFERROR(VLOOKUP(C412,[10]Sheet2!$C$3:$F$1223,2,0),"")</f>
        <v/>
      </c>
      <c r="C412" s="75"/>
      <c r="D412" s="73" t="str">
        <f>IFERROR(VLOOKUP(C412,[10]Sheet2!$C$1:$F$1223,3,0),"")</f>
        <v/>
      </c>
      <c r="E412" s="73" t="str">
        <f>IFERROR(VLOOKUP(C412,[10]Sheet2!$C$1:$F$1223,4,0),"")</f>
        <v/>
      </c>
      <c r="F412" s="75"/>
      <c r="G412" s="72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8"/>
      <c r="W412" s="44"/>
      <c r="X412" s="77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8"/>
    </row>
    <row r="413" spans="1:35">
      <c r="A413" s="44"/>
      <c r="B413" s="71" t="str">
        <f>IFERROR(VLOOKUP(C413,[10]Sheet2!$C$3:$F$1223,2,0),"")</f>
        <v/>
      </c>
      <c r="C413" s="75"/>
      <c r="D413" s="73" t="str">
        <f>IFERROR(VLOOKUP(C413,[10]Sheet2!$C$1:$F$1223,3,0),"")</f>
        <v/>
      </c>
      <c r="E413" s="73" t="str">
        <f>IFERROR(VLOOKUP(C413,[10]Sheet2!$C$1:$F$1223,4,0),"")</f>
        <v/>
      </c>
      <c r="F413" s="75"/>
      <c r="G413" s="72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8"/>
      <c r="W413" s="44"/>
      <c r="X413" s="77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8"/>
    </row>
    <row r="414" spans="1:35">
      <c r="A414" s="44"/>
      <c r="B414" s="71" t="str">
        <f>IFERROR(VLOOKUP(C414,[10]Sheet2!$C$3:$F$1223,2,0),"")</f>
        <v/>
      </c>
      <c r="C414" s="75"/>
      <c r="D414" s="73" t="str">
        <f>IFERROR(VLOOKUP(C414,[10]Sheet2!$C$1:$F$1223,3,0),"")</f>
        <v/>
      </c>
      <c r="E414" s="73" t="str">
        <f>IFERROR(VLOOKUP(C414,[10]Sheet2!$C$1:$F$1223,4,0),"")</f>
        <v/>
      </c>
      <c r="F414" s="75"/>
      <c r="G414" s="72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8"/>
      <c r="W414" s="44"/>
      <c r="X414" s="77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8"/>
    </row>
    <row r="415" spans="1:35">
      <c r="A415" s="44"/>
      <c r="B415" s="71" t="str">
        <f>IFERROR(VLOOKUP(C415,[10]Sheet2!$C$3:$F$1223,2,0),"")</f>
        <v/>
      </c>
      <c r="C415" s="75"/>
      <c r="D415" s="73" t="str">
        <f>IFERROR(VLOOKUP(C415,[10]Sheet2!$C$1:$F$1223,3,0),"")</f>
        <v/>
      </c>
      <c r="E415" s="73" t="str">
        <f>IFERROR(VLOOKUP(C415,[10]Sheet2!$C$1:$F$1223,4,0),"")</f>
        <v/>
      </c>
      <c r="F415" s="75"/>
      <c r="G415" s="72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8"/>
      <c r="W415" s="44"/>
      <c r="X415" s="77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8"/>
    </row>
    <row r="416" spans="1:35">
      <c r="A416" s="44"/>
      <c r="B416" s="71" t="str">
        <f>IFERROR(VLOOKUP(C416,[10]Sheet2!$C$3:$F$1223,2,0),"")</f>
        <v/>
      </c>
      <c r="C416" s="75"/>
      <c r="D416" s="73" t="str">
        <f>IFERROR(VLOOKUP(C416,[10]Sheet2!$C$1:$F$1223,3,0),"")</f>
        <v/>
      </c>
      <c r="E416" s="73" t="str">
        <f>IFERROR(VLOOKUP(C416,[10]Sheet2!$C$1:$F$1223,4,0),"")</f>
        <v/>
      </c>
      <c r="F416" s="75"/>
      <c r="G416" s="72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8"/>
      <c r="W416" s="44"/>
      <c r="X416" s="77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8"/>
    </row>
    <row r="417" spans="1:35">
      <c r="A417" s="44"/>
      <c r="B417" s="71" t="str">
        <f>IFERROR(VLOOKUP(C417,[10]Sheet2!$C$3:$F$1223,2,0),"")</f>
        <v/>
      </c>
      <c r="C417" s="75"/>
      <c r="D417" s="73" t="str">
        <f>IFERROR(VLOOKUP(C417,[10]Sheet2!$C$1:$F$1223,3,0),"")</f>
        <v/>
      </c>
      <c r="E417" s="73" t="str">
        <f>IFERROR(VLOOKUP(C417,[10]Sheet2!$C$1:$F$1223,4,0),"")</f>
        <v/>
      </c>
      <c r="F417" s="75"/>
      <c r="G417" s="72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8"/>
      <c r="W417" s="44"/>
      <c r="X417" s="77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8"/>
    </row>
    <row r="418" spans="1:35">
      <c r="A418" s="44"/>
      <c r="B418" s="71" t="str">
        <f>IFERROR(VLOOKUP(C418,[10]Sheet2!$C$3:$F$1223,2,0),"")</f>
        <v/>
      </c>
      <c r="C418" s="75"/>
      <c r="D418" s="73" t="str">
        <f>IFERROR(VLOOKUP(C418,[10]Sheet2!$C$1:$F$1223,3,0),"")</f>
        <v/>
      </c>
      <c r="E418" s="73" t="str">
        <f>IFERROR(VLOOKUP(C418,[10]Sheet2!$C$1:$F$1223,4,0),"")</f>
        <v/>
      </c>
      <c r="F418" s="75"/>
      <c r="G418" s="72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8"/>
      <c r="W418" s="44"/>
      <c r="X418" s="77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8"/>
    </row>
    <row r="419" spans="1:35">
      <c r="A419" s="44"/>
      <c r="B419" s="71" t="str">
        <f>IFERROR(VLOOKUP(C419,[10]Sheet2!$C$3:$F$1223,2,0),"")</f>
        <v/>
      </c>
      <c r="C419" s="75"/>
      <c r="D419" s="73" t="str">
        <f>IFERROR(VLOOKUP(C419,[10]Sheet2!$C$1:$F$1223,3,0),"")</f>
        <v/>
      </c>
      <c r="E419" s="73" t="str">
        <f>IFERROR(VLOOKUP(C419,[10]Sheet2!$C$1:$F$1223,4,0),"")</f>
        <v/>
      </c>
      <c r="F419" s="75"/>
      <c r="G419" s="72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8"/>
      <c r="W419" s="44"/>
      <c r="X419" s="77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8"/>
    </row>
    <row r="420" spans="1:35">
      <c r="A420" s="44"/>
      <c r="B420" s="71" t="str">
        <f>IFERROR(VLOOKUP(C420,[10]Sheet2!$C$3:$F$1223,2,0),"")</f>
        <v/>
      </c>
      <c r="C420" s="75"/>
      <c r="D420" s="73" t="str">
        <f>IFERROR(VLOOKUP(C420,[10]Sheet2!$C$1:$F$1223,3,0),"")</f>
        <v/>
      </c>
      <c r="E420" s="73" t="str">
        <f>IFERROR(VLOOKUP(C420,[10]Sheet2!$C$1:$F$1223,4,0),"")</f>
        <v/>
      </c>
      <c r="F420" s="75"/>
      <c r="G420" s="72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8"/>
      <c r="W420" s="44"/>
      <c r="X420" s="77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8"/>
    </row>
    <row r="421" spans="1:35">
      <c r="A421" s="44"/>
      <c r="B421" s="71" t="str">
        <f>IFERROR(VLOOKUP(C421,[10]Sheet2!$C$3:$F$1223,2,0),"")</f>
        <v/>
      </c>
      <c r="C421" s="75"/>
      <c r="D421" s="73" t="str">
        <f>IFERROR(VLOOKUP(C421,[10]Sheet2!$C$1:$F$1223,3,0),"")</f>
        <v/>
      </c>
      <c r="E421" s="73" t="str">
        <f>IFERROR(VLOOKUP(C421,[10]Sheet2!$C$1:$F$1223,4,0),"")</f>
        <v/>
      </c>
      <c r="F421" s="75"/>
      <c r="G421" s="72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8"/>
      <c r="W421" s="44"/>
      <c r="X421" s="77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8"/>
    </row>
    <row r="422" spans="1:35">
      <c r="A422" s="44"/>
      <c r="B422" s="71" t="str">
        <f>IFERROR(VLOOKUP(C422,[10]Sheet2!$C$3:$F$1223,2,0),"")</f>
        <v/>
      </c>
      <c r="C422" s="75"/>
      <c r="D422" s="73" t="str">
        <f>IFERROR(VLOOKUP(C422,[10]Sheet2!$C$1:$F$1223,3,0),"")</f>
        <v/>
      </c>
      <c r="E422" s="73" t="str">
        <f>IFERROR(VLOOKUP(C422,[10]Sheet2!$C$1:$F$1223,4,0),"")</f>
        <v/>
      </c>
      <c r="F422" s="75"/>
      <c r="G422" s="72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8"/>
      <c r="W422" s="44"/>
      <c r="X422" s="77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8"/>
    </row>
    <row r="423" spans="1:35">
      <c r="A423" s="44"/>
      <c r="B423" s="71" t="str">
        <f>IFERROR(VLOOKUP(C423,[10]Sheet2!$C$3:$F$1223,2,0),"")</f>
        <v/>
      </c>
      <c r="C423" s="75"/>
      <c r="D423" s="73" t="str">
        <f>IFERROR(VLOOKUP(C423,[10]Sheet2!$C$1:$F$1223,3,0),"")</f>
        <v/>
      </c>
      <c r="E423" s="73" t="str">
        <f>IFERROR(VLOOKUP(C423,[10]Sheet2!$C$1:$F$1223,4,0),"")</f>
        <v/>
      </c>
      <c r="F423" s="75"/>
      <c r="G423" s="72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8"/>
      <c r="W423" s="44"/>
      <c r="X423" s="77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8"/>
    </row>
    <row r="424" spans="1:35">
      <c r="A424" s="44"/>
      <c r="B424" s="71" t="str">
        <f>IFERROR(VLOOKUP(C424,[10]Sheet2!$C$3:$F$1223,2,0),"")</f>
        <v/>
      </c>
      <c r="C424" s="75"/>
      <c r="D424" s="73" t="str">
        <f>IFERROR(VLOOKUP(C424,[10]Sheet2!$C$1:$F$1223,3,0),"")</f>
        <v/>
      </c>
      <c r="E424" s="73" t="str">
        <f>IFERROR(VLOOKUP(C424,[10]Sheet2!$C$1:$F$1223,4,0),"")</f>
        <v/>
      </c>
      <c r="F424" s="75"/>
      <c r="G424" s="72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8"/>
      <c r="W424" s="44"/>
      <c r="X424" s="77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8"/>
    </row>
    <row r="425" spans="1:35">
      <c r="A425" s="44"/>
      <c r="B425" s="71" t="str">
        <f>IFERROR(VLOOKUP(C425,[10]Sheet2!$C$3:$F$1223,2,0),"")</f>
        <v/>
      </c>
      <c r="C425" s="75"/>
      <c r="D425" s="73" t="str">
        <f>IFERROR(VLOOKUP(C425,[10]Sheet2!$C$1:$F$1223,3,0),"")</f>
        <v/>
      </c>
      <c r="E425" s="73" t="str">
        <f>IFERROR(VLOOKUP(C425,[10]Sheet2!$C$1:$F$1223,4,0),"")</f>
        <v/>
      </c>
      <c r="F425" s="75"/>
      <c r="G425" s="72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8"/>
      <c r="W425" s="44"/>
      <c r="X425" s="77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8"/>
    </row>
    <row r="426" spans="1:35">
      <c r="A426" s="44"/>
      <c r="B426" s="71" t="str">
        <f>IFERROR(VLOOKUP(C426,[10]Sheet2!$C$3:$F$1223,2,0),"")</f>
        <v/>
      </c>
      <c r="C426" s="75"/>
      <c r="D426" s="73" t="str">
        <f>IFERROR(VLOOKUP(C426,[10]Sheet2!$C$1:$F$1223,3,0),"")</f>
        <v/>
      </c>
      <c r="E426" s="73" t="str">
        <f>IFERROR(VLOOKUP(C426,[10]Sheet2!$C$1:$F$1223,4,0),"")</f>
        <v/>
      </c>
      <c r="F426" s="75"/>
      <c r="G426" s="72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8"/>
      <c r="W426" s="44"/>
      <c r="X426" s="77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8"/>
    </row>
    <row r="427" spans="1:35">
      <c r="A427" s="44"/>
      <c r="B427" s="71" t="str">
        <f>IFERROR(VLOOKUP(C427,[10]Sheet2!$C$3:$F$1223,2,0),"")</f>
        <v/>
      </c>
      <c r="C427" s="75"/>
      <c r="D427" s="73" t="str">
        <f>IFERROR(VLOOKUP(C427,[10]Sheet2!$C$1:$F$1223,3,0),"")</f>
        <v/>
      </c>
      <c r="E427" s="73" t="str">
        <f>IFERROR(VLOOKUP(C427,[10]Sheet2!$C$1:$F$1223,4,0),"")</f>
        <v/>
      </c>
      <c r="F427" s="75"/>
      <c r="G427" s="72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8"/>
      <c r="W427" s="44"/>
      <c r="X427" s="77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8"/>
    </row>
    <row r="428" spans="1:35">
      <c r="A428" s="44"/>
      <c r="B428" s="71" t="str">
        <f>IFERROR(VLOOKUP(C428,[10]Sheet2!$C$3:$F$1223,2,0),"")</f>
        <v/>
      </c>
      <c r="C428" s="75"/>
      <c r="D428" s="73" t="str">
        <f>IFERROR(VLOOKUP(C428,[10]Sheet2!$C$1:$F$1223,3,0),"")</f>
        <v/>
      </c>
      <c r="E428" s="73" t="str">
        <f>IFERROR(VLOOKUP(C428,[10]Sheet2!$C$1:$F$1223,4,0),"")</f>
        <v/>
      </c>
      <c r="F428" s="75"/>
      <c r="G428" s="72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8"/>
      <c r="W428" s="44"/>
      <c r="X428" s="77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8"/>
    </row>
    <row r="429" spans="1:35">
      <c r="A429" s="44"/>
      <c r="B429" s="71" t="str">
        <f>IFERROR(VLOOKUP(C429,[10]Sheet2!$C$3:$F$1223,2,0),"")</f>
        <v/>
      </c>
      <c r="C429" s="75"/>
      <c r="D429" s="73" t="str">
        <f>IFERROR(VLOOKUP(C429,[10]Sheet2!$C$1:$F$1223,3,0),"")</f>
        <v/>
      </c>
      <c r="E429" s="73" t="str">
        <f>IFERROR(VLOOKUP(C429,[10]Sheet2!$C$1:$F$1223,4,0),"")</f>
        <v/>
      </c>
      <c r="F429" s="75"/>
      <c r="G429" s="72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8"/>
      <c r="W429" s="44"/>
      <c r="X429" s="77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8"/>
    </row>
    <row r="430" spans="1:35">
      <c r="A430" s="44"/>
      <c r="B430" s="71" t="str">
        <f>IFERROR(VLOOKUP(C430,[10]Sheet2!$C$3:$F$1223,2,0),"")</f>
        <v/>
      </c>
      <c r="C430" s="75"/>
      <c r="D430" s="73" t="str">
        <f>IFERROR(VLOOKUP(C430,[10]Sheet2!$C$1:$F$1223,3,0),"")</f>
        <v/>
      </c>
      <c r="E430" s="73" t="str">
        <f>IFERROR(VLOOKUP(C430,[10]Sheet2!$C$1:$F$1223,4,0),"")</f>
        <v/>
      </c>
      <c r="F430" s="75"/>
      <c r="G430" s="72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8"/>
      <c r="W430" s="44"/>
      <c r="X430" s="77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8"/>
    </row>
    <row r="431" spans="1:35">
      <c r="A431" s="44"/>
      <c r="B431" s="71" t="str">
        <f>IFERROR(VLOOKUP(C431,[10]Sheet2!$C$3:$F$1223,2,0),"")</f>
        <v/>
      </c>
      <c r="C431" s="75"/>
      <c r="D431" s="73" t="str">
        <f>IFERROR(VLOOKUP(C431,[10]Sheet2!$C$1:$F$1223,3,0),"")</f>
        <v/>
      </c>
      <c r="E431" s="73" t="str">
        <f>IFERROR(VLOOKUP(C431,[10]Sheet2!$C$1:$F$1223,4,0),"")</f>
        <v/>
      </c>
      <c r="F431" s="75"/>
      <c r="G431" s="72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8"/>
      <c r="W431" s="44"/>
      <c r="X431" s="77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8"/>
    </row>
    <row r="432" spans="1:35">
      <c r="A432" s="44"/>
      <c r="B432" s="71" t="str">
        <f>IFERROR(VLOOKUP(C432,[10]Sheet2!$C$3:$F$1223,2,0),"")</f>
        <v/>
      </c>
      <c r="C432" s="75"/>
      <c r="D432" s="73" t="str">
        <f>IFERROR(VLOOKUP(C432,[10]Sheet2!$C$1:$F$1223,3,0),"")</f>
        <v/>
      </c>
      <c r="E432" s="73" t="str">
        <f>IFERROR(VLOOKUP(C432,[10]Sheet2!$C$1:$F$1223,4,0),"")</f>
        <v/>
      </c>
      <c r="F432" s="75"/>
      <c r="G432" s="72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8"/>
      <c r="W432" s="44"/>
      <c r="X432" s="77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8"/>
    </row>
    <row r="433" spans="1:35">
      <c r="A433" s="44"/>
      <c r="B433" s="71" t="str">
        <f>IFERROR(VLOOKUP(C433,[10]Sheet2!$C$3:$F$1223,2,0),"")</f>
        <v/>
      </c>
      <c r="C433" s="75"/>
      <c r="D433" s="73" t="str">
        <f>IFERROR(VLOOKUP(C433,[10]Sheet2!$C$1:$F$1223,3,0),"")</f>
        <v/>
      </c>
      <c r="E433" s="73" t="str">
        <f>IFERROR(VLOOKUP(C433,[10]Sheet2!$C$1:$F$1223,4,0),"")</f>
        <v/>
      </c>
      <c r="F433" s="75"/>
      <c r="G433" s="72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8"/>
      <c r="W433" s="44"/>
      <c r="X433" s="77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8"/>
    </row>
    <row r="434" spans="1:35">
      <c r="A434" s="44"/>
      <c r="B434" s="71" t="str">
        <f>IFERROR(VLOOKUP(C434,[10]Sheet2!$C$3:$F$1223,2,0),"")</f>
        <v/>
      </c>
      <c r="C434" s="75"/>
      <c r="D434" s="73" t="str">
        <f>IFERROR(VLOOKUP(C434,[10]Sheet2!$C$1:$F$1223,3,0),"")</f>
        <v/>
      </c>
      <c r="E434" s="73" t="str">
        <f>IFERROR(VLOOKUP(C434,[10]Sheet2!$C$1:$F$1223,4,0),"")</f>
        <v/>
      </c>
      <c r="F434" s="75"/>
      <c r="G434" s="72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8"/>
      <c r="W434" s="44"/>
      <c r="X434" s="77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8"/>
    </row>
    <row r="435" spans="1:35">
      <c r="A435" s="44"/>
      <c r="B435" s="71" t="str">
        <f>IFERROR(VLOOKUP(C435,[10]Sheet2!$C$3:$F$1223,2,0),"")</f>
        <v/>
      </c>
      <c r="C435" s="75"/>
      <c r="D435" s="73" t="str">
        <f>IFERROR(VLOOKUP(C435,[10]Sheet2!$C$1:$F$1223,3,0),"")</f>
        <v/>
      </c>
      <c r="E435" s="73" t="str">
        <f>IFERROR(VLOOKUP(C435,[10]Sheet2!$C$1:$F$1223,4,0),"")</f>
        <v/>
      </c>
      <c r="F435" s="75"/>
      <c r="G435" s="72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8"/>
      <c r="W435" s="44"/>
      <c r="X435" s="77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8"/>
    </row>
    <row r="436" spans="1:35">
      <c r="A436" s="44"/>
      <c r="B436" s="71" t="str">
        <f>IFERROR(VLOOKUP(C436,[10]Sheet2!$C$3:$F$1223,2,0),"")</f>
        <v/>
      </c>
      <c r="C436" s="75"/>
      <c r="D436" s="73" t="str">
        <f>IFERROR(VLOOKUP(C436,[10]Sheet2!$C$1:$F$1223,3,0),"")</f>
        <v/>
      </c>
      <c r="E436" s="73" t="str">
        <f>IFERROR(VLOOKUP(C436,[10]Sheet2!$C$1:$F$1223,4,0),"")</f>
        <v/>
      </c>
      <c r="F436" s="75"/>
      <c r="G436" s="72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8"/>
      <c r="W436" s="44"/>
      <c r="X436" s="77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8"/>
    </row>
    <row r="437" spans="1:35">
      <c r="A437" s="44"/>
      <c r="B437" s="71" t="str">
        <f>IFERROR(VLOOKUP(C437,[10]Sheet2!$C$3:$F$1223,2,0),"")</f>
        <v/>
      </c>
      <c r="C437" s="75"/>
      <c r="D437" s="73" t="str">
        <f>IFERROR(VLOOKUP(C437,[10]Sheet2!$C$1:$F$1223,3,0),"")</f>
        <v/>
      </c>
      <c r="E437" s="73" t="str">
        <f>IFERROR(VLOOKUP(C437,[10]Sheet2!$C$1:$F$1223,4,0),"")</f>
        <v/>
      </c>
      <c r="F437" s="75"/>
      <c r="G437" s="72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8"/>
      <c r="W437" s="44"/>
      <c r="X437" s="77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8"/>
    </row>
    <row r="438" spans="1:35">
      <c r="A438" s="44"/>
      <c r="B438" s="71" t="str">
        <f>IFERROR(VLOOKUP(C438,[10]Sheet2!$C$3:$F$1223,2,0),"")</f>
        <v/>
      </c>
      <c r="C438" s="75"/>
      <c r="D438" s="73" t="str">
        <f>IFERROR(VLOOKUP(C438,[10]Sheet2!$C$1:$F$1223,3,0),"")</f>
        <v/>
      </c>
      <c r="E438" s="73" t="str">
        <f>IFERROR(VLOOKUP(C438,[10]Sheet2!$C$1:$F$1223,4,0),"")</f>
        <v/>
      </c>
      <c r="F438" s="75"/>
      <c r="G438" s="72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8"/>
      <c r="W438" s="44"/>
      <c r="X438" s="77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8"/>
    </row>
    <row r="439" spans="1:35">
      <c r="A439" s="44"/>
      <c r="B439" s="71" t="str">
        <f>IFERROR(VLOOKUP(C439,[10]Sheet2!$C$3:$F$1223,2,0),"")</f>
        <v/>
      </c>
      <c r="C439" s="75"/>
      <c r="D439" s="73" t="str">
        <f>IFERROR(VLOOKUP(C439,[10]Sheet2!$C$1:$F$1223,3,0),"")</f>
        <v/>
      </c>
      <c r="E439" s="73" t="str">
        <f>IFERROR(VLOOKUP(C439,[10]Sheet2!$C$1:$F$1223,4,0),"")</f>
        <v/>
      </c>
      <c r="F439" s="75"/>
      <c r="G439" s="72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8"/>
      <c r="W439" s="44"/>
      <c r="X439" s="77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8"/>
    </row>
    <row r="440" spans="1:35">
      <c r="A440" s="44"/>
      <c r="B440" s="71" t="str">
        <f>IFERROR(VLOOKUP(C440,[10]Sheet2!$C$3:$F$1223,2,0),"")</f>
        <v/>
      </c>
      <c r="C440" s="75"/>
      <c r="D440" s="73" t="str">
        <f>IFERROR(VLOOKUP(C440,[10]Sheet2!$C$1:$F$1223,3,0),"")</f>
        <v/>
      </c>
      <c r="E440" s="73" t="str">
        <f>IFERROR(VLOOKUP(C440,[10]Sheet2!$C$1:$F$1223,4,0),"")</f>
        <v/>
      </c>
      <c r="F440" s="75"/>
      <c r="G440" s="72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8"/>
      <c r="W440" s="44"/>
      <c r="X440" s="77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8"/>
    </row>
    <row r="441" spans="1:35">
      <c r="A441" s="44"/>
      <c r="B441" s="71" t="str">
        <f>IFERROR(VLOOKUP(C441,[10]Sheet2!$C$3:$F$1223,2,0),"")</f>
        <v/>
      </c>
      <c r="C441" s="75"/>
      <c r="D441" s="73" t="str">
        <f>IFERROR(VLOOKUP(C441,[10]Sheet2!$C$1:$F$1223,3,0),"")</f>
        <v/>
      </c>
      <c r="E441" s="73" t="str">
        <f>IFERROR(VLOOKUP(C441,[10]Sheet2!$C$1:$F$1223,4,0),"")</f>
        <v/>
      </c>
      <c r="F441" s="75"/>
      <c r="G441" s="72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8"/>
      <c r="W441" s="44"/>
      <c r="X441" s="77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8"/>
    </row>
    <row r="442" spans="1:35">
      <c r="A442" s="44"/>
      <c r="B442" s="71" t="str">
        <f>IFERROR(VLOOKUP(C442,[10]Sheet2!$C$3:$F$1223,2,0),"")</f>
        <v/>
      </c>
      <c r="C442" s="75"/>
      <c r="D442" s="73" t="str">
        <f>IFERROR(VLOOKUP(C442,[10]Sheet2!$C$1:$F$1223,3,0),"")</f>
        <v/>
      </c>
      <c r="E442" s="73" t="str">
        <f>IFERROR(VLOOKUP(C442,[10]Sheet2!$C$1:$F$1223,4,0),"")</f>
        <v/>
      </c>
      <c r="F442" s="75"/>
      <c r="G442" s="72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8"/>
      <c r="W442" s="44"/>
      <c r="X442" s="77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8"/>
    </row>
    <row r="443" spans="1:35">
      <c r="A443" s="44"/>
      <c r="B443" s="71" t="str">
        <f>IFERROR(VLOOKUP(C443,[10]Sheet2!$C$3:$F$1223,2,0),"")</f>
        <v/>
      </c>
      <c r="C443" s="75"/>
      <c r="D443" s="73" t="str">
        <f>IFERROR(VLOOKUP(C443,[10]Sheet2!$C$1:$F$1223,3,0),"")</f>
        <v/>
      </c>
      <c r="E443" s="73" t="str">
        <f>IFERROR(VLOOKUP(C443,[10]Sheet2!$C$1:$F$1223,4,0),"")</f>
        <v/>
      </c>
      <c r="F443" s="75"/>
      <c r="G443" s="72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8"/>
      <c r="W443" s="44"/>
      <c r="X443" s="77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8"/>
    </row>
    <row r="444" spans="1:35">
      <c r="A444" s="44"/>
      <c r="B444" s="71" t="str">
        <f>IFERROR(VLOOKUP(C444,[10]Sheet2!$C$3:$F$1223,2,0),"")</f>
        <v/>
      </c>
      <c r="C444" s="75"/>
      <c r="D444" s="73" t="str">
        <f>IFERROR(VLOOKUP(C444,[10]Sheet2!$C$1:$F$1223,3,0),"")</f>
        <v/>
      </c>
      <c r="E444" s="73" t="str">
        <f>IFERROR(VLOOKUP(C444,[10]Sheet2!$C$1:$F$1223,4,0),"")</f>
        <v/>
      </c>
      <c r="F444" s="75"/>
      <c r="G444" s="72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8"/>
      <c r="W444" s="44"/>
      <c r="X444" s="77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8"/>
    </row>
    <row r="445" spans="1:35">
      <c r="A445" s="44"/>
      <c r="B445" s="71" t="str">
        <f>IFERROR(VLOOKUP(C445,[10]Sheet2!$C$3:$F$1223,2,0),"")</f>
        <v/>
      </c>
      <c r="C445" s="75"/>
      <c r="D445" s="73" t="str">
        <f>IFERROR(VLOOKUP(C445,[10]Sheet2!$C$1:$F$1223,3,0),"")</f>
        <v/>
      </c>
      <c r="E445" s="73" t="str">
        <f>IFERROR(VLOOKUP(C445,[10]Sheet2!$C$1:$F$1223,4,0),"")</f>
        <v/>
      </c>
      <c r="F445" s="75"/>
      <c r="G445" s="72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8"/>
      <c r="W445" s="44"/>
      <c r="X445" s="77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8"/>
    </row>
    <row r="446" spans="1:35">
      <c r="A446" s="44"/>
      <c r="B446" s="71" t="str">
        <f>IFERROR(VLOOKUP(C446,[10]Sheet2!$C$3:$F$1223,2,0),"")</f>
        <v/>
      </c>
      <c r="C446" s="75"/>
      <c r="D446" s="73" t="str">
        <f>IFERROR(VLOOKUP(C446,[10]Sheet2!$C$1:$F$1223,3,0),"")</f>
        <v/>
      </c>
      <c r="E446" s="73" t="str">
        <f>IFERROR(VLOOKUP(C446,[10]Sheet2!$C$1:$F$1223,4,0),"")</f>
        <v/>
      </c>
      <c r="F446" s="75"/>
      <c r="G446" s="72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8"/>
      <c r="W446" s="44"/>
      <c r="X446" s="77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8"/>
    </row>
    <row r="447" spans="1:35">
      <c r="A447" s="44"/>
      <c r="B447" s="71" t="str">
        <f>IFERROR(VLOOKUP(C447,[10]Sheet2!$C$3:$F$1223,2,0),"")</f>
        <v/>
      </c>
      <c r="C447" s="75"/>
      <c r="D447" s="73" t="str">
        <f>IFERROR(VLOOKUP(C447,[10]Sheet2!$C$1:$F$1223,3,0),"")</f>
        <v/>
      </c>
      <c r="E447" s="73" t="str">
        <f>IFERROR(VLOOKUP(C447,[10]Sheet2!$C$1:$F$1223,4,0),"")</f>
        <v/>
      </c>
      <c r="F447" s="75"/>
      <c r="G447" s="72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8"/>
      <c r="W447" s="44"/>
      <c r="X447" s="77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8"/>
    </row>
    <row r="448" spans="1:35">
      <c r="A448" s="44"/>
      <c r="B448" s="71" t="str">
        <f>IFERROR(VLOOKUP(C448,[10]Sheet2!$C$3:$F$1223,2,0),"")</f>
        <v/>
      </c>
      <c r="C448" s="75"/>
      <c r="D448" s="73" t="str">
        <f>IFERROR(VLOOKUP(C448,[10]Sheet2!$C$1:$F$1223,3,0),"")</f>
        <v/>
      </c>
      <c r="E448" s="73" t="str">
        <f>IFERROR(VLOOKUP(C448,[10]Sheet2!$C$1:$F$1223,4,0),"")</f>
        <v/>
      </c>
      <c r="F448" s="75"/>
      <c r="G448" s="72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8"/>
      <c r="W448" s="44"/>
      <c r="X448" s="77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8"/>
    </row>
    <row r="449" spans="1:35">
      <c r="A449" s="44"/>
      <c r="B449" s="71" t="str">
        <f>IFERROR(VLOOKUP(C449,[10]Sheet2!$C$3:$F$1223,2,0),"")</f>
        <v/>
      </c>
      <c r="C449" s="75"/>
      <c r="D449" s="73" t="str">
        <f>IFERROR(VLOOKUP(C449,[10]Sheet2!$C$1:$F$1223,3,0),"")</f>
        <v/>
      </c>
      <c r="E449" s="73" t="str">
        <f>IFERROR(VLOOKUP(C449,[10]Sheet2!$C$1:$F$1223,4,0),"")</f>
        <v/>
      </c>
      <c r="F449" s="75"/>
      <c r="G449" s="72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8"/>
      <c r="W449" s="44"/>
      <c r="X449" s="77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8"/>
    </row>
    <row r="450" spans="1:35">
      <c r="A450" s="44"/>
      <c r="B450" s="71" t="str">
        <f>IFERROR(VLOOKUP(C450,[10]Sheet2!$C$3:$F$1223,2,0),"")</f>
        <v/>
      </c>
      <c r="C450" s="75"/>
      <c r="D450" s="73" t="str">
        <f>IFERROR(VLOOKUP(C450,[10]Sheet2!$C$1:$F$1223,3,0),"")</f>
        <v/>
      </c>
      <c r="E450" s="73" t="str">
        <f>IFERROR(VLOOKUP(C450,[10]Sheet2!$C$1:$F$1223,4,0),"")</f>
        <v/>
      </c>
      <c r="F450" s="75"/>
      <c r="G450" s="72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8"/>
      <c r="W450" s="44"/>
      <c r="X450" s="77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8"/>
    </row>
    <row r="451" spans="1:35">
      <c r="A451" s="44"/>
      <c r="B451" s="71" t="str">
        <f>IFERROR(VLOOKUP(C451,[10]Sheet2!$C$3:$F$1223,2,0),"")</f>
        <v/>
      </c>
      <c r="C451" s="75"/>
      <c r="D451" s="73" t="str">
        <f>IFERROR(VLOOKUP(C451,[10]Sheet2!$C$1:$F$1223,3,0),"")</f>
        <v/>
      </c>
      <c r="E451" s="73" t="str">
        <f>IFERROR(VLOOKUP(C451,[10]Sheet2!$C$1:$F$1223,4,0),"")</f>
        <v/>
      </c>
      <c r="F451" s="75"/>
      <c r="G451" s="72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8"/>
      <c r="W451" s="44"/>
      <c r="X451" s="77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8"/>
    </row>
    <row r="452" spans="1:35">
      <c r="A452" s="44"/>
      <c r="B452" s="71" t="str">
        <f>IFERROR(VLOOKUP(C452,[10]Sheet2!$C$3:$F$1223,2,0),"")</f>
        <v/>
      </c>
      <c r="C452" s="75"/>
      <c r="D452" s="73" t="str">
        <f>IFERROR(VLOOKUP(C452,[10]Sheet2!$C$1:$F$1223,3,0),"")</f>
        <v/>
      </c>
      <c r="E452" s="73" t="str">
        <f>IFERROR(VLOOKUP(C452,[10]Sheet2!$C$1:$F$1223,4,0),"")</f>
        <v/>
      </c>
      <c r="F452" s="75"/>
      <c r="G452" s="72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8"/>
      <c r="W452" s="44"/>
      <c r="X452" s="77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8"/>
    </row>
    <row r="453" spans="1:35">
      <c r="A453" s="44"/>
      <c r="B453" s="71" t="str">
        <f>IFERROR(VLOOKUP(C453,[10]Sheet2!$C$3:$F$1223,2,0),"")</f>
        <v/>
      </c>
      <c r="C453" s="75"/>
      <c r="D453" s="73" t="str">
        <f>IFERROR(VLOOKUP(C453,[10]Sheet2!$C$1:$F$1223,3,0),"")</f>
        <v/>
      </c>
      <c r="E453" s="73" t="str">
        <f>IFERROR(VLOOKUP(C453,[10]Sheet2!$C$1:$F$1223,4,0),"")</f>
        <v/>
      </c>
      <c r="F453" s="75"/>
      <c r="G453" s="72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8"/>
      <c r="W453" s="44"/>
      <c r="X453" s="77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8"/>
    </row>
    <row r="454" spans="1:35">
      <c r="A454" s="44"/>
      <c r="B454" s="71" t="str">
        <f>IFERROR(VLOOKUP(C454,[10]Sheet2!$C$3:$F$1223,2,0),"")</f>
        <v/>
      </c>
      <c r="C454" s="75"/>
      <c r="D454" s="73" t="str">
        <f>IFERROR(VLOOKUP(C454,[10]Sheet2!$C$1:$F$1223,3,0),"")</f>
        <v/>
      </c>
      <c r="E454" s="73" t="str">
        <f>IFERROR(VLOOKUP(C454,[10]Sheet2!$C$1:$F$1223,4,0),"")</f>
        <v/>
      </c>
      <c r="F454" s="75"/>
      <c r="G454" s="72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8"/>
      <c r="W454" s="44"/>
      <c r="X454" s="77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8"/>
    </row>
    <row r="455" spans="1:35">
      <c r="A455" s="44"/>
      <c r="B455" s="71" t="str">
        <f>IFERROR(VLOOKUP(C455,[10]Sheet2!$C$3:$F$1223,2,0),"")</f>
        <v/>
      </c>
      <c r="C455" s="75"/>
      <c r="D455" s="73" t="str">
        <f>IFERROR(VLOOKUP(C455,[10]Sheet2!$C$1:$F$1223,3,0),"")</f>
        <v/>
      </c>
      <c r="E455" s="73" t="str">
        <f>IFERROR(VLOOKUP(C455,[10]Sheet2!$C$1:$F$1223,4,0),"")</f>
        <v/>
      </c>
      <c r="F455" s="75"/>
      <c r="G455" s="72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8"/>
      <c r="W455" s="44"/>
      <c r="X455" s="77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8"/>
    </row>
    <row r="456" spans="1:35">
      <c r="A456" s="44"/>
      <c r="B456" s="71" t="str">
        <f>IFERROR(VLOOKUP(C456,[10]Sheet2!$C$3:$F$1223,2,0),"")</f>
        <v/>
      </c>
      <c r="C456" s="75"/>
      <c r="D456" s="73" t="str">
        <f>IFERROR(VLOOKUP(C456,[10]Sheet2!$C$1:$F$1223,3,0),"")</f>
        <v/>
      </c>
      <c r="E456" s="73" t="str">
        <f>IFERROR(VLOOKUP(C456,[10]Sheet2!$C$1:$F$1223,4,0),"")</f>
        <v/>
      </c>
      <c r="F456" s="75"/>
      <c r="G456" s="72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8"/>
      <c r="W456" s="44"/>
      <c r="X456" s="77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8"/>
    </row>
    <row r="457" spans="1:35">
      <c r="A457" s="44"/>
      <c r="B457" s="71" t="str">
        <f>IFERROR(VLOOKUP(C457,[10]Sheet2!$C$3:$F$1223,2,0),"")</f>
        <v/>
      </c>
      <c r="C457" s="75"/>
      <c r="D457" s="73" t="str">
        <f>IFERROR(VLOOKUP(C457,[10]Sheet2!$C$1:$F$1223,3,0),"")</f>
        <v/>
      </c>
      <c r="E457" s="73" t="str">
        <f>IFERROR(VLOOKUP(C457,[10]Sheet2!$C$1:$F$1223,4,0),"")</f>
        <v/>
      </c>
      <c r="F457" s="75"/>
      <c r="G457" s="72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8"/>
      <c r="W457" s="44"/>
      <c r="X457" s="77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8"/>
    </row>
    <row r="458" spans="1:35">
      <c r="A458" s="44"/>
      <c r="B458" s="71" t="str">
        <f>IFERROR(VLOOKUP(C458,[10]Sheet2!$C$3:$F$1223,2,0),"")</f>
        <v/>
      </c>
      <c r="C458" s="75"/>
      <c r="D458" s="73" t="str">
        <f>IFERROR(VLOOKUP(C458,[10]Sheet2!$C$1:$F$1223,3,0),"")</f>
        <v/>
      </c>
      <c r="E458" s="73" t="str">
        <f>IFERROR(VLOOKUP(C458,[10]Sheet2!$C$1:$F$1223,4,0),"")</f>
        <v/>
      </c>
      <c r="F458" s="75"/>
      <c r="G458" s="72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8"/>
      <c r="W458" s="44"/>
      <c r="X458" s="77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8"/>
    </row>
    <row r="459" spans="1:35">
      <c r="A459" s="44"/>
      <c r="B459" s="71" t="str">
        <f>IFERROR(VLOOKUP(C459,[10]Sheet2!$C$3:$F$1223,2,0),"")</f>
        <v/>
      </c>
      <c r="C459" s="75"/>
      <c r="D459" s="73" t="str">
        <f>IFERROR(VLOOKUP(C459,[10]Sheet2!$C$1:$F$1223,3,0),"")</f>
        <v/>
      </c>
      <c r="E459" s="73" t="str">
        <f>IFERROR(VLOOKUP(C459,[10]Sheet2!$C$1:$F$1223,4,0),"")</f>
        <v/>
      </c>
      <c r="F459" s="75"/>
      <c r="G459" s="72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8"/>
      <c r="W459" s="44"/>
      <c r="X459" s="77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8"/>
    </row>
    <row r="460" spans="1:35">
      <c r="A460" s="44"/>
      <c r="B460" s="71" t="str">
        <f>IFERROR(VLOOKUP(C460,[10]Sheet2!$C$3:$F$1223,2,0),"")</f>
        <v/>
      </c>
      <c r="C460" s="75"/>
      <c r="D460" s="73" t="str">
        <f>IFERROR(VLOOKUP(C460,[10]Sheet2!$C$1:$F$1223,3,0),"")</f>
        <v/>
      </c>
      <c r="E460" s="73" t="str">
        <f>IFERROR(VLOOKUP(C460,[10]Sheet2!$C$1:$F$1223,4,0),"")</f>
        <v/>
      </c>
      <c r="F460" s="75"/>
      <c r="G460" s="72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8"/>
      <c r="W460" s="44"/>
      <c r="X460" s="77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8"/>
    </row>
    <row r="461" spans="1:35">
      <c r="A461" s="44"/>
      <c r="B461" s="71" t="str">
        <f>IFERROR(VLOOKUP(C461,[10]Sheet2!$C$3:$F$1223,2,0),"")</f>
        <v/>
      </c>
      <c r="C461" s="75"/>
      <c r="D461" s="73" t="str">
        <f>IFERROR(VLOOKUP(C461,[10]Sheet2!$C$1:$F$1223,3,0),"")</f>
        <v/>
      </c>
      <c r="E461" s="73" t="str">
        <f>IFERROR(VLOOKUP(C461,[10]Sheet2!$C$1:$F$1223,4,0),"")</f>
        <v/>
      </c>
      <c r="F461" s="75"/>
      <c r="G461" s="72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8"/>
      <c r="W461" s="44"/>
      <c r="X461" s="77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8"/>
    </row>
    <row r="462" spans="1:35">
      <c r="A462" s="44"/>
      <c r="B462" s="71" t="str">
        <f>IFERROR(VLOOKUP(C462,[10]Sheet2!$C$3:$F$1223,2,0),"")</f>
        <v/>
      </c>
      <c r="C462" s="75"/>
      <c r="D462" s="73" t="str">
        <f>IFERROR(VLOOKUP(C462,[10]Sheet2!$C$1:$F$1223,3,0),"")</f>
        <v/>
      </c>
      <c r="E462" s="73" t="str">
        <f>IFERROR(VLOOKUP(C462,[10]Sheet2!$C$1:$F$1223,4,0),"")</f>
        <v/>
      </c>
      <c r="F462" s="75"/>
      <c r="G462" s="72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8"/>
      <c r="W462" s="44"/>
      <c r="X462" s="77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8"/>
    </row>
    <row r="463" spans="1:35">
      <c r="A463" s="44"/>
      <c r="B463" s="71" t="str">
        <f>IFERROR(VLOOKUP(C463,[10]Sheet2!$C$3:$F$1223,2,0),"")</f>
        <v/>
      </c>
      <c r="C463" s="75"/>
      <c r="D463" s="73" t="str">
        <f>IFERROR(VLOOKUP(C463,[10]Sheet2!$C$1:$F$1223,3,0),"")</f>
        <v/>
      </c>
      <c r="E463" s="73" t="str">
        <f>IFERROR(VLOOKUP(C463,[10]Sheet2!$C$1:$F$1223,4,0),"")</f>
        <v/>
      </c>
      <c r="F463" s="75"/>
      <c r="G463" s="72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8"/>
      <c r="W463" s="44"/>
      <c r="X463" s="77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8"/>
    </row>
    <row r="464" spans="1:35">
      <c r="A464" s="44"/>
      <c r="B464" s="71" t="str">
        <f>IFERROR(VLOOKUP(C464,[10]Sheet2!$C$3:$F$1223,2,0),"")</f>
        <v/>
      </c>
      <c r="C464" s="75"/>
      <c r="D464" s="73" t="str">
        <f>IFERROR(VLOOKUP(C464,[10]Sheet2!$C$1:$F$1223,3,0),"")</f>
        <v/>
      </c>
      <c r="E464" s="73" t="str">
        <f>IFERROR(VLOOKUP(C464,[10]Sheet2!$C$1:$F$1223,4,0),"")</f>
        <v/>
      </c>
      <c r="F464" s="75"/>
      <c r="G464" s="72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8"/>
      <c r="W464" s="44"/>
      <c r="X464" s="77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8"/>
    </row>
    <row r="465" spans="1:35">
      <c r="A465" s="44"/>
      <c r="B465" s="71" t="str">
        <f>IFERROR(VLOOKUP(C465,[10]Sheet2!$C$3:$F$1223,2,0),"")</f>
        <v/>
      </c>
      <c r="C465" s="75"/>
      <c r="D465" s="73" t="str">
        <f>IFERROR(VLOOKUP(C465,[10]Sheet2!$C$1:$F$1223,3,0),"")</f>
        <v/>
      </c>
      <c r="E465" s="73" t="str">
        <f>IFERROR(VLOOKUP(C465,[10]Sheet2!$C$1:$F$1223,4,0),"")</f>
        <v/>
      </c>
      <c r="F465" s="75"/>
      <c r="G465" s="72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8"/>
      <c r="W465" s="44"/>
      <c r="X465" s="77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8"/>
    </row>
    <row r="466" spans="1:35">
      <c r="A466" s="44"/>
      <c r="B466" s="71" t="str">
        <f>IFERROR(VLOOKUP(C466,[10]Sheet2!$C$3:$F$1223,2,0),"")</f>
        <v/>
      </c>
      <c r="C466" s="75"/>
      <c r="D466" s="73" t="str">
        <f>IFERROR(VLOOKUP(C466,[10]Sheet2!$C$1:$F$1223,3,0),"")</f>
        <v/>
      </c>
      <c r="E466" s="73" t="str">
        <f>IFERROR(VLOOKUP(C466,[10]Sheet2!$C$1:$F$1223,4,0),"")</f>
        <v/>
      </c>
      <c r="F466" s="75"/>
      <c r="G466" s="72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8"/>
      <c r="W466" s="44"/>
      <c r="X466" s="77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8"/>
    </row>
    <row r="467" spans="1:35">
      <c r="A467" s="44"/>
      <c r="B467" s="71" t="str">
        <f>IFERROR(VLOOKUP(C467,[10]Sheet2!$C$3:$F$1223,2,0),"")</f>
        <v/>
      </c>
      <c r="C467" s="75"/>
      <c r="D467" s="73" t="str">
        <f>IFERROR(VLOOKUP(C467,[10]Sheet2!$C$1:$F$1223,3,0),"")</f>
        <v/>
      </c>
      <c r="E467" s="73" t="str">
        <f>IFERROR(VLOOKUP(C467,[10]Sheet2!$C$1:$F$1223,4,0),"")</f>
        <v/>
      </c>
      <c r="F467" s="75"/>
      <c r="G467" s="72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8"/>
      <c r="W467" s="44"/>
      <c r="X467" s="77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8"/>
    </row>
    <row r="468" spans="1:35">
      <c r="A468" s="44"/>
      <c r="B468" s="71" t="str">
        <f>IFERROR(VLOOKUP(C468,[10]Sheet2!$C$3:$F$1223,2,0),"")</f>
        <v/>
      </c>
      <c r="C468" s="75"/>
      <c r="D468" s="73" t="str">
        <f>IFERROR(VLOOKUP(C468,[10]Sheet2!$C$1:$F$1223,3,0),"")</f>
        <v/>
      </c>
      <c r="E468" s="73" t="str">
        <f>IFERROR(VLOOKUP(C468,[10]Sheet2!$C$1:$F$1223,4,0),"")</f>
        <v/>
      </c>
      <c r="F468" s="75"/>
      <c r="G468" s="72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8"/>
      <c r="W468" s="44"/>
      <c r="X468" s="77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8"/>
    </row>
    <row r="469" spans="1:35">
      <c r="A469" s="44"/>
      <c r="B469" s="71" t="str">
        <f>IFERROR(VLOOKUP(C469,[10]Sheet2!$C$3:$F$1223,2,0),"")</f>
        <v/>
      </c>
      <c r="C469" s="75"/>
      <c r="D469" s="73" t="str">
        <f>IFERROR(VLOOKUP(C469,[10]Sheet2!$C$1:$F$1223,3,0),"")</f>
        <v/>
      </c>
      <c r="E469" s="73" t="str">
        <f>IFERROR(VLOOKUP(C469,[10]Sheet2!$C$1:$F$1223,4,0),"")</f>
        <v/>
      </c>
      <c r="F469" s="75"/>
      <c r="G469" s="72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8"/>
      <c r="W469" s="44"/>
      <c r="X469" s="77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8"/>
    </row>
    <row r="470" spans="1:35">
      <c r="A470" s="44"/>
      <c r="B470" s="71" t="str">
        <f>IFERROR(VLOOKUP(C470,[10]Sheet2!$C$3:$F$1223,2,0),"")</f>
        <v/>
      </c>
      <c r="C470" s="75"/>
      <c r="D470" s="73" t="str">
        <f>IFERROR(VLOOKUP(C470,[10]Sheet2!$C$1:$F$1223,3,0),"")</f>
        <v/>
      </c>
      <c r="E470" s="73" t="str">
        <f>IFERROR(VLOOKUP(C470,[10]Sheet2!$C$1:$F$1223,4,0),"")</f>
        <v/>
      </c>
      <c r="F470" s="75"/>
      <c r="G470" s="72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8"/>
      <c r="W470" s="44"/>
      <c r="X470" s="77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8"/>
    </row>
    <row r="471" spans="1:35">
      <c r="A471" s="44"/>
      <c r="B471" s="71" t="str">
        <f>IFERROR(VLOOKUP(C471,[10]Sheet2!$C$3:$F$1223,2,0),"")</f>
        <v/>
      </c>
      <c r="C471" s="75"/>
      <c r="D471" s="73" t="str">
        <f>IFERROR(VLOOKUP(C471,[10]Sheet2!$C$1:$F$1223,3,0),"")</f>
        <v/>
      </c>
      <c r="E471" s="73" t="str">
        <f>IFERROR(VLOOKUP(C471,[10]Sheet2!$C$1:$F$1223,4,0),"")</f>
        <v/>
      </c>
      <c r="F471" s="75"/>
      <c r="G471" s="72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8"/>
      <c r="W471" s="44"/>
      <c r="X471" s="77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8"/>
    </row>
    <row r="472" spans="1:35">
      <c r="A472" s="44"/>
      <c r="B472" s="71" t="str">
        <f>IFERROR(VLOOKUP(C472,[10]Sheet2!$C$3:$F$1223,2,0),"")</f>
        <v/>
      </c>
      <c r="C472" s="75"/>
      <c r="D472" s="73" t="str">
        <f>IFERROR(VLOOKUP(C472,[10]Sheet2!$C$1:$F$1223,3,0),"")</f>
        <v/>
      </c>
      <c r="E472" s="73" t="str">
        <f>IFERROR(VLOOKUP(C472,[10]Sheet2!$C$1:$F$1223,4,0),"")</f>
        <v/>
      </c>
      <c r="F472" s="75"/>
      <c r="G472" s="72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8"/>
      <c r="W472" s="44"/>
      <c r="X472" s="77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8"/>
    </row>
    <row r="473" spans="1:35">
      <c r="A473" s="44"/>
      <c r="B473" s="71" t="str">
        <f>IFERROR(VLOOKUP(C473,[10]Sheet2!$C$3:$F$1223,2,0),"")</f>
        <v/>
      </c>
      <c r="C473" s="75"/>
      <c r="D473" s="73" t="str">
        <f>IFERROR(VLOOKUP(C473,[10]Sheet2!$C$1:$F$1223,3,0),"")</f>
        <v/>
      </c>
      <c r="E473" s="73" t="str">
        <f>IFERROR(VLOOKUP(C473,[10]Sheet2!$C$1:$F$1223,4,0),"")</f>
        <v/>
      </c>
      <c r="F473" s="75"/>
      <c r="G473" s="72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8"/>
      <c r="W473" s="44"/>
      <c r="X473" s="77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8"/>
    </row>
    <row r="474" spans="1:35">
      <c r="A474" s="44"/>
      <c r="B474" s="71" t="str">
        <f>IFERROR(VLOOKUP(C474,[10]Sheet2!$C$3:$F$1223,2,0),"")</f>
        <v/>
      </c>
      <c r="C474" s="75"/>
      <c r="D474" s="73" t="str">
        <f>IFERROR(VLOOKUP(C474,[10]Sheet2!$C$1:$F$1223,3,0),"")</f>
        <v/>
      </c>
      <c r="E474" s="73" t="str">
        <f>IFERROR(VLOOKUP(C474,[10]Sheet2!$C$1:$F$1223,4,0),"")</f>
        <v/>
      </c>
      <c r="F474" s="75"/>
      <c r="G474" s="72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8"/>
      <c r="W474" s="44"/>
      <c r="X474" s="77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8"/>
    </row>
    <row r="475" spans="1:35">
      <c r="A475" s="44"/>
      <c r="B475" s="71" t="str">
        <f>IFERROR(VLOOKUP(C475,[10]Sheet2!$C$3:$F$1223,2,0),"")</f>
        <v/>
      </c>
      <c r="C475" s="75"/>
      <c r="D475" s="73" t="str">
        <f>IFERROR(VLOOKUP(C475,[10]Sheet2!$C$1:$F$1223,3,0),"")</f>
        <v/>
      </c>
      <c r="E475" s="73" t="str">
        <f>IFERROR(VLOOKUP(C475,[10]Sheet2!$C$1:$F$1223,4,0),"")</f>
        <v/>
      </c>
      <c r="F475" s="75"/>
      <c r="G475" s="72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8"/>
      <c r="W475" s="44"/>
      <c r="X475" s="77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8"/>
    </row>
    <row r="476" spans="1:35">
      <c r="A476" s="44"/>
      <c r="B476" s="71" t="str">
        <f>IFERROR(VLOOKUP(C476,[10]Sheet2!$C$3:$F$1223,2,0),"")</f>
        <v/>
      </c>
      <c r="C476" s="75"/>
      <c r="D476" s="73" t="str">
        <f>IFERROR(VLOOKUP(C476,[10]Sheet2!$C$1:$F$1223,3,0),"")</f>
        <v/>
      </c>
      <c r="E476" s="73" t="str">
        <f>IFERROR(VLOOKUP(C476,[10]Sheet2!$C$1:$F$1223,4,0),"")</f>
        <v/>
      </c>
      <c r="F476" s="75"/>
      <c r="G476" s="72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8"/>
      <c r="W476" s="44"/>
      <c r="X476" s="77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8"/>
    </row>
    <row r="477" spans="1:35">
      <c r="A477" s="44"/>
      <c r="B477" s="71" t="str">
        <f>IFERROR(VLOOKUP(C477,[10]Sheet2!$C$3:$F$1223,2,0),"")</f>
        <v/>
      </c>
      <c r="C477" s="75"/>
      <c r="D477" s="73" t="str">
        <f>IFERROR(VLOOKUP(C477,[10]Sheet2!$C$1:$F$1223,3,0),"")</f>
        <v/>
      </c>
      <c r="E477" s="73" t="str">
        <f>IFERROR(VLOOKUP(C477,[10]Sheet2!$C$1:$F$1223,4,0),"")</f>
        <v/>
      </c>
      <c r="F477" s="75"/>
      <c r="G477" s="72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8"/>
      <c r="W477" s="44"/>
      <c r="X477" s="77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8"/>
    </row>
    <row r="478" spans="1:35">
      <c r="A478" s="44"/>
      <c r="B478" s="71" t="str">
        <f>IFERROR(VLOOKUP(C478,[10]Sheet2!$C$3:$F$1223,2,0),"")</f>
        <v/>
      </c>
      <c r="C478" s="75"/>
      <c r="D478" s="73" t="str">
        <f>IFERROR(VLOOKUP(C478,[10]Sheet2!$C$1:$F$1223,3,0),"")</f>
        <v/>
      </c>
      <c r="E478" s="73" t="str">
        <f>IFERROR(VLOOKUP(C478,[10]Sheet2!$C$1:$F$1223,4,0),"")</f>
        <v/>
      </c>
      <c r="F478" s="75"/>
      <c r="G478" s="72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8"/>
      <c r="W478" s="44"/>
      <c r="X478" s="77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8"/>
    </row>
    <row r="479" spans="1:35">
      <c r="A479" s="44"/>
      <c r="B479" s="71" t="str">
        <f>IFERROR(VLOOKUP(C479,[10]Sheet2!$C$3:$F$1223,2,0),"")</f>
        <v/>
      </c>
      <c r="C479" s="75"/>
      <c r="D479" s="73" t="str">
        <f>IFERROR(VLOOKUP(C479,[10]Sheet2!$C$1:$F$1223,3,0),"")</f>
        <v/>
      </c>
      <c r="E479" s="73" t="str">
        <f>IFERROR(VLOOKUP(C479,[10]Sheet2!$C$1:$F$1223,4,0),"")</f>
        <v/>
      </c>
      <c r="F479" s="75"/>
      <c r="G479" s="72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8"/>
      <c r="W479" s="44"/>
      <c r="X479" s="77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8"/>
    </row>
    <row r="480" spans="1:35">
      <c r="A480" s="44"/>
      <c r="B480" s="71" t="str">
        <f>IFERROR(VLOOKUP(C480,[10]Sheet2!$C$3:$F$1223,2,0),"")</f>
        <v/>
      </c>
      <c r="C480" s="75"/>
      <c r="D480" s="73" t="str">
        <f>IFERROR(VLOOKUP(C480,[10]Sheet2!$C$1:$F$1223,3,0),"")</f>
        <v/>
      </c>
      <c r="E480" s="73" t="str">
        <f>IFERROR(VLOOKUP(C480,[10]Sheet2!$C$1:$F$1223,4,0),"")</f>
        <v/>
      </c>
      <c r="F480" s="75"/>
      <c r="G480" s="72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8"/>
      <c r="W480" s="44"/>
      <c r="X480" s="77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8"/>
    </row>
    <row r="481" spans="1:35">
      <c r="A481" s="44"/>
      <c r="B481" s="71" t="str">
        <f>IFERROR(VLOOKUP(C481,[10]Sheet2!$C$3:$F$1223,2,0),"")</f>
        <v/>
      </c>
      <c r="C481" s="75"/>
      <c r="D481" s="73" t="str">
        <f>IFERROR(VLOOKUP(C481,[10]Sheet2!$C$1:$F$1223,3,0),"")</f>
        <v/>
      </c>
      <c r="E481" s="73" t="str">
        <f>IFERROR(VLOOKUP(C481,[10]Sheet2!$C$1:$F$1223,4,0),"")</f>
        <v/>
      </c>
      <c r="F481" s="75"/>
      <c r="G481" s="72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8"/>
      <c r="W481" s="44"/>
      <c r="X481" s="77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8"/>
    </row>
    <row r="482" spans="1:35">
      <c r="A482" s="44"/>
      <c r="B482" s="71" t="str">
        <f>IFERROR(VLOOKUP(C482,[10]Sheet2!$C$3:$F$1223,2,0),"")</f>
        <v/>
      </c>
      <c r="C482" s="75"/>
      <c r="D482" s="73" t="str">
        <f>IFERROR(VLOOKUP(C482,[10]Sheet2!$C$1:$F$1223,3,0),"")</f>
        <v/>
      </c>
      <c r="E482" s="73" t="str">
        <f>IFERROR(VLOOKUP(C482,[10]Sheet2!$C$1:$F$1223,4,0),"")</f>
        <v/>
      </c>
      <c r="F482" s="75"/>
      <c r="G482" s="72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8"/>
      <c r="W482" s="44"/>
      <c r="X482" s="77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8"/>
    </row>
    <row r="483" spans="1:35">
      <c r="A483" s="44"/>
      <c r="B483" s="71" t="str">
        <f>IFERROR(VLOOKUP(C483,[10]Sheet2!$C$3:$F$1223,2,0),"")</f>
        <v/>
      </c>
      <c r="C483" s="75"/>
      <c r="D483" s="73" t="str">
        <f>IFERROR(VLOOKUP(C483,[10]Sheet2!$C$1:$F$1223,3,0),"")</f>
        <v/>
      </c>
      <c r="E483" s="73" t="str">
        <f>IFERROR(VLOOKUP(C483,[10]Sheet2!$C$1:$F$1223,4,0),"")</f>
        <v/>
      </c>
      <c r="F483" s="75"/>
      <c r="G483" s="72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8"/>
      <c r="W483" s="44"/>
      <c r="X483" s="77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8"/>
    </row>
    <row r="484" spans="1:35">
      <c r="A484" s="44"/>
      <c r="B484" s="71" t="str">
        <f>IFERROR(VLOOKUP(C484,[10]Sheet2!$C$3:$F$1223,2,0),"")</f>
        <v/>
      </c>
      <c r="C484" s="75"/>
      <c r="D484" s="73" t="str">
        <f>IFERROR(VLOOKUP(C484,[10]Sheet2!$C$1:$F$1223,3,0),"")</f>
        <v/>
      </c>
      <c r="E484" s="73" t="str">
        <f>IFERROR(VLOOKUP(C484,[10]Sheet2!$C$1:$F$1223,4,0),"")</f>
        <v/>
      </c>
      <c r="F484" s="75"/>
      <c r="G484" s="72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8"/>
      <c r="W484" s="44"/>
      <c r="X484" s="77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8"/>
    </row>
    <row r="485" spans="1:35">
      <c r="A485" s="44"/>
      <c r="B485" s="71" t="str">
        <f>IFERROR(VLOOKUP(C485,[10]Sheet2!$C$3:$F$1223,2,0),"")</f>
        <v/>
      </c>
      <c r="C485" s="75"/>
      <c r="D485" s="73" t="str">
        <f>IFERROR(VLOOKUP(C485,[10]Sheet2!$C$1:$F$1223,3,0),"")</f>
        <v/>
      </c>
      <c r="E485" s="73" t="str">
        <f>IFERROR(VLOOKUP(C485,[10]Sheet2!$C$1:$F$1223,4,0),"")</f>
        <v/>
      </c>
      <c r="F485" s="75"/>
      <c r="G485" s="72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8"/>
      <c r="W485" s="44"/>
      <c r="X485" s="77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8"/>
    </row>
    <row r="486" spans="1:35">
      <c r="A486" s="44"/>
      <c r="B486" s="71" t="str">
        <f>IFERROR(VLOOKUP(C486,[10]Sheet2!$C$3:$F$1223,2,0),"")</f>
        <v/>
      </c>
      <c r="C486" s="75"/>
      <c r="D486" s="73" t="str">
        <f>IFERROR(VLOOKUP(C486,[10]Sheet2!$C$1:$F$1223,3,0),"")</f>
        <v/>
      </c>
      <c r="E486" s="73" t="str">
        <f>IFERROR(VLOOKUP(C486,[10]Sheet2!$C$1:$F$1223,4,0),"")</f>
        <v/>
      </c>
      <c r="F486" s="75"/>
      <c r="G486" s="72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8"/>
      <c r="W486" s="44"/>
      <c r="X486" s="77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8"/>
    </row>
    <row r="487" spans="1:35">
      <c r="A487" s="44"/>
      <c r="B487" s="71" t="str">
        <f>IFERROR(VLOOKUP(C487,[10]Sheet2!$C$3:$F$1223,2,0),"")</f>
        <v/>
      </c>
      <c r="C487" s="75"/>
      <c r="D487" s="73" t="str">
        <f>IFERROR(VLOOKUP(C487,[10]Sheet2!$C$1:$F$1223,3,0),"")</f>
        <v/>
      </c>
      <c r="E487" s="73" t="str">
        <f>IFERROR(VLOOKUP(C487,[10]Sheet2!$C$1:$F$1223,4,0),"")</f>
        <v/>
      </c>
      <c r="F487" s="75"/>
      <c r="G487" s="72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8"/>
      <c r="W487" s="44"/>
      <c r="X487" s="77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8"/>
    </row>
    <row r="488" spans="1:35">
      <c r="A488" s="44"/>
      <c r="B488" s="71" t="str">
        <f>IFERROR(VLOOKUP(C488,[10]Sheet2!$C$3:$F$1223,2,0),"")</f>
        <v/>
      </c>
      <c r="C488" s="75"/>
      <c r="D488" s="73" t="str">
        <f>IFERROR(VLOOKUP(C488,[10]Sheet2!$C$1:$F$1223,3,0),"")</f>
        <v/>
      </c>
      <c r="E488" s="73" t="str">
        <f>IFERROR(VLOOKUP(C488,[10]Sheet2!$C$1:$F$1223,4,0),"")</f>
        <v/>
      </c>
      <c r="F488" s="75"/>
      <c r="G488" s="72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8"/>
      <c r="W488" s="44"/>
      <c r="X488" s="77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8"/>
    </row>
    <row r="489" spans="1:35">
      <c r="A489" s="44"/>
      <c r="B489" s="71" t="str">
        <f>IFERROR(VLOOKUP(C489,[10]Sheet2!$C$3:$F$1223,2,0),"")</f>
        <v/>
      </c>
      <c r="C489" s="75"/>
      <c r="D489" s="73" t="str">
        <f>IFERROR(VLOOKUP(C489,[10]Sheet2!$C$1:$F$1223,3,0),"")</f>
        <v/>
      </c>
      <c r="E489" s="73" t="str">
        <f>IFERROR(VLOOKUP(C489,[10]Sheet2!$C$1:$F$1223,4,0),"")</f>
        <v/>
      </c>
      <c r="F489" s="75"/>
      <c r="G489" s="72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8"/>
      <c r="W489" s="44"/>
      <c r="X489" s="77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8"/>
    </row>
    <row r="490" spans="1:35">
      <c r="A490" s="44"/>
      <c r="B490" s="71" t="str">
        <f>IFERROR(VLOOKUP(C490,[10]Sheet2!$C$3:$F$1223,2,0),"")</f>
        <v/>
      </c>
      <c r="C490" s="75"/>
      <c r="D490" s="73" t="str">
        <f>IFERROR(VLOOKUP(C490,[10]Sheet2!$C$1:$F$1223,3,0),"")</f>
        <v/>
      </c>
      <c r="E490" s="73" t="str">
        <f>IFERROR(VLOOKUP(C490,[10]Sheet2!$C$1:$F$1223,4,0),"")</f>
        <v/>
      </c>
      <c r="F490" s="75"/>
      <c r="G490" s="72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8"/>
      <c r="W490" s="44"/>
      <c r="X490" s="77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8"/>
    </row>
    <row r="491" spans="1:35">
      <c r="A491" s="44"/>
      <c r="B491" s="71" t="str">
        <f>IFERROR(VLOOKUP(C491,[10]Sheet2!$C$3:$F$1223,2,0),"")</f>
        <v/>
      </c>
      <c r="C491" s="75"/>
      <c r="D491" s="73" t="str">
        <f>IFERROR(VLOOKUP(C491,[10]Sheet2!$C$1:$F$1223,3,0),"")</f>
        <v/>
      </c>
      <c r="E491" s="73" t="str">
        <f>IFERROR(VLOOKUP(C491,[10]Sheet2!$C$1:$F$1223,4,0),"")</f>
        <v/>
      </c>
      <c r="F491" s="75"/>
      <c r="G491" s="72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8"/>
      <c r="W491" s="44"/>
      <c r="X491" s="77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8"/>
    </row>
    <row r="492" spans="1:35">
      <c r="A492" s="44"/>
      <c r="B492" s="71" t="str">
        <f>IFERROR(VLOOKUP(C492,[10]Sheet2!$C$3:$F$1223,2,0),"")</f>
        <v/>
      </c>
      <c r="C492" s="75"/>
      <c r="D492" s="73" t="str">
        <f>IFERROR(VLOOKUP(C492,[10]Sheet2!$C$1:$F$1223,3,0),"")</f>
        <v/>
      </c>
      <c r="E492" s="73" t="str">
        <f>IFERROR(VLOOKUP(C492,[10]Sheet2!$C$1:$F$1223,4,0),"")</f>
        <v/>
      </c>
      <c r="F492" s="75"/>
      <c r="G492" s="72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8"/>
      <c r="W492" s="44"/>
      <c r="X492" s="77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8"/>
    </row>
    <row r="493" spans="1:35">
      <c r="A493" s="44"/>
      <c r="B493" s="71" t="str">
        <f>IFERROR(VLOOKUP(C493,[10]Sheet2!$C$3:$F$1223,2,0),"")</f>
        <v/>
      </c>
      <c r="C493" s="75"/>
      <c r="D493" s="73" t="str">
        <f>IFERROR(VLOOKUP(C493,[10]Sheet2!$C$1:$F$1223,3,0),"")</f>
        <v/>
      </c>
      <c r="E493" s="73" t="str">
        <f>IFERROR(VLOOKUP(C493,[10]Sheet2!$C$1:$F$1223,4,0),"")</f>
        <v/>
      </c>
      <c r="F493" s="75"/>
      <c r="G493" s="72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8"/>
      <c r="W493" s="44"/>
      <c r="X493" s="77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8"/>
    </row>
    <row r="494" spans="1:35">
      <c r="A494" s="44"/>
      <c r="B494" s="71" t="str">
        <f>IFERROR(VLOOKUP(C494,[10]Sheet2!$C$3:$F$1223,2,0),"")</f>
        <v/>
      </c>
      <c r="C494" s="75"/>
      <c r="D494" s="73" t="str">
        <f>IFERROR(VLOOKUP(C494,[10]Sheet2!$C$1:$F$1223,3,0),"")</f>
        <v/>
      </c>
      <c r="E494" s="73" t="str">
        <f>IFERROR(VLOOKUP(C494,[10]Sheet2!$C$1:$F$1223,4,0),"")</f>
        <v/>
      </c>
      <c r="F494" s="75"/>
      <c r="G494" s="72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8"/>
      <c r="W494" s="44"/>
      <c r="X494" s="77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8"/>
    </row>
    <row r="495" spans="1:35">
      <c r="A495" s="44"/>
      <c r="B495" s="71" t="str">
        <f>IFERROR(VLOOKUP(C495,[10]Sheet2!$C$3:$F$1223,2,0),"")</f>
        <v/>
      </c>
      <c r="C495" s="75"/>
      <c r="D495" s="73" t="str">
        <f>IFERROR(VLOOKUP(C495,[10]Sheet2!$C$1:$F$1223,3,0),"")</f>
        <v/>
      </c>
      <c r="E495" s="73" t="str">
        <f>IFERROR(VLOOKUP(C495,[10]Sheet2!$C$1:$F$1223,4,0),"")</f>
        <v/>
      </c>
      <c r="F495" s="75"/>
      <c r="G495" s="72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8"/>
      <c r="W495" s="44"/>
      <c r="X495" s="77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8"/>
    </row>
    <row r="496" spans="1:35">
      <c r="A496" s="44"/>
      <c r="B496" s="71" t="str">
        <f>IFERROR(VLOOKUP(C496,[10]Sheet2!$C$3:$F$1223,2,0),"")</f>
        <v/>
      </c>
      <c r="C496" s="75"/>
      <c r="D496" s="73" t="str">
        <f>IFERROR(VLOOKUP(C496,[10]Sheet2!$C$1:$F$1223,3,0),"")</f>
        <v/>
      </c>
      <c r="E496" s="73" t="str">
        <f>IFERROR(VLOOKUP(C496,[10]Sheet2!$C$1:$F$1223,4,0),"")</f>
        <v/>
      </c>
      <c r="F496" s="75"/>
      <c r="G496" s="72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8"/>
      <c r="W496" s="44"/>
      <c r="X496" s="77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8"/>
    </row>
    <row r="497" spans="1:35">
      <c r="A497" s="44"/>
      <c r="B497" s="71" t="str">
        <f>IFERROR(VLOOKUP(C497,[10]Sheet2!$C$3:$F$1223,2,0),"")</f>
        <v/>
      </c>
      <c r="C497" s="75"/>
      <c r="D497" s="73" t="str">
        <f>IFERROR(VLOOKUP(C497,[10]Sheet2!$C$1:$F$1223,3,0),"")</f>
        <v/>
      </c>
      <c r="E497" s="73" t="str">
        <f>IFERROR(VLOOKUP(C497,[10]Sheet2!$C$1:$F$1223,4,0),"")</f>
        <v/>
      </c>
      <c r="F497" s="75"/>
      <c r="G497" s="72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8"/>
      <c r="W497" s="44"/>
      <c r="X497" s="77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8"/>
    </row>
    <row r="498" spans="1:35">
      <c r="A498" s="44"/>
      <c r="B498" s="71" t="str">
        <f>IFERROR(VLOOKUP(C498,[10]Sheet2!$C$3:$F$1223,2,0),"")</f>
        <v/>
      </c>
      <c r="C498" s="75"/>
      <c r="D498" s="73" t="str">
        <f>IFERROR(VLOOKUP(C498,[10]Sheet2!$C$1:$F$1223,3,0),"")</f>
        <v/>
      </c>
      <c r="E498" s="73" t="str">
        <f>IFERROR(VLOOKUP(C498,[10]Sheet2!$C$1:$F$1223,4,0),"")</f>
        <v/>
      </c>
      <c r="F498" s="75"/>
      <c r="G498" s="72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8"/>
      <c r="W498" s="44"/>
      <c r="X498" s="77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8"/>
    </row>
    <row r="499" spans="1:35">
      <c r="A499" s="44"/>
      <c r="B499" s="71" t="str">
        <f>IFERROR(VLOOKUP(C499,[10]Sheet2!$C$3:$F$1223,2,0),"")</f>
        <v/>
      </c>
      <c r="C499" s="75"/>
      <c r="D499" s="73" t="str">
        <f>IFERROR(VLOOKUP(C499,[10]Sheet2!$C$1:$F$1223,3,0),"")</f>
        <v/>
      </c>
      <c r="E499" s="73" t="str">
        <f>IFERROR(VLOOKUP(C499,[10]Sheet2!$C$1:$F$1223,4,0),"")</f>
        <v/>
      </c>
      <c r="F499" s="75"/>
      <c r="G499" s="72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8"/>
      <c r="W499" s="44"/>
      <c r="X499" s="77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8"/>
    </row>
    <row r="500" spans="1:35">
      <c r="A500" s="44"/>
      <c r="B500" s="71" t="str">
        <f>IFERROR(VLOOKUP(C500,[10]Sheet2!$C$3:$F$1223,2,0),"")</f>
        <v/>
      </c>
      <c r="C500" s="75"/>
      <c r="D500" s="73" t="str">
        <f>IFERROR(VLOOKUP(C500,[10]Sheet2!$C$1:$F$1223,3,0),"")</f>
        <v/>
      </c>
      <c r="E500" s="73" t="str">
        <f>IFERROR(VLOOKUP(C500,[10]Sheet2!$C$1:$F$1223,4,0),"")</f>
        <v/>
      </c>
      <c r="F500" s="75"/>
      <c r="G500" s="72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8"/>
      <c r="W500" s="44"/>
      <c r="X500" s="77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8"/>
    </row>
    <row r="501" spans="1:35">
      <c r="A501" s="44"/>
      <c r="B501" s="71" t="str">
        <f>IFERROR(VLOOKUP(C501,[10]Sheet2!$C$3:$F$1223,2,0),"")</f>
        <v/>
      </c>
      <c r="C501" s="75"/>
      <c r="D501" s="73" t="str">
        <f>IFERROR(VLOOKUP(C501,[10]Sheet2!$C$1:$F$1223,3,0),"")</f>
        <v/>
      </c>
      <c r="E501" s="73" t="str">
        <f>IFERROR(VLOOKUP(C501,[10]Sheet2!$C$1:$F$1223,4,0),"")</f>
        <v/>
      </c>
      <c r="F501" s="75"/>
      <c r="G501" s="72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8"/>
      <c r="W501" s="44"/>
      <c r="X501" s="77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8"/>
    </row>
    <row r="502" spans="1:35">
      <c r="A502" s="44"/>
      <c r="B502" s="71" t="str">
        <f>IFERROR(VLOOKUP(C502,[10]Sheet2!$C$3:$F$1223,2,0),"")</f>
        <v/>
      </c>
      <c r="C502" s="75"/>
      <c r="D502" s="73" t="str">
        <f>IFERROR(VLOOKUP(C502,[10]Sheet2!$C$1:$F$1223,3,0),"")</f>
        <v/>
      </c>
      <c r="E502" s="73" t="str">
        <f>IFERROR(VLOOKUP(C502,[10]Sheet2!$C$1:$F$1223,4,0),"")</f>
        <v/>
      </c>
      <c r="F502" s="75"/>
      <c r="G502" s="72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8"/>
      <c r="W502" s="44"/>
      <c r="X502" s="77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8"/>
    </row>
    <row r="503" spans="1:35">
      <c r="A503" s="44"/>
      <c r="B503" s="71" t="str">
        <f>IFERROR(VLOOKUP(C503,[10]Sheet2!$C$3:$F$1223,2,0),"")</f>
        <v/>
      </c>
      <c r="C503" s="75"/>
      <c r="D503" s="73" t="str">
        <f>IFERROR(VLOOKUP(C503,[10]Sheet2!$C$1:$F$1223,3,0),"")</f>
        <v/>
      </c>
      <c r="E503" s="73" t="str">
        <f>IFERROR(VLOOKUP(C503,[10]Sheet2!$C$1:$F$1223,4,0),"")</f>
        <v/>
      </c>
      <c r="F503" s="75"/>
      <c r="G503" s="72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8"/>
      <c r="W503" s="44"/>
      <c r="X503" s="77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8"/>
    </row>
    <row r="504" spans="1:35">
      <c r="A504" s="44"/>
      <c r="B504" s="71" t="str">
        <f>IFERROR(VLOOKUP(C504,[10]Sheet2!$C$3:$F$1223,2,0),"")</f>
        <v/>
      </c>
      <c r="C504" s="75"/>
      <c r="D504" s="73" t="str">
        <f>IFERROR(VLOOKUP(C504,[10]Sheet2!$C$1:$F$1223,3,0),"")</f>
        <v/>
      </c>
      <c r="E504" s="73" t="str">
        <f>IFERROR(VLOOKUP(C504,[10]Sheet2!$C$1:$F$1223,4,0),"")</f>
        <v/>
      </c>
      <c r="F504" s="75"/>
      <c r="G504" s="72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8"/>
      <c r="W504" s="44"/>
      <c r="X504" s="77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8"/>
    </row>
    <row r="505" spans="1:35">
      <c r="A505" s="44"/>
      <c r="B505" s="71" t="str">
        <f>IFERROR(VLOOKUP(C505,[10]Sheet2!$C$3:$F$1223,2,0),"")</f>
        <v/>
      </c>
      <c r="C505" s="75"/>
      <c r="D505" s="73" t="str">
        <f>IFERROR(VLOOKUP(C505,[10]Sheet2!$C$1:$F$1223,3,0),"")</f>
        <v/>
      </c>
      <c r="E505" s="73" t="str">
        <f>IFERROR(VLOOKUP(C505,[10]Sheet2!$C$1:$F$1223,4,0),"")</f>
        <v/>
      </c>
      <c r="F505" s="75"/>
      <c r="G505" s="72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8"/>
      <c r="W505" s="44"/>
      <c r="X505" s="77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8"/>
    </row>
    <row r="506" spans="1:35">
      <c r="A506" s="44"/>
      <c r="B506" s="71" t="str">
        <f>IFERROR(VLOOKUP(C506,[10]Sheet2!$C$3:$F$1223,2,0),"")</f>
        <v/>
      </c>
      <c r="C506" s="75"/>
      <c r="D506" s="73" t="str">
        <f>IFERROR(VLOOKUP(C506,[10]Sheet2!$C$1:$F$1223,3,0),"")</f>
        <v/>
      </c>
      <c r="E506" s="73" t="str">
        <f>IFERROR(VLOOKUP(C506,[10]Sheet2!$C$1:$F$1223,4,0),"")</f>
        <v/>
      </c>
      <c r="F506" s="75"/>
      <c r="G506" s="72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8"/>
      <c r="W506" s="44"/>
      <c r="X506" s="77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8"/>
    </row>
    <row r="507" spans="1:35">
      <c r="A507" s="44"/>
      <c r="B507" s="71" t="str">
        <f>IFERROR(VLOOKUP(C507,[10]Sheet2!$C$3:$F$1223,2,0),"")</f>
        <v/>
      </c>
      <c r="C507" s="75"/>
      <c r="D507" s="73" t="str">
        <f>IFERROR(VLOOKUP(C507,[10]Sheet2!$C$1:$F$1223,3,0),"")</f>
        <v/>
      </c>
      <c r="E507" s="73" t="str">
        <f>IFERROR(VLOOKUP(C507,[10]Sheet2!$C$1:$F$1223,4,0),"")</f>
        <v/>
      </c>
      <c r="F507" s="75"/>
      <c r="G507" s="72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8"/>
      <c r="W507" s="44"/>
      <c r="X507" s="77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8"/>
    </row>
    <row r="508" spans="1:35">
      <c r="A508" s="44"/>
      <c r="B508" s="71" t="str">
        <f>IFERROR(VLOOKUP(C508,[10]Sheet2!$C$3:$F$1223,2,0),"")</f>
        <v/>
      </c>
      <c r="C508" s="75"/>
      <c r="D508" s="73" t="str">
        <f>IFERROR(VLOOKUP(C508,[10]Sheet2!$C$1:$F$1223,3,0),"")</f>
        <v/>
      </c>
      <c r="E508" s="73" t="str">
        <f>IFERROR(VLOOKUP(C508,[10]Sheet2!$C$1:$F$1223,4,0),"")</f>
        <v/>
      </c>
      <c r="F508" s="75"/>
      <c r="G508" s="72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8"/>
      <c r="W508" s="44"/>
      <c r="X508" s="77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8"/>
    </row>
    <row r="509" spans="1:35">
      <c r="A509" s="44"/>
      <c r="B509" s="71" t="str">
        <f>IFERROR(VLOOKUP(C509,[10]Sheet2!$C$3:$F$1223,2,0),"")</f>
        <v/>
      </c>
      <c r="C509" s="75"/>
      <c r="D509" s="73" t="str">
        <f>IFERROR(VLOOKUP(C509,[10]Sheet2!$C$1:$F$1223,3,0),"")</f>
        <v/>
      </c>
      <c r="E509" s="73" t="str">
        <f>IFERROR(VLOOKUP(C509,[10]Sheet2!$C$1:$F$1223,4,0),"")</f>
        <v/>
      </c>
      <c r="F509" s="75"/>
      <c r="G509" s="72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8"/>
      <c r="W509" s="44"/>
      <c r="X509" s="77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8"/>
    </row>
    <row r="510" spans="1:35">
      <c r="A510" s="44"/>
      <c r="B510" s="71" t="str">
        <f>IFERROR(VLOOKUP(C510,[10]Sheet2!$C$3:$F$1223,2,0),"")</f>
        <v/>
      </c>
      <c r="C510" s="75"/>
      <c r="D510" s="73" t="str">
        <f>IFERROR(VLOOKUP(C510,[10]Sheet2!$C$1:$F$1223,3,0),"")</f>
        <v/>
      </c>
      <c r="E510" s="73" t="str">
        <f>IFERROR(VLOOKUP(C510,[10]Sheet2!$C$1:$F$1223,4,0),"")</f>
        <v/>
      </c>
      <c r="F510" s="75"/>
      <c r="G510" s="72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8"/>
      <c r="W510" s="44"/>
      <c r="X510" s="77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8"/>
    </row>
    <row r="511" spans="1:35">
      <c r="A511" s="44"/>
      <c r="B511" s="71" t="str">
        <f>IFERROR(VLOOKUP(C511,[10]Sheet2!$C$3:$F$1223,2,0),"")</f>
        <v/>
      </c>
      <c r="C511" s="75"/>
      <c r="D511" s="73" t="str">
        <f>IFERROR(VLOOKUP(C511,[10]Sheet2!$C$1:$F$1223,3,0),"")</f>
        <v/>
      </c>
      <c r="E511" s="73" t="str">
        <f>IFERROR(VLOOKUP(C511,[10]Sheet2!$C$1:$F$1223,4,0),"")</f>
        <v/>
      </c>
      <c r="F511" s="75"/>
      <c r="G511" s="72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8"/>
      <c r="W511" s="44"/>
      <c r="X511" s="77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8"/>
    </row>
    <row r="512" spans="1:35">
      <c r="A512" s="44"/>
      <c r="B512" s="71" t="str">
        <f>IFERROR(VLOOKUP(C512,[10]Sheet2!$C$3:$F$1223,2,0),"")</f>
        <v/>
      </c>
      <c r="C512" s="75"/>
      <c r="D512" s="73" t="str">
        <f>IFERROR(VLOOKUP(C512,[10]Sheet2!$C$1:$F$1223,3,0),"")</f>
        <v/>
      </c>
      <c r="E512" s="73" t="str">
        <f>IFERROR(VLOOKUP(C512,[10]Sheet2!$C$1:$F$1223,4,0),"")</f>
        <v/>
      </c>
      <c r="F512" s="75"/>
      <c r="G512" s="72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8"/>
      <c r="W512" s="44"/>
      <c r="X512" s="77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8"/>
    </row>
    <row r="513" spans="1:35">
      <c r="A513" s="44"/>
      <c r="B513" s="71" t="str">
        <f>IFERROR(VLOOKUP(C513,[10]Sheet2!$C$3:$F$1223,2,0),"")</f>
        <v/>
      </c>
      <c r="C513" s="75"/>
      <c r="D513" s="73" t="str">
        <f>IFERROR(VLOOKUP(C513,[10]Sheet2!$C$1:$F$1223,3,0),"")</f>
        <v/>
      </c>
      <c r="E513" s="73" t="str">
        <f>IFERROR(VLOOKUP(C513,[10]Sheet2!$C$1:$F$1223,4,0),"")</f>
        <v/>
      </c>
      <c r="F513" s="75"/>
      <c r="G513" s="72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8"/>
      <c r="W513" s="44"/>
      <c r="X513" s="77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8"/>
    </row>
    <row r="514" spans="1:35">
      <c r="A514" s="44"/>
      <c r="B514" s="71" t="str">
        <f>IFERROR(VLOOKUP(C514,[10]Sheet2!$C$3:$F$1223,2,0),"")</f>
        <v/>
      </c>
      <c r="C514" s="75"/>
      <c r="D514" s="73" t="str">
        <f>IFERROR(VLOOKUP(C514,[10]Sheet2!$C$1:$F$1223,3,0),"")</f>
        <v/>
      </c>
      <c r="E514" s="73" t="str">
        <f>IFERROR(VLOOKUP(C514,[10]Sheet2!$C$1:$F$1223,4,0),"")</f>
        <v/>
      </c>
      <c r="F514" s="75"/>
      <c r="G514" s="72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8"/>
      <c r="W514" s="44"/>
      <c r="X514" s="77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8"/>
    </row>
    <row r="515" spans="1:35">
      <c r="A515" s="44"/>
      <c r="B515" s="71" t="str">
        <f>IFERROR(VLOOKUP(C515,[10]Sheet2!$C$3:$F$1223,2,0),"")</f>
        <v/>
      </c>
      <c r="C515" s="75"/>
      <c r="D515" s="73" t="str">
        <f>IFERROR(VLOOKUP(C515,[10]Sheet2!$C$1:$F$1223,3,0),"")</f>
        <v/>
      </c>
      <c r="E515" s="73" t="str">
        <f>IFERROR(VLOOKUP(C515,[10]Sheet2!$C$1:$F$1223,4,0),"")</f>
        <v/>
      </c>
      <c r="F515" s="75"/>
      <c r="G515" s="72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8"/>
      <c r="W515" s="44"/>
      <c r="X515" s="77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8"/>
    </row>
    <row r="516" spans="1:35">
      <c r="A516" s="44"/>
      <c r="B516" s="71" t="str">
        <f>IFERROR(VLOOKUP(C516,[10]Sheet2!$C$3:$F$1223,2,0),"")</f>
        <v/>
      </c>
      <c r="C516" s="75"/>
      <c r="D516" s="73" t="str">
        <f>IFERROR(VLOOKUP(C516,[10]Sheet2!$C$1:$F$1223,3,0),"")</f>
        <v/>
      </c>
      <c r="E516" s="73" t="str">
        <f>IFERROR(VLOOKUP(C516,[10]Sheet2!$C$1:$F$1223,4,0),"")</f>
        <v/>
      </c>
      <c r="F516" s="75"/>
      <c r="G516" s="72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8"/>
      <c r="W516" s="44"/>
      <c r="X516" s="77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8"/>
    </row>
    <row r="517" spans="1:35">
      <c r="A517" s="44"/>
      <c r="B517" s="71" t="str">
        <f>IFERROR(VLOOKUP(C517,[10]Sheet2!$C$3:$F$1223,2,0),"")</f>
        <v/>
      </c>
      <c r="C517" s="75"/>
      <c r="D517" s="73" t="str">
        <f>IFERROR(VLOOKUP(C517,[10]Sheet2!$C$1:$F$1223,3,0),"")</f>
        <v/>
      </c>
      <c r="E517" s="73" t="str">
        <f>IFERROR(VLOOKUP(C517,[10]Sheet2!$C$1:$F$1223,4,0),"")</f>
        <v/>
      </c>
      <c r="F517" s="75"/>
      <c r="G517" s="72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8"/>
      <c r="W517" s="44"/>
      <c r="X517" s="77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8"/>
    </row>
    <row r="518" spans="1:35">
      <c r="A518" s="44"/>
      <c r="B518" s="71" t="str">
        <f>IFERROR(VLOOKUP(C518,[10]Sheet2!$C$3:$F$1223,2,0),"")</f>
        <v/>
      </c>
      <c r="C518" s="75"/>
      <c r="D518" s="73" t="str">
        <f>IFERROR(VLOOKUP(C518,[10]Sheet2!$C$1:$F$1223,3,0),"")</f>
        <v/>
      </c>
      <c r="E518" s="73" t="str">
        <f>IFERROR(VLOOKUP(C518,[10]Sheet2!$C$1:$F$1223,4,0),"")</f>
        <v/>
      </c>
      <c r="F518" s="75"/>
      <c r="G518" s="72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8"/>
      <c r="W518" s="44"/>
      <c r="X518" s="77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8"/>
    </row>
    <row r="519" spans="1:35">
      <c r="A519" s="44"/>
      <c r="B519" s="71" t="str">
        <f>IFERROR(VLOOKUP(C519,[10]Sheet2!$C$3:$F$1223,2,0),"")</f>
        <v/>
      </c>
      <c r="C519" s="75"/>
      <c r="D519" s="73" t="str">
        <f>IFERROR(VLOOKUP(C519,[10]Sheet2!$C$1:$F$1223,3,0),"")</f>
        <v/>
      </c>
      <c r="E519" s="73" t="str">
        <f>IFERROR(VLOOKUP(C519,[10]Sheet2!$C$1:$F$1223,4,0),"")</f>
        <v/>
      </c>
      <c r="F519" s="75"/>
      <c r="G519" s="72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8"/>
      <c r="W519" s="44"/>
      <c r="X519" s="77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8"/>
    </row>
    <row r="520" spans="1:35">
      <c r="A520" s="44"/>
      <c r="B520" s="71" t="str">
        <f>IFERROR(VLOOKUP(C520,[10]Sheet2!$C$3:$F$1223,2,0),"")</f>
        <v/>
      </c>
      <c r="C520" s="75"/>
      <c r="D520" s="73" t="str">
        <f>IFERROR(VLOOKUP(C520,[10]Sheet2!$C$1:$F$1223,3,0),"")</f>
        <v/>
      </c>
      <c r="E520" s="73" t="str">
        <f>IFERROR(VLOOKUP(C520,[10]Sheet2!$C$1:$F$1223,4,0),"")</f>
        <v/>
      </c>
      <c r="F520" s="75"/>
      <c r="G520" s="72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8"/>
      <c r="W520" s="44"/>
      <c r="X520" s="77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8"/>
    </row>
    <row r="521" spans="1:35">
      <c r="A521" s="44"/>
      <c r="B521" s="71" t="str">
        <f>IFERROR(VLOOKUP(C521,[10]Sheet2!$C$3:$F$1223,2,0),"")</f>
        <v/>
      </c>
      <c r="C521" s="75"/>
      <c r="D521" s="73" t="str">
        <f>IFERROR(VLOOKUP(C521,[10]Sheet2!$C$1:$F$1223,3,0),"")</f>
        <v/>
      </c>
      <c r="E521" s="73" t="str">
        <f>IFERROR(VLOOKUP(C521,[10]Sheet2!$C$1:$F$1223,4,0),"")</f>
        <v/>
      </c>
      <c r="F521" s="75"/>
      <c r="G521" s="72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8"/>
      <c r="W521" s="44"/>
      <c r="X521" s="77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8"/>
    </row>
    <row r="522" spans="1:35">
      <c r="A522" s="44"/>
      <c r="B522" s="71" t="str">
        <f>IFERROR(VLOOKUP(C522,[10]Sheet2!$C$3:$F$1223,2,0),"")</f>
        <v/>
      </c>
      <c r="C522" s="75"/>
      <c r="D522" s="73" t="str">
        <f>IFERROR(VLOOKUP(C522,[10]Sheet2!$C$1:$F$1223,3,0),"")</f>
        <v/>
      </c>
      <c r="E522" s="73" t="str">
        <f>IFERROR(VLOOKUP(C522,[10]Sheet2!$C$1:$F$1223,4,0),"")</f>
        <v/>
      </c>
      <c r="F522" s="75"/>
      <c r="G522" s="72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8"/>
      <c r="W522" s="44"/>
      <c r="X522" s="77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8"/>
    </row>
    <row r="523" spans="1:35">
      <c r="A523" s="44"/>
      <c r="B523" s="71" t="str">
        <f>IFERROR(VLOOKUP(C523,[10]Sheet2!$C$3:$F$1223,2,0),"")</f>
        <v/>
      </c>
      <c r="C523" s="75"/>
      <c r="D523" s="73" t="str">
        <f>IFERROR(VLOOKUP(C523,[10]Sheet2!$C$1:$F$1223,3,0),"")</f>
        <v/>
      </c>
      <c r="E523" s="73" t="str">
        <f>IFERROR(VLOOKUP(C523,[10]Sheet2!$C$1:$F$1223,4,0),"")</f>
        <v/>
      </c>
      <c r="F523" s="75"/>
      <c r="G523" s="72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8"/>
      <c r="W523" s="44"/>
      <c r="X523" s="77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8"/>
    </row>
    <row r="524" spans="1:35">
      <c r="A524" s="44"/>
      <c r="B524" s="71" t="str">
        <f>IFERROR(VLOOKUP(C524,[10]Sheet2!$C$3:$F$1223,2,0),"")</f>
        <v/>
      </c>
      <c r="C524" s="75"/>
      <c r="D524" s="73" t="str">
        <f>IFERROR(VLOOKUP(C524,[10]Sheet2!$C$1:$F$1223,3,0),"")</f>
        <v/>
      </c>
      <c r="E524" s="73" t="str">
        <f>IFERROR(VLOOKUP(C524,[10]Sheet2!$C$1:$F$1223,4,0),"")</f>
        <v/>
      </c>
      <c r="F524" s="75"/>
      <c r="G524" s="72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8"/>
      <c r="W524" s="44"/>
      <c r="X524" s="77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8"/>
    </row>
    <row r="525" spans="1:35">
      <c r="A525" s="44"/>
      <c r="B525" s="71" t="str">
        <f>IFERROR(VLOOKUP(C525,[10]Sheet2!$C$3:$F$1223,2,0),"")</f>
        <v/>
      </c>
      <c r="C525" s="75"/>
      <c r="D525" s="73" t="str">
        <f>IFERROR(VLOOKUP(C525,[10]Sheet2!$C$1:$F$1223,3,0),"")</f>
        <v/>
      </c>
      <c r="E525" s="73" t="str">
        <f>IFERROR(VLOOKUP(C525,[10]Sheet2!$C$1:$F$1223,4,0),"")</f>
        <v/>
      </c>
      <c r="F525" s="75"/>
      <c r="G525" s="72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8"/>
      <c r="W525" s="44"/>
      <c r="X525" s="77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8"/>
    </row>
    <row r="526" spans="1:35">
      <c r="A526" s="44"/>
      <c r="B526" s="71" t="str">
        <f>IFERROR(VLOOKUP(C526,[10]Sheet2!$C$3:$F$1223,2,0),"")</f>
        <v/>
      </c>
      <c r="C526" s="75"/>
      <c r="D526" s="73" t="str">
        <f>IFERROR(VLOOKUP(C526,[10]Sheet2!$C$1:$F$1223,3,0),"")</f>
        <v/>
      </c>
      <c r="E526" s="73" t="str">
        <f>IFERROR(VLOOKUP(C526,[10]Sheet2!$C$1:$F$1223,4,0),"")</f>
        <v/>
      </c>
      <c r="F526" s="75"/>
      <c r="G526" s="72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8"/>
      <c r="W526" s="44"/>
      <c r="X526" s="77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8"/>
    </row>
    <row r="527" spans="1:35">
      <c r="A527" s="44"/>
      <c r="B527" s="71" t="str">
        <f>IFERROR(VLOOKUP(C527,[10]Sheet2!$C$3:$F$1223,2,0),"")</f>
        <v/>
      </c>
      <c r="C527" s="75"/>
      <c r="D527" s="73" t="str">
        <f>IFERROR(VLOOKUP(C527,[10]Sheet2!$C$1:$F$1223,3,0),"")</f>
        <v/>
      </c>
      <c r="E527" s="73" t="str">
        <f>IFERROR(VLOOKUP(C527,[10]Sheet2!$C$1:$F$1223,4,0),"")</f>
        <v/>
      </c>
      <c r="F527" s="75"/>
      <c r="G527" s="72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8"/>
      <c r="W527" s="44"/>
      <c r="X527" s="77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8"/>
    </row>
    <row r="528" spans="1:35">
      <c r="A528" s="44"/>
      <c r="B528" s="71" t="str">
        <f>IFERROR(VLOOKUP(C528,[10]Sheet2!$C$3:$F$1223,2,0),"")</f>
        <v/>
      </c>
      <c r="C528" s="75"/>
      <c r="D528" s="73" t="str">
        <f>IFERROR(VLOOKUP(C528,[10]Sheet2!$C$1:$F$1223,3,0),"")</f>
        <v/>
      </c>
      <c r="E528" s="73" t="str">
        <f>IFERROR(VLOOKUP(C528,[10]Sheet2!$C$1:$F$1223,4,0),"")</f>
        <v/>
      </c>
      <c r="F528" s="75"/>
      <c r="G528" s="72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8"/>
      <c r="W528" s="44"/>
      <c r="X528" s="77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8"/>
    </row>
    <row r="529" spans="1:35">
      <c r="A529" s="44"/>
      <c r="B529" s="71" t="str">
        <f>IFERROR(VLOOKUP(C529,[10]Sheet2!$C$3:$F$1223,2,0),"")</f>
        <v/>
      </c>
      <c r="C529" s="75"/>
      <c r="D529" s="73" t="str">
        <f>IFERROR(VLOOKUP(C529,[10]Sheet2!$C$1:$F$1223,3,0),"")</f>
        <v/>
      </c>
      <c r="E529" s="73" t="str">
        <f>IFERROR(VLOOKUP(C529,[10]Sheet2!$C$1:$F$1223,4,0),"")</f>
        <v/>
      </c>
      <c r="F529" s="75"/>
      <c r="G529" s="72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8"/>
      <c r="W529" s="44"/>
      <c r="X529" s="77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8"/>
    </row>
    <row r="530" spans="1:35">
      <c r="A530" s="44"/>
      <c r="B530" s="71" t="str">
        <f>IFERROR(VLOOKUP(C530,[10]Sheet2!$C$3:$F$1223,2,0),"")</f>
        <v/>
      </c>
      <c r="C530" s="75"/>
      <c r="D530" s="73" t="str">
        <f>IFERROR(VLOOKUP(C530,[10]Sheet2!$C$1:$F$1223,3,0),"")</f>
        <v/>
      </c>
      <c r="E530" s="73" t="str">
        <f>IFERROR(VLOOKUP(C530,[10]Sheet2!$C$1:$F$1223,4,0),"")</f>
        <v/>
      </c>
      <c r="F530" s="75"/>
      <c r="G530" s="72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8"/>
      <c r="W530" s="44"/>
      <c r="X530" s="77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8"/>
    </row>
    <row r="531" spans="1:35">
      <c r="A531" s="44"/>
      <c r="B531" s="71" t="str">
        <f>IFERROR(VLOOKUP(C531,[10]Sheet2!$C$3:$F$1223,2,0),"")</f>
        <v/>
      </c>
      <c r="C531" s="75"/>
      <c r="D531" s="73" t="str">
        <f>IFERROR(VLOOKUP(C531,[10]Sheet2!$C$1:$F$1223,3,0),"")</f>
        <v/>
      </c>
      <c r="E531" s="73" t="str">
        <f>IFERROR(VLOOKUP(C531,[10]Sheet2!$C$1:$F$1223,4,0),"")</f>
        <v/>
      </c>
      <c r="F531" s="75"/>
      <c r="G531" s="72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8"/>
      <c r="W531" s="44"/>
      <c r="X531" s="77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8"/>
    </row>
    <row r="532" spans="1:35">
      <c r="A532" s="44"/>
      <c r="B532" s="71" t="str">
        <f>IFERROR(VLOOKUP(C532,[10]Sheet2!$C$3:$F$1223,2,0),"")</f>
        <v/>
      </c>
      <c r="C532" s="75"/>
      <c r="D532" s="73" t="str">
        <f>IFERROR(VLOOKUP(C532,[10]Sheet2!$C$1:$F$1223,3,0),"")</f>
        <v/>
      </c>
      <c r="E532" s="73" t="str">
        <f>IFERROR(VLOOKUP(C532,[10]Sheet2!$C$1:$F$1223,4,0),"")</f>
        <v/>
      </c>
      <c r="F532" s="75"/>
      <c r="G532" s="72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8"/>
      <c r="W532" s="44"/>
      <c r="X532" s="77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8"/>
    </row>
    <row r="533" spans="1:35">
      <c r="A533" s="44"/>
      <c r="B533" s="71" t="str">
        <f>IFERROR(VLOOKUP(C533,[10]Sheet2!$C$3:$F$1223,2,0),"")</f>
        <v/>
      </c>
      <c r="C533" s="75"/>
      <c r="D533" s="73" t="str">
        <f>IFERROR(VLOOKUP(C533,[10]Sheet2!$C$1:$F$1223,3,0),"")</f>
        <v/>
      </c>
      <c r="E533" s="73" t="str">
        <f>IFERROR(VLOOKUP(C533,[10]Sheet2!$C$1:$F$1223,4,0),"")</f>
        <v/>
      </c>
      <c r="F533" s="75"/>
      <c r="G533" s="72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8"/>
      <c r="W533" s="44"/>
      <c r="X533" s="77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8"/>
    </row>
    <row r="534" spans="1:35">
      <c r="A534" s="44"/>
      <c r="B534" s="71" t="str">
        <f>IFERROR(VLOOKUP(C534,[10]Sheet2!$C$3:$F$1223,2,0),"")</f>
        <v/>
      </c>
      <c r="C534" s="75"/>
      <c r="D534" s="73" t="str">
        <f>IFERROR(VLOOKUP(C534,[10]Sheet2!$C$1:$F$1223,3,0),"")</f>
        <v/>
      </c>
      <c r="E534" s="73" t="str">
        <f>IFERROR(VLOOKUP(C534,[10]Sheet2!$C$1:$F$1223,4,0),"")</f>
        <v/>
      </c>
      <c r="F534" s="75"/>
      <c r="G534" s="72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8"/>
      <c r="W534" s="44"/>
      <c r="X534" s="77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8"/>
    </row>
    <row r="535" spans="1:35">
      <c r="A535" s="44"/>
      <c r="B535" s="71" t="str">
        <f>IFERROR(VLOOKUP(C535,[10]Sheet2!$C$3:$F$1223,2,0),"")</f>
        <v/>
      </c>
      <c r="C535" s="75"/>
      <c r="D535" s="73" t="str">
        <f>IFERROR(VLOOKUP(C535,[10]Sheet2!$C$1:$F$1223,3,0),"")</f>
        <v/>
      </c>
      <c r="E535" s="73" t="str">
        <f>IFERROR(VLOOKUP(C535,[10]Sheet2!$C$1:$F$1223,4,0),"")</f>
        <v/>
      </c>
      <c r="F535" s="75"/>
      <c r="G535" s="72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8"/>
      <c r="W535" s="44"/>
      <c r="X535" s="77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8"/>
    </row>
    <row r="536" spans="1:35">
      <c r="A536" s="44"/>
      <c r="B536" s="71" t="str">
        <f>IFERROR(VLOOKUP(C536,[10]Sheet2!$C$3:$F$1223,2,0),"")</f>
        <v/>
      </c>
      <c r="C536" s="75"/>
      <c r="D536" s="73" t="str">
        <f>IFERROR(VLOOKUP(C536,[10]Sheet2!$C$1:$F$1223,3,0),"")</f>
        <v/>
      </c>
      <c r="E536" s="73" t="str">
        <f>IFERROR(VLOOKUP(C536,[10]Sheet2!$C$1:$F$1223,4,0),"")</f>
        <v/>
      </c>
      <c r="F536" s="75"/>
      <c r="G536" s="72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8"/>
      <c r="W536" s="44"/>
      <c r="X536" s="77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8"/>
    </row>
    <row r="537" spans="1:35">
      <c r="A537" s="44"/>
      <c r="B537" s="71" t="str">
        <f>IFERROR(VLOOKUP(C537,[10]Sheet2!$C$3:$F$1223,2,0),"")</f>
        <v/>
      </c>
      <c r="C537" s="75"/>
      <c r="D537" s="73" t="str">
        <f>IFERROR(VLOOKUP(C537,[10]Sheet2!$C$1:$F$1223,3,0),"")</f>
        <v/>
      </c>
      <c r="E537" s="73" t="str">
        <f>IFERROR(VLOOKUP(C537,[10]Sheet2!$C$1:$F$1223,4,0),"")</f>
        <v/>
      </c>
      <c r="F537" s="75"/>
      <c r="G537" s="72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8"/>
      <c r="W537" s="44"/>
      <c r="X537" s="77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8"/>
    </row>
    <row r="538" spans="1:35">
      <c r="A538" s="44"/>
      <c r="B538" s="71" t="str">
        <f>IFERROR(VLOOKUP(C538,[10]Sheet2!$C$3:$F$1223,2,0),"")</f>
        <v/>
      </c>
      <c r="C538" s="75"/>
      <c r="D538" s="73" t="str">
        <f>IFERROR(VLOOKUP(C538,[10]Sheet2!$C$1:$F$1223,3,0),"")</f>
        <v/>
      </c>
      <c r="E538" s="73" t="str">
        <f>IFERROR(VLOOKUP(C538,[10]Sheet2!$C$1:$F$1223,4,0),"")</f>
        <v/>
      </c>
      <c r="F538" s="75"/>
      <c r="G538" s="72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8"/>
      <c r="W538" s="44"/>
      <c r="X538" s="77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8"/>
    </row>
    <row r="539" spans="1:35">
      <c r="A539" s="44"/>
      <c r="B539" s="71" t="str">
        <f>IFERROR(VLOOKUP(C539,[10]Sheet2!$C$3:$F$1223,2,0),"")</f>
        <v/>
      </c>
      <c r="C539" s="75"/>
      <c r="D539" s="73" t="str">
        <f>IFERROR(VLOOKUP(C539,[10]Sheet2!$C$1:$F$1223,3,0),"")</f>
        <v/>
      </c>
      <c r="E539" s="73" t="str">
        <f>IFERROR(VLOOKUP(C539,[10]Sheet2!$C$1:$F$1223,4,0),"")</f>
        <v/>
      </c>
      <c r="F539" s="75"/>
      <c r="G539" s="72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8"/>
      <c r="W539" s="44"/>
      <c r="X539" s="77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8"/>
    </row>
    <row r="540" spans="1:35">
      <c r="A540" s="44"/>
      <c r="B540" s="71" t="str">
        <f>IFERROR(VLOOKUP(C540,[10]Sheet2!$C$3:$F$1223,2,0),"")</f>
        <v/>
      </c>
      <c r="C540" s="75"/>
      <c r="D540" s="73" t="str">
        <f>IFERROR(VLOOKUP(C540,[10]Sheet2!$C$1:$F$1223,3,0),"")</f>
        <v/>
      </c>
      <c r="E540" s="73" t="str">
        <f>IFERROR(VLOOKUP(C540,[10]Sheet2!$C$1:$F$1223,4,0),"")</f>
        <v/>
      </c>
      <c r="F540" s="75"/>
      <c r="G540" s="72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8"/>
      <c r="W540" s="44"/>
      <c r="X540" s="77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8"/>
    </row>
    <row r="541" spans="1:35">
      <c r="A541" s="44"/>
      <c r="B541" s="71" t="str">
        <f>IFERROR(VLOOKUP(C541,[10]Sheet2!$C$3:$F$1223,2,0),"")</f>
        <v/>
      </c>
      <c r="C541" s="75"/>
      <c r="D541" s="73" t="str">
        <f>IFERROR(VLOOKUP(C541,[10]Sheet2!$C$1:$F$1223,3,0),"")</f>
        <v/>
      </c>
      <c r="E541" s="73" t="str">
        <f>IFERROR(VLOOKUP(C541,[10]Sheet2!$C$1:$F$1223,4,0),"")</f>
        <v/>
      </c>
      <c r="F541" s="75"/>
      <c r="G541" s="72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8"/>
      <c r="W541" s="44"/>
      <c r="X541" s="77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8"/>
    </row>
    <row r="542" spans="1:35">
      <c r="A542" s="44"/>
      <c r="B542" s="71" t="str">
        <f>IFERROR(VLOOKUP(C542,[10]Sheet2!$C$3:$F$1223,2,0),"")</f>
        <v/>
      </c>
      <c r="C542" s="75"/>
      <c r="D542" s="73" t="str">
        <f>IFERROR(VLOOKUP(C542,[10]Sheet2!$C$1:$F$1223,3,0),"")</f>
        <v/>
      </c>
      <c r="E542" s="73" t="str">
        <f>IFERROR(VLOOKUP(C542,[10]Sheet2!$C$1:$F$1223,4,0),"")</f>
        <v/>
      </c>
      <c r="F542" s="75"/>
      <c r="G542" s="72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8"/>
      <c r="W542" s="44"/>
      <c r="X542" s="77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8"/>
    </row>
    <row r="543" spans="1:35">
      <c r="A543" s="44"/>
      <c r="B543" s="71" t="str">
        <f>IFERROR(VLOOKUP(C543,[10]Sheet2!$C$3:$F$1223,2,0),"")</f>
        <v/>
      </c>
      <c r="C543" s="75"/>
      <c r="D543" s="73" t="str">
        <f>IFERROR(VLOOKUP(C543,[10]Sheet2!$C$1:$F$1223,3,0),"")</f>
        <v/>
      </c>
      <c r="E543" s="73" t="str">
        <f>IFERROR(VLOOKUP(C543,[10]Sheet2!$C$1:$F$1223,4,0),"")</f>
        <v/>
      </c>
      <c r="F543" s="75"/>
      <c r="G543" s="72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8"/>
      <c r="W543" s="44"/>
      <c r="X543" s="77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8"/>
    </row>
    <row r="544" spans="1:35">
      <c r="A544" s="44"/>
      <c r="B544" s="71" t="str">
        <f>IFERROR(VLOOKUP(C544,[10]Sheet2!$C$3:$F$1223,2,0),"")</f>
        <v/>
      </c>
      <c r="C544" s="75"/>
      <c r="D544" s="73" t="str">
        <f>IFERROR(VLOOKUP(C544,[10]Sheet2!$C$1:$F$1223,3,0),"")</f>
        <v/>
      </c>
      <c r="E544" s="73" t="str">
        <f>IFERROR(VLOOKUP(C544,[10]Sheet2!$C$1:$F$1223,4,0),"")</f>
        <v/>
      </c>
      <c r="F544" s="75"/>
      <c r="G544" s="72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8"/>
      <c r="W544" s="44"/>
      <c r="X544" s="77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8"/>
    </row>
    <row r="545" spans="1:35">
      <c r="A545" s="44"/>
      <c r="B545" s="71" t="str">
        <f>IFERROR(VLOOKUP(C545,[10]Sheet2!$C$3:$F$1223,2,0),"")</f>
        <v/>
      </c>
      <c r="C545" s="75"/>
      <c r="D545" s="73" t="str">
        <f>IFERROR(VLOOKUP(C545,[10]Sheet2!$C$1:$F$1223,3,0),"")</f>
        <v/>
      </c>
      <c r="E545" s="73" t="str">
        <f>IFERROR(VLOOKUP(C545,[10]Sheet2!$C$1:$F$1223,4,0),"")</f>
        <v/>
      </c>
      <c r="F545" s="75"/>
      <c r="G545" s="72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8"/>
      <c r="W545" s="44"/>
      <c r="X545" s="77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8"/>
    </row>
    <row r="546" spans="1:35">
      <c r="A546" s="44"/>
      <c r="B546" s="71" t="str">
        <f>IFERROR(VLOOKUP(C546,[10]Sheet2!$C$3:$F$1223,2,0),"")</f>
        <v/>
      </c>
      <c r="C546" s="75"/>
      <c r="D546" s="73" t="str">
        <f>IFERROR(VLOOKUP(C546,[10]Sheet2!$C$1:$F$1223,3,0),"")</f>
        <v/>
      </c>
      <c r="E546" s="73" t="str">
        <f>IFERROR(VLOOKUP(C546,[10]Sheet2!$C$1:$F$1223,4,0),"")</f>
        <v/>
      </c>
      <c r="F546" s="75"/>
      <c r="G546" s="72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8"/>
      <c r="W546" s="44"/>
      <c r="X546" s="77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8"/>
    </row>
    <row r="547" spans="1:35">
      <c r="A547" s="44"/>
      <c r="B547" s="71" t="str">
        <f>IFERROR(VLOOKUP(C547,[10]Sheet2!$C$3:$F$1223,2,0),"")</f>
        <v/>
      </c>
      <c r="C547" s="75"/>
      <c r="D547" s="73" t="str">
        <f>IFERROR(VLOOKUP(C547,[10]Sheet2!$C$1:$F$1223,3,0),"")</f>
        <v/>
      </c>
      <c r="E547" s="73" t="str">
        <f>IFERROR(VLOOKUP(C547,[10]Sheet2!$C$1:$F$1223,4,0),"")</f>
        <v/>
      </c>
      <c r="F547" s="75"/>
      <c r="G547" s="72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8"/>
      <c r="W547" s="44"/>
      <c r="X547" s="77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8"/>
    </row>
    <row r="548" spans="1:35">
      <c r="A548" s="44"/>
      <c r="B548" s="71" t="str">
        <f>IFERROR(VLOOKUP(C548,[10]Sheet2!$C$3:$F$1223,2,0),"")</f>
        <v/>
      </c>
      <c r="C548" s="75"/>
      <c r="D548" s="73" t="str">
        <f>IFERROR(VLOOKUP(C548,[10]Sheet2!$C$1:$F$1223,3,0),"")</f>
        <v/>
      </c>
      <c r="E548" s="73" t="str">
        <f>IFERROR(VLOOKUP(C548,[10]Sheet2!$C$1:$F$1223,4,0),"")</f>
        <v/>
      </c>
      <c r="F548" s="75"/>
      <c r="G548" s="72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8"/>
      <c r="W548" s="44"/>
      <c r="X548" s="77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8"/>
    </row>
    <row r="549" spans="1:35">
      <c r="A549" s="44"/>
      <c r="B549" s="71" t="str">
        <f>IFERROR(VLOOKUP(C549,[10]Sheet2!$C$3:$F$1223,2,0),"")</f>
        <v/>
      </c>
      <c r="C549" s="75"/>
      <c r="D549" s="73" t="str">
        <f>IFERROR(VLOOKUP(C549,[10]Sheet2!$C$1:$F$1223,3,0),"")</f>
        <v/>
      </c>
      <c r="E549" s="73" t="str">
        <f>IFERROR(VLOOKUP(C549,[10]Sheet2!$C$1:$F$1223,4,0),"")</f>
        <v/>
      </c>
      <c r="F549" s="75"/>
      <c r="G549" s="72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8"/>
      <c r="W549" s="44"/>
      <c r="X549" s="77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8"/>
    </row>
    <row r="550" spans="1:35">
      <c r="A550" s="44"/>
      <c r="B550" s="71" t="str">
        <f>IFERROR(VLOOKUP(C550,[10]Sheet2!$C$3:$F$1223,2,0),"")</f>
        <v/>
      </c>
      <c r="C550" s="75"/>
      <c r="D550" s="73" t="str">
        <f>IFERROR(VLOOKUP(C550,[10]Sheet2!$C$1:$F$1223,3,0),"")</f>
        <v/>
      </c>
      <c r="E550" s="73" t="str">
        <f>IFERROR(VLOOKUP(C550,[10]Sheet2!$C$1:$F$1223,4,0),"")</f>
        <v/>
      </c>
      <c r="F550" s="75"/>
      <c r="G550" s="72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8"/>
      <c r="W550" s="44"/>
      <c r="X550" s="77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8"/>
    </row>
    <row r="551" spans="1:35">
      <c r="A551" s="44"/>
      <c r="B551" s="71" t="str">
        <f>IFERROR(VLOOKUP(C551,[10]Sheet2!$C$3:$F$1223,2,0),"")</f>
        <v/>
      </c>
      <c r="C551" s="75"/>
      <c r="D551" s="73" t="str">
        <f>IFERROR(VLOOKUP(C551,[10]Sheet2!$C$1:$F$1223,3,0),"")</f>
        <v/>
      </c>
      <c r="E551" s="73" t="str">
        <f>IFERROR(VLOOKUP(C551,[10]Sheet2!$C$1:$F$1223,4,0),"")</f>
        <v/>
      </c>
      <c r="F551" s="75"/>
      <c r="G551" s="72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8"/>
      <c r="W551" s="44"/>
      <c r="X551" s="77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8"/>
    </row>
    <row r="552" spans="1:35">
      <c r="A552" s="44"/>
      <c r="B552" s="71" t="str">
        <f>IFERROR(VLOOKUP(C552,[10]Sheet2!$C$3:$F$1223,2,0),"")</f>
        <v/>
      </c>
      <c r="C552" s="75"/>
      <c r="D552" s="73" t="str">
        <f>IFERROR(VLOOKUP(C552,[10]Sheet2!$C$1:$F$1223,3,0),"")</f>
        <v/>
      </c>
      <c r="E552" s="73" t="str">
        <f>IFERROR(VLOOKUP(C552,[10]Sheet2!$C$1:$F$1223,4,0),"")</f>
        <v/>
      </c>
      <c r="F552" s="75"/>
      <c r="G552" s="72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8"/>
      <c r="W552" s="44"/>
      <c r="X552" s="77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8"/>
    </row>
    <row r="553" spans="1:35">
      <c r="A553" s="44"/>
      <c r="B553" s="71" t="str">
        <f>IFERROR(VLOOKUP(C553,[10]Sheet2!$C$3:$F$1223,2,0),"")</f>
        <v/>
      </c>
      <c r="C553" s="75"/>
      <c r="D553" s="73" t="str">
        <f>IFERROR(VLOOKUP(C553,[10]Sheet2!$C$1:$F$1223,3,0),"")</f>
        <v/>
      </c>
      <c r="E553" s="73" t="str">
        <f>IFERROR(VLOOKUP(C553,[10]Sheet2!$C$1:$F$1223,4,0),"")</f>
        <v/>
      </c>
      <c r="F553" s="75"/>
      <c r="G553" s="72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8"/>
      <c r="W553" s="44"/>
      <c r="X553" s="77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8"/>
    </row>
    <row r="554" spans="1:35">
      <c r="A554" s="44"/>
      <c r="B554" s="71" t="str">
        <f>IFERROR(VLOOKUP(C554,[10]Sheet2!$C$3:$F$1223,2,0),"")</f>
        <v/>
      </c>
      <c r="C554" s="75"/>
      <c r="D554" s="73" t="str">
        <f>IFERROR(VLOOKUP(C554,[10]Sheet2!$C$1:$F$1223,3,0),"")</f>
        <v/>
      </c>
      <c r="E554" s="73" t="str">
        <f>IFERROR(VLOOKUP(C554,[10]Sheet2!$C$1:$F$1223,4,0),"")</f>
        <v/>
      </c>
      <c r="F554" s="75"/>
      <c r="G554" s="72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8"/>
      <c r="W554" s="44"/>
      <c r="X554" s="77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8"/>
    </row>
    <row r="555" spans="1:35">
      <c r="A555" s="44"/>
      <c r="B555" s="71" t="str">
        <f>IFERROR(VLOOKUP(C555,[10]Sheet2!$C$3:$F$1223,2,0),"")</f>
        <v/>
      </c>
      <c r="C555" s="75"/>
      <c r="D555" s="73" t="str">
        <f>IFERROR(VLOOKUP(C555,[10]Sheet2!$C$1:$F$1223,3,0),"")</f>
        <v/>
      </c>
      <c r="E555" s="73" t="str">
        <f>IFERROR(VLOOKUP(C555,[10]Sheet2!$C$1:$F$1223,4,0),"")</f>
        <v/>
      </c>
      <c r="F555" s="75"/>
      <c r="G555" s="72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8"/>
      <c r="W555" s="44"/>
      <c r="X555" s="77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8"/>
    </row>
    <row r="556" spans="1:35">
      <c r="A556" s="44"/>
      <c r="B556" s="71" t="str">
        <f>IFERROR(VLOOKUP(C556,[10]Sheet2!$C$3:$F$1223,2,0),"")</f>
        <v/>
      </c>
      <c r="C556" s="75"/>
      <c r="D556" s="73" t="str">
        <f>IFERROR(VLOOKUP(C556,[10]Sheet2!$C$1:$F$1223,3,0),"")</f>
        <v/>
      </c>
      <c r="E556" s="73" t="str">
        <f>IFERROR(VLOOKUP(C556,[10]Sheet2!$C$1:$F$1223,4,0),"")</f>
        <v/>
      </c>
      <c r="F556" s="75"/>
      <c r="G556" s="72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8"/>
      <c r="W556" s="44"/>
      <c r="X556" s="77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8"/>
    </row>
    <row r="557" spans="1:35">
      <c r="A557" s="44"/>
      <c r="B557" s="71" t="str">
        <f>IFERROR(VLOOKUP(C557,[10]Sheet2!$C$3:$F$1223,2,0),"")</f>
        <v/>
      </c>
      <c r="C557" s="75"/>
      <c r="D557" s="73" t="str">
        <f>IFERROR(VLOOKUP(C557,[10]Sheet2!$C$1:$F$1223,3,0),"")</f>
        <v/>
      </c>
      <c r="E557" s="73" t="str">
        <f>IFERROR(VLOOKUP(C557,[10]Sheet2!$C$1:$F$1223,4,0),"")</f>
        <v/>
      </c>
      <c r="F557" s="75"/>
      <c r="G557" s="72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8"/>
      <c r="W557" s="44"/>
      <c r="X557" s="77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8"/>
    </row>
    <row r="558" spans="1:35">
      <c r="A558" s="44"/>
      <c r="B558" s="71" t="str">
        <f>IFERROR(VLOOKUP(C558,[10]Sheet2!$C$3:$F$1223,2,0),"")</f>
        <v/>
      </c>
      <c r="C558" s="75"/>
      <c r="D558" s="73" t="str">
        <f>IFERROR(VLOOKUP(C558,[10]Sheet2!$C$1:$F$1223,3,0),"")</f>
        <v/>
      </c>
      <c r="E558" s="73" t="str">
        <f>IFERROR(VLOOKUP(C558,[10]Sheet2!$C$1:$F$1223,4,0),"")</f>
        <v/>
      </c>
      <c r="F558" s="75"/>
      <c r="G558" s="72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8"/>
      <c r="W558" s="44"/>
      <c r="X558" s="77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8"/>
    </row>
    <row r="559" spans="1:35">
      <c r="A559" s="44"/>
      <c r="B559" s="71" t="str">
        <f>IFERROR(VLOOKUP(C559,[10]Sheet2!$C$3:$F$1223,2,0),"")</f>
        <v/>
      </c>
      <c r="C559" s="75"/>
      <c r="D559" s="73" t="str">
        <f>IFERROR(VLOOKUP(C559,[10]Sheet2!$C$1:$F$1223,3,0),"")</f>
        <v/>
      </c>
      <c r="E559" s="73" t="str">
        <f>IFERROR(VLOOKUP(C559,[10]Sheet2!$C$1:$F$1223,4,0),"")</f>
        <v/>
      </c>
      <c r="F559" s="75"/>
      <c r="G559" s="72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8"/>
      <c r="W559" s="44"/>
      <c r="X559" s="77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8"/>
    </row>
    <row r="560" spans="1:35">
      <c r="A560" s="44"/>
      <c r="B560" s="71" t="str">
        <f>IFERROR(VLOOKUP(C560,[10]Sheet2!$C$3:$F$1223,2,0),"")</f>
        <v/>
      </c>
      <c r="C560" s="75"/>
      <c r="D560" s="73" t="str">
        <f>IFERROR(VLOOKUP(C560,[10]Sheet2!$C$1:$F$1223,3,0),"")</f>
        <v/>
      </c>
      <c r="E560" s="73" t="str">
        <f>IFERROR(VLOOKUP(C560,[10]Sheet2!$C$1:$F$1223,4,0),"")</f>
        <v/>
      </c>
      <c r="F560" s="75"/>
      <c r="G560" s="72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8"/>
      <c r="W560" s="44"/>
      <c r="X560" s="77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8"/>
    </row>
    <row r="561" spans="1:35">
      <c r="A561" s="44"/>
      <c r="B561" s="71" t="str">
        <f>IFERROR(VLOOKUP(C561,[10]Sheet2!$C$3:$F$1223,2,0),"")</f>
        <v/>
      </c>
      <c r="C561" s="75"/>
      <c r="D561" s="73" t="str">
        <f>IFERROR(VLOOKUP(C561,[10]Sheet2!$C$1:$F$1223,3,0),"")</f>
        <v/>
      </c>
      <c r="E561" s="73" t="str">
        <f>IFERROR(VLOOKUP(C561,[10]Sheet2!$C$1:$F$1223,4,0),"")</f>
        <v/>
      </c>
      <c r="F561" s="75"/>
      <c r="G561" s="72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8"/>
      <c r="W561" s="44"/>
      <c r="X561" s="77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8"/>
    </row>
    <row r="562" spans="1:35">
      <c r="A562" s="44"/>
      <c r="B562" s="71" t="str">
        <f>IFERROR(VLOOKUP(C562,[10]Sheet2!$C$3:$F$1223,2,0),"")</f>
        <v/>
      </c>
      <c r="C562" s="75"/>
      <c r="D562" s="73" t="str">
        <f>IFERROR(VLOOKUP(C562,[10]Sheet2!$C$1:$F$1223,3,0),"")</f>
        <v/>
      </c>
      <c r="E562" s="73" t="str">
        <f>IFERROR(VLOOKUP(C562,[10]Sheet2!$C$1:$F$1223,4,0),"")</f>
        <v/>
      </c>
      <c r="F562" s="75"/>
      <c r="G562" s="72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8"/>
      <c r="W562" s="44"/>
      <c r="X562" s="77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8"/>
    </row>
    <row r="563" spans="1:35">
      <c r="A563" s="44"/>
      <c r="B563" s="71" t="str">
        <f>IFERROR(VLOOKUP(C563,[10]Sheet2!$C$3:$F$1223,2,0),"")</f>
        <v/>
      </c>
      <c r="C563" s="75"/>
      <c r="D563" s="73" t="str">
        <f>IFERROR(VLOOKUP(C563,[10]Sheet2!$C$1:$F$1223,3,0),"")</f>
        <v/>
      </c>
      <c r="E563" s="73" t="str">
        <f>IFERROR(VLOOKUP(C563,[10]Sheet2!$C$1:$F$1223,4,0),"")</f>
        <v/>
      </c>
      <c r="F563" s="75"/>
      <c r="G563" s="72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8"/>
      <c r="W563" s="44"/>
      <c r="X563" s="77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8"/>
    </row>
    <row r="564" spans="1:35">
      <c r="A564" s="44"/>
      <c r="B564" s="71" t="str">
        <f>IFERROR(VLOOKUP(C564,[10]Sheet2!$C$3:$F$1223,2,0),"")</f>
        <v/>
      </c>
      <c r="C564" s="75"/>
      <c r="D564" s="73" t="str">
        <f>IFERROR(VLOOKUP(C564,[10]Sheet2!$C$1:$F$1223,3,0),"")</f>
        <v/>
      </c>
      <c r="E564" s="73" t="str">
        <f>IFERROR(VLOOKUP(C564,[10]Sheet2!$C$1:$F$1223,4,0),"")</f>
        <v/>
      </c>
      <c r="F564" s="75"/>
      <c r="G564" s="72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8"/>
      <c r="W564" s="44"/>
      <c r="X564" s="77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8"/>
    </row>
    <row r="565" spans="1:35">
      <c r="A565" s="44"/>
      <c r="B565" s="71" t="str">
        <f>IFERROR(VLOOKUP(C565,[10]Sheet2!$C$3:$F$1223,2,0),"")</f>
        <v/>
      </c>
      <c r="C565" s="75"/>
      <c r="D565" s="73" t="str">
        <f>IFERROR(VLOOKUP(C565,[10]Sheet2!$C$1:$F$1223,3,0),"")</f>
        <v/>
      </c>
      <c r="E565" s="73" t="str">
        <f>IFERROR(VLOOKUP(C565,[10]Sheet2!$C$1:$F$1223,4,0),"")</f>
        <v/>
      </c>
      <c r="F565" s="75"/>
      <c r="G565" s="72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8"/>
      <c r="W565" s="44"/>
      <c r="X565" s="77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8"/>
    </row>
    <row r="566" spans="1:35">
      <c r="A566" s="44"/>
      <c r="B566" s="71" t="str">
        <f>IFERROR(VLOOKUP(C566,[10]Sheet2!$C$3:$F$1223,2,0),"")</f>
        <v/>
      </c>
      <c r="C566" s="75"/>
      <c r="D566" s="73" t="str">
        <f>IFERROR(VLOOKUP(C566,[10]Sheet2!$C$1:$F$1223,3,0),"")</f>
        <v/>
      </c>
      <c r="E566" s="73" t="str">
        <f>IFERROR(VLOOKUP(C566,[10]Sheet2!$C$1:$F$1223,4,0),"")</f>
        <v/>
      </c>
      <c r="F566" s="75"/>
      <c r="G566" s="72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8"/>
      <c r="W566" s="44"/>
      <c r="X566" s="77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8"/>
    </row>
    <row r="567" spans="1:35">
      <c r="A567" s="44"/>
      <c r="B567" s="71" t="str">
        <f>IFERROR(VLOOKUP(C567,[10]Sheet2!$C$3:$F$1223,2,0),"")</f>
        <v/>
      </c>
      <c r="C567" s="75"/>
      <c r="D567" s="73" t="str">
        <f>IFERROR(VLOOKUP(C567,[10]Sheet2!$C$1:$F$1223,3,0),"")</f>
        <v/>
      </c>
      <c r="E567" s="73" t="str">
        <f>IFERROR(VLOOKUP(C567,[10]Sheet2!$C$1:$F$1223,4,0),"")</f>
        <v/>
      </c>
      <c r="F567" s="75"/>
      <c r="G567" s="72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8"/>
      <c r="W567" s="44"/>
      <c r="X567" s="77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8"/>
    </row>
    <row r="568" spans="1:35">
      <c r="A568" s="44"/>
      <c r="B568" s="71" t="str">
        <f>IFERROR(VLOOKUP(C568,[10]Sheet2!$C$3:$F$1223,2,0),"")</f>
        <v/>
      </c>
      <c r="C568" s="75"/>
      <c r="D568" s="73" t="str">
        <f>IFERROR(VLOOKUP(C568,[10]Sheet2!$C$1:$F$1223,3,0),"")</f>
        <v/>
      </c>
      <c r="E568" s="73" t="str">
        <f>IFERROR(VLOOKUP(C568,[10]Sheet2!$C$1:$F$1223,4,0),"")</f>
        <v/>
      </c>
      <c r="F568" s="75"/>
      <c r="G568" s="72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8"/>
      <c r="W568" s="44"/>
      <c r="X568" s="77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8"/>
    </row>
    <row r="569" spans="1:35">
      <c r="A569" s="44"/>
      <c r="B569" s="71" t="str">
        <f>IFERROR(VLOOKUP(C569,[10]Sheet2!$C$3:$F$1223,2,0),"")</f>
        <v/>
      </c>
      <c r="C569" s="75"/>
      <c r="D569" s="73" t="str">
        <f>IFERROR(VLOOKUP(C569,[10]Sheet2!$C$1:$F$1223,3,0),"")</f>
        <v/>
      </c>
      <c r="E569" s="73" t="str">
        <f>IFERROR(VLOOKUP(C569,[10]Sheet2!$C$1:$F$1223,4,0),"")</f>
        <v/>
      </c>
      <c r="F569" s="75"/>
      <c r="G569" s="72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8"/>
      <c r="W569" s="44"/>
      <c r="X569" s="77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8"/>
    </row>
    <row r="570" spans="1:35">
      <c r="A570" s="44"/>
      <c r="B570" s="71" t="str">
        <f>IFERROR(VLOOKUP(C570,[10]Sheet2!$C$3:$F$1223,2,0),"")</f>
        <v/>
      </c>
      <c r="C570" s="75"/>
      <c r="D570" s="73" t="str">
        <f>IFERROR(VLOOKUP(C570,[10]Sheet2!$C$1:$F$1223,3,0),"")</f>
        <v/>
      </c>
      <c r="E570" s="73" t="str">
        <f>IFERROR(VLOOKUP(C570,[10]Sheet2!$C$1:$F$1223,4,0),"")</f>
        <v/>
      </c>
      <c r="F570" s="75"/>
      <c r="G570" s="72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8"/>
      <c r="W570" s="44"/>
      <c r="X570" s="77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8"/>
    </row>
    <row r="571" spans="1:35">
      <c r="A571" s="44"/>
      <c r="B571" s="71" t="str">
        <f>IFERROR(VLOOKUP(C571,[10]Sheet2!$C$3:$F$1223,2,0),"")</f>
        <v/>
      </c>
      <c r="C571" s="75"/>
      <c r="D571" s="73" t="str">
        <f>IFERROR(VLOOKUP(C571,[10]Sheet2!$C$1:$F$1223,3,0),"")</f>
        <v/>
      </c>
      <c r="E571" s="73" t="str">
        <f>IFERROR(VLOOKUP(C571,[10]Sheet2!$C$1:$F$1223,4,0),"")</f>
        <v/>
      </c>
      <c r="F571" s="75"/>
      <c r="G571" s="72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8"/>
      <c r="W571" s="44"/>
      <c r="X571" s="77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8"/>
    </row>
    <row r="572" spans="1:35">
      <c r="A572" s="44"/>
      <c r="B572" s="71" t="str">
        <f>IFERROR(VLOOKUP(C572,[10]Sheet2!$C$3:$F$1223,2,0),"")</f>
        <v/>
      </c>
      <c r="C572" s="75"/>
      <c r="D572" s="73" t="str">
        <f>IFERROR(VLOOKUP(C572,[10]Sheet2!$C$1:$F$1223,3,0),"")</f>
        <v/>
      </c>
      <c r="E572" s="73" t="str">
        <f>IFERROR(VLOOKUP(C572,[10]Sheet2!$C$1:$F$1223,4,0),"")</f>
        <v/>
      </c>
      <c r="F572" s="75"/>
      <c r="G572" s="72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8"/>
      <c r="W572" s="44"/>
      <c r="X572" s="77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8"/>
    </row>
    <row r="573" spans="1:35">
      <c r="A573" s="44"/>
      <c r="B573" s="71" t="str">
        <f>IFERROR(VLOOKUP(C573,[10]Sheet2!$C$3:$F$1223,2,0),"")</f>
        <v/>
      </c>
      <c r="C573" s="75"/>
      <c r="D573" s="73" t="str">
        <f>IFERROR(VLOOKUP(C573,[10]Sheet2!$C$1:$F$1223,3,0),"")</f>
        <v/>
      </c>
      <c r="E573" s="73" t="str">
        <f>IFERROR(VLOOKUP(C573,[10]Sheet2!$C$1:$F$1223,4,0),"")</f>
        <v/>
      </c>
      <c r="F573" s="75"/>
      <c r="G573" s="72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8"/>
      <c r="W573" s="44"/>
      <c r="X573" s="77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8"/>
    </row>
    <row r="574" spans="1:35">
      <c r="A574" s="44"/>
      <c r="B574" s="71" t="str">
        <f>IFERROR(VLOOKUP(C574,[10]Sheet2!$C$3:$F$1223,2,0),"")</f>
        <v/>
      </c>
      <c r="C574" s="75"/>
      <c r="D574" s="73" t="str">
        <f>IFERROR(VLOOKUP(C574,[10]Sheet2!$C$1:$F$1223,3,0),"")</f>
        <v/>
      </c>
      <c r="E574" s="73" t="str">
        <f>IFERROR(VLOOKUP(C574,[10]Sheet2!$C$1:$F$1223,4,0),"")</f>
        <v/>
      </c>
      <c r="F574" s="75"/>
      <c r="G574" s="72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8"/>
      <c r="W574" s="44"/>
      <c r="X574" s="77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8"/>
    </row>
    <row r="575" spans="1:35">
      <c r="A575" s="44"/>
      <c r="B575" s="71" t="str">
        <f>IFERROR(VLOOKUP(C575,[10]Sheet2!$C$3:$F$1223,2,0),"")</f>
        <v/>
      </c>
      <c r="C575" s="75"/>
      <c r="D575" s="73" t="str">
        <f>IFERROR(VLOOKUP(C575,[10]Sheet2!$C$1:$F$1223,3,0),"")</f>
        <v/>
      </c>
      <c r="E575" s="73" t="str">
        <f>IFERROR(VLOOKUP(C575,[10]Sheet2!$C$1:$F$1223,4,0),"")</f>
        <v/>
      </c>
      <c r="F575" s="75"/>
      <c r="G575" s="72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8"/>
      <c r="W575" s="44"/>
      <c r="X575" s="77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8"/>
    </row>
    <row r="576" spans="1:35">
      <c r="A576" s="44"/>
      <c r="B576" s="71" t="str">
        <f>IFERROR(VLOOKUP(C576,[10]Sheet2!$C$3:$F$1223,2,0),"")</f>
        <v/>
      </c>
      <c r="C576" s="75"/>
      <c r="D576" s="73" t="str">
        <f>IFERROR(VLOOKUP(C576,[10]Sheet2!$C$1:$F$1223,3,0),"")</f>
        <v/>
      </c>
      <c r="E576" s="73" t="str">
        <f>IFERROR(VLOOKUP(C576,[10]Sheet2!$C$1:$F$1223,4,0),"")</f>
        <v/>
      </c>
      <c r="F576" s="75"/>
      <c r="G576" s="72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8"/>
      <c r="W576" s="44"/>
      <c r="X576" s="77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8"/>
    </row>
    <row r="577" spans="1:35">
      <c r="A577" s="44"/>
      <c r="B577" s="71" t="str">
        <f>IFERROR(VLOOKUP(C577,[10]Sheet2!$C$3:$F$1223,2,0),"")</f>
        <v/>
      </c>
      <c r="C577" s="75"/>
      <c r="D577" s="73" t="str">
        <f>IFERROR(VLOOKUP(C577,[10]Sheet2!$C$1:$F$1223,3,0),"")</f>
        <v/>
      </c>
      <c r="E577" s="73" t="str">
        <f>IFERROR(VLOOKUP(C577,[10]Sheet2!$C$1:$F$1223,4,0),"")</f>
        <v/>
      </c>
      <c r="F577" s="75"/>
      <c r="G577" s="72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8"/>
      <c r="W577" s="44"/>
      <c r="X577" s="77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8"/>
    </row>
    <row r="578" spans="1:35">
      <c r="A578" s="44"/>
      <c r="B578" s="71" t="str">
        <f>IFERROR(VLOOKUP(C578,[10]Sheet2!$C$3:$F$1223,2,0),"")</f>
        <v/>
      </c>
      <c r="C578" s="75"/>
      <c r="D578" s="73" t="str">
        <f>IFERROR(VLOOKUP(C578,[10]Sheet2!$C$1:$F$1223,3,0),"")</f>
        <v/>
      </c>
      <c r="E578" s="73" t="str">
        <f>IFERROR(VLOOKUP(C578,[10]Sheet2!$C$1:$F$1223,4,0),"")</f>
        <v/>
      </c>
      <c r="F578" s="75"/>
      <c r="G578" s="72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8"/>
      <c r="W578" s="44"/>
      <c r="X578" s="77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8"/>
    </row>
    <row r="579" spans="1:35">
      <c r="A579" s="44"/>
      <c r="B579" s="71" t="str">
        <f>IFERROR(VLOOKUP(C579,[10]Sheet2!$C$3:$F$1223,2,0),"")</f>
        <v/>
      </c>
      <c r="C579" s="75"/>
      <c r="D579" s="73" t="str">
        <f>IFERROR(VLOOKUP(C579,[10]Sheet2!$C$1:$F$1223,3,0),"")</f>
        <v/>
      </c>
      <c r="E579" s="73" t="str">
        <f>IFERROR(VLOOKUP(C579,[10]Sheet2!$C$1:$F$1223,4,0),"")</f>
        <v/>
      </c>
      <c r="F579" s="75"/>
      <c r="G579" s="72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8"/>
      <c r="W579" s="44"/>
      <c r="X579" s="77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8"/>
    </row>
    <row r="580" spans="1:35">
      <c r="A580" s="44"/>
      <c r="B580" s="71" t="str">
        <f>IFERROR(VLOOKUP(C580,[10]Sheet2!$C$3:$F$1223,2,0),"")</f>
        <v/>
      </c>
      <c r="C580" s="75"/>
      <c r="D580" s="73" t="str">
        <f>IFERROR(VLOOKUP(C580,[10]Sheet2!$C$1:$F$1223,3,0),"")</f>
        <v/>
      </c>
      <c r="E580" s="73" t="str">
        <f>IFERROR(VLOOKUP(C580,[10]Sheet2!$C$1:$F$1223,4,0),"")</f>
        <v/>
      </c>
      <c r="F580" s="75"/>
      <c r="G580" s="72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8"/>
      <c r="W580" s="44"/>
      <c r="X580" s="77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8"/>
    </row>
    <row r="581" spans="1:35">
      <c r="A581" s="44"/>
      <c r="B581" s="71" t="str">
        <f>IFERROR(VLOOKUP(C581,[10]Sheet2!$C$3:$F$1223,2,0),"")</f>
        <v/>
      </c>
      <c r="C581" s="75"/>
      <c r="D581" s="73" t="str">
        <f>IFERROR(VLOOKUP(C581,[10]Sheet2!$C$1:$F$1223,3,0),"")</f>
        <v/>
      </c>
      <c r="E581" s="73" t="str">
        <f>IFERROR(VLOOKUP(C581,[10]Sheet2!$C$1:$F$1223,4,0),"")</f>
        <v/>
      </c>
      <c r="F581" s="75"/>
      <c r="G581" s="72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8"/>
      <c r="W581" s="44"/>
      <c r="X581" s="77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8"/>
    </row>
    <row r="582" spans="1:35">
      <c r="A582" s="44"/>
      <c r="B582" s="71" t="str">
        <f>IFERROR(VLOOKUP(C582,[10]Sheet2!$C$3:$F$1223,2,0),"")</f>
        <v/>
      </c>
      <c r="C582" s="75"/>
      <c r="D582" s="73" t="str">
        <f>IFERROR(VLOOKUP(C582,[10]Sheet2!$C$1:$F$1223,3,0),"")</f>
        <v/>
      </c>
      <c r="E582" s="73" t="str">
        <f>IFERROR(VLOOKUP(C582,[10]Sheet2!$C$1:$F$1223,4,0),"")</f>
        <v/>
      </c>
      <c r="F582" s="75"/>
      <c r="G582" s="72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8"/>
      <c r="W582" s="44"/>
      <c r="X582" s="77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8"/>
    </row>
    <row r="583" spans="1:35">
      <c r="A583" s="44"/>
      <c r="B583" s="71" t="str">
        <f>IFERROR(VLOOKUP(C583,[10]Sheet2!$C$3:$F$1223,2,0),"")</f>
        <v/>
      </c>
      <c r="C583" s="75"/>
      <c r="D583" s="73" t="str">
        <f>IFERROR(VLOOKUP(C583,[10]Sheet2!$C$1:$F$1223,3,0),"")</f>
        <v/>
      </c>
      <c r="E583" s="73" t="str">
        <f>IFERROR(VLOOKUP(C583,[10]Sheet2!$C$1:$F$1223,4,0),"")</f>
        <v/>
      </c>
      <c r="F583" s="75"/>
      <c r="G583" s="72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8"/>
      <c r="W583" s="44"/>
      <c r="X583" s="77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8"/>
    </row>
    <row r="584" spans="1:35">
      <c r="A584" s="44"/>
      <c r="B584" s="71" t="str">
        <f>IFERROR(VLOOKUP(C584,[10]Sheet2!$C$3:$F$1223,2,0),"")</f>
        <v/>
      </c>
      <c r="C584" s="75"/>
      <c r="D584" s="73" t="str">
        <f>IFERROR(VLOOKUP(C584,[10]Sheet2!$C$1:$F$1223,3,0),"")</f>
        <v/>
      </c>
      <c r="E584" s="73" t="str">
        <f>IFERROR(VLOOKUP(C584,[10]Sheet2!$C$1:$F$1223,4,0),"")</f>
        <v/>
      </c>
      <c r="F584" s="75"/>
      <c r="G584" s="72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8"/>
      <c r="W584" s="44"/>
      <c r="X584" s="77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8"/>
    </row>
    <row r="585" spans="1:35">
      <c r="A585" s="44"/>
      <c r="B585" s="71" t="str">
        <f>IFERROR(VLOOKUP(C585,[10]Sheet2!$C$3:$F$1223,2,0),"")</f>
        <v/>
      </c>
      <c r="C585" s="75"/>
      <c r="D585" s="73" t="str">
        <f>IFERROR(VLOOKUP(C585,[10]Sheet2!$C$1:$F$1223,3,0),"")</f>
        <v/>
      </c>
      <c r="E585" s="73" t="str">
        <f>IFERROR(VLOOKUP(C585,[10]Sheet2!$C$1:$F$1223,4,0),"")</f>
        <v/>
      </c>
      <c r="F585" s="75"/>
      <c r="G585" s="72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8"/>
      <c r="W585" s="44"/>
      <c r="X585" s="77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8"/>
    </row>
    <row r="586" spans="1:35">
      <c r="A586" s="44"/>
      <c r="B586" s="71" t="str">
        <f>IFERROR(VLOOKUP(C586,[10]Sheet2!$C$3:$F$1223,2,0),"")</f>
        <v/>
      </c>
      <c r="C586" s="75"/>
      <c r="D586" s="73" t="str">
        <f>IFERROR(VLOOKUP(C586,[10]Sheet2!$C$1:$F$1223,3,0),"")</f>
        <v/>
      </c>
      <c r="E586" s="73" t="str">
        <f>IFERROR(VLOOKUP(C586,[10]Sheet2!$C$1:$F$1223,4,0),"")</f>
        <v/>
      </c>
      <c r="F586" s="75"/>
      <c r="G586" s="72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8"/>
      <c r="W586" s="44"/>
      <c r="X586" s="77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8"/>
    </row>
    <row r="587" spans="1:35">
      <c r="A587" s="44"/>
      <c r="B587" s="71" t="str">
        <f>IFERROR(VLOOKUP(C587,[10]Sheet2!$C$3:$F$1223,2,0),"")</f>
        <v/>
      </c>
      <c r="C587" s="75"/>
      <c r="D587" s="73" t="str">
        <f>IFERROR(VLOOKUP(C587,[10]Sheet2!$C$1:$F$1223,3,0),"")</f>
        <v/>
      </c>
      <c r="E587" s="73" t="str">
        <f>IFERROR(VLOOKUP(C587,[10]Sheet2!$C$1:$F$1223,4,0),"")</f>
        <v/>
      </c>
      <c r="F587" s="75"/>
      <c r="G587" s="72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8"/>
      <c r="W587" s="44"/>
      <c r="X587" s="77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8"/>
    </row>
    <row r="588" spans="1:35">
      <c r="A588" s="44"/>
      <c r="B588" s="71" t="str">
        <f>IFERROR(VLOOKUP(C588,[10]Sheet2!$C$3:$F$1223,2,0),"")</f>
        <v/>
      </c>
      <c r="C588" s="75"/>
      <c r="D588" s="73" t="str">
        <f>IFERROR(VLOOKUP(C588,[10]Sheet2!$C$1:$F$1223,3,0),"")</f>
        <v/>
      </c>
      <c r="E588" s="73" t="str">
        <f>IFERROR(VLOOKUP(C588,[10]Sheet2!$C$1:$F$1223,4,0),"")</f>
        <v/>
      </c>
      <c r="F588" s="75"/>
      <c r="G588" s="72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8"/>
      <c r="W588" s="44"/>
      <c r="X588" s="77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8"/>
    </row>
    <row r="589" spans="1:35">
      <c r="A589" s="44"/>
      <c r="B589" s="71" t="str">
        <f>IFERROR(VLOOKUP(C589,[10]Sheet2!$C$3:$F$1223,2,0),"")</f>
        <v/>
      </c>
      <c r="C589" s="75"/>
      <c r="D589" s="73" t="str">
        <f>IFERROR(VLOOKUP(C589,[10]Sheet2!$C$1:$F$1223,3,0),"")</f>
        <v/>
      </c>
      <c r="E589" s="73" t="str">
        <f>IFERROR(VLOOKUP(C589,[10]Sheet2!$C$1:$F$1223,4,0),"")</f>
        <v/>
      </c>
      <c r="F589" s="75"/>
      <c r="G589" s="72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8"/>
      <c r="W589" s="44"/>
      <c r="X589" s="77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8"/>
    </row>
    <row r="590" spans="1:35">
      <c r="A590" s="44"/>
      <c r="B590" s="71" t="str">
        <f>IFERROR(VLOOKUP(C590,[10]Sheet2!$C$3:$F$1223,2,0),"")</f>
        <v/>
      </c>
      <c r="C590" s="75"/>
      <c r="D590" s="73" t="str">
        <f>IFERROR(VLOOKUP(C590,[10]Sheet2!$C$1:$F$1223,3,0),"")</f>
        <v/>
      </c>
      <c r="E590" s="73" t="str">
        <f>IFERROR(VLOOKUP(C590,[10]Sheet2!$C$1:$F$1223,4,0),"")</f>
        <v/>
      </c>
      <c r="F590" s="75"/>
      <c r="G590" s="72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8"/>
      <c r="W590" s="44"/>
      <c r="X590" s="77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8"/>
    </row>
    <row r="591" spans="1:35">
      <c r="A591" s="44"/>
      <c r="B591" s="71" t="str">
        <f>IFERROR(VLOOKUP(C591,[10]Sheet2!$C$3:$F$1223,2,0),"")</f>
        <v/>
      </c>
      <c r="C591" s="75"/>
      <c r="D591" s="73" t="str">
        <f>IFERROR(VLOOKUP(C591,[10]Sheet2!$C$1:$F$1223,3,0),"")</f>
        <v/>
      </c>
      <c r="E591" s="73" t="str">
        <f>IFERROR(VLOOKUP(C591,[10]Sheet2!$C$1:$F$1223,4,0),"")</f>
        <v/>
      </c>
      <c r="F591" s="75"/>
      <c r="G591" s="72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8"/>
      <c r="W591" s="44"/>
      <c r="X591" s="77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8"/>
    </row>
    <row r="592" spans="1:35">
      <c r="A592" s="44"/>
      <c r="B592" s="71" t="str">
        <f>IFERROR(VLOOKUP(C592,[10]Sheet2!$C$3:$F$1223,2,0),"")</f>
        <v/>
      </c>
      <c r="C592" s="75"/>
      <c r="D592" s="73" t="str">
        <f>IFERROR(VLOOKUP(C592,[10]Sheet2!$C$1:$F$1223,3,0),"")</f>
        <v/>
      </c>
      <c r="E592" s="73" t="str">
        <f>IFERROR(VLOOKUP(C592,[10]Sheet2!$C$1:$F$1223,4,0),"")</f>
        <v/>
      </c>
      <c r="F592" s="75"/>
      <c r="G592" s="72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8"/>
      <c r="W592" s="44"/>
      <c r="X592" s="77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8"/>
    </row>
    <row r="593" spans="1:35">
      <c r="A593" s="44"/>
      <c r="B593" s="71" t="str">
        <f>IFERROR(VLOOKUP(C593,[10]Sheet2!$C$3:$F$1223,2,0),"")</f>
        <v/>
      </c>
      <c r="C593" s="75"/>
      <c r="D593" s="73" t="str">
        <f>IFERROR(VLOOKUP(C593,[10]Sheet2!$C$1:$F$1223,3,0),"")</f>
        <v/>
      </c>
      <c r="E593" s="73" t="str">
        <f>IFERROR(VLOOKUP(C593,[10]Sheet2!$C$1:$F$1223,4,0),"")</f>
        <v/>
      </c>
      <c r="F593" s="75"/>
      <c r="G593" s="72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8"/>
      <c r="W593" s="44"/>
      <c r="X593" s="77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8"/>
    </row>
    <row r="594" spans="1:35">
      <c r="A594" s="44"/>
      <c r="B594" s="71" t="str">
        <f>IFERROR(VLOOKUP(C594,[10]Sheet2!$C$3:$F$1223,2,0),"")</f>
        <v/>
      </c>
      <c r="C594" s="75"/>
      <c r="D594" s="73" t="str">
        <f>IFERROR(VLOOKUP(C594,[10]Sheet2!$C$1:$F$1223,3,0),"")</f>
        <v/>
      </c>
      <c r="E594" s="73" t="str">
        <f>IFERROR(VLOOKUP(C594,[10]Sheet2!$C$1:$F$1223,4,0),"")</f>
        <v/>
      </c>
      <c r="F594" s="75"/>
      <c r="G594" s="72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8"/>
      <c r="W594" s="44"/>
      <c r="X594" s="77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8"/>
    </row>
    <row r="595" spans="1:35">
      <c r="A595" s="44"/>
      <c r="B595" s="71" t="str">
        <f>IFERROR(VLOOKUP(C595,[10]Sheet2!$C$3:$F$1223,2,0),"")</f>
        <v/>
      </c>
      <c r="C595" s="75"/>
      <c r="D595" s="73" t="str">
        <f>IFERROR(VLOOKUP(C595,[10]Sheet2!$C$1:$F$1223,3,0),"")</f>
        <v/>
      </c>
      <c r="E595" s="73" t="str">
        <f>IFERROR(VLOOKUP(C595,[10]Sheet2!$C$1:$F$1223,4,0),"")</f>
        <v/>
      </c>
      <c r="F595" s="75"/>
      <c r="G595" s="72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8"/>
      <c r="W595" s="44"/>
      <c r="X595" s="77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8"/>
    </row>
    <row r="596" spans="1:35">
      <c r="A596" s="44"/>
      <c r="B596" s="71" t="str">
        <f>IFERROR(VLOOKUP(C596,[10]Sheet2!$C$3:$F$1223,2,0),"")</f>
        <v/>
      </c>
      <c r="C596" s="75"/>
      <c r="D596" s="73" t="str">
        <f>IFERROR(VLOOKUP(C596,[10]Sheet2!$C$1:$F$1223,3,0),"")</f>
        <v/>
      </c>
      <c r="E596" s="73" t="str">
        <f>IFERROR(VLOOKUP(C596,[10]Sheet2!$C$1:$F$1223,4,0),"")</f>
        <v/>
      </c>
      <c r="F596" s="75"/>
      <c r="G596" s="72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8"/>
      <c r="W596" s="44"/>
      <c r="X596" s="77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8"/>
    </row>
    <row r="597" spans="1:35">
      <c r="A597" s="44"/>
      <c r="B597" s="71" t="str">
        <f>IFERROR(VLOOKUP(C597,[10]Sheet2!$C$3:$F$1223,2,0),"")</f>
        <v/>
      </c>
      <c r="C597" s="75"/>
      <c r="D597" s="73" t="str">
        <f>IFERROR(VLOOKUP(C597,[10]Sheet2!$C$1:$F$1223,3,0),"")</f>
        <v/>
      </c>
      <c r="E597" s="73" t="str">
        <f>IFERROR(VLOOKUP(C597,[10]Sheet2!$C$1:$F$1223,4,0),"")</f>
        <v/>
      </c>
      <c r="F597" s="75"/>
      <c r="G597" s="72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8"/>
      <c r="W597" s="44"/>
      <c r="X597" s="77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8"/>
    </row>
    <row r="598" spans="1:35">
      <c r="A598" s="44"/>
      <c r="B598" s="71" t="str">
        <f>IFERROR(VLOOKUP(C598,[10]Sheet2!$C$3:$F$1223,2,0),"")</f>
        <v/>
      </c>
      <c r="C598" s="75"/>
      <c r="D598" s="73" t="str">
        <f>IFERROR(VLOOKUP(C598,[10]Sheet2!$C$1:$F$1223,3,0),"")</f>
        <v/>
      </c>
      <c r="E598" s="73" t="str">
        <f>IFERROR(VLOOKUP(C598,[10]Sheet2!$C$1:$F$1223,4,0),"")</f>
        <v/>
      </c>
      <c r="F598" s="75"/>
      <c r="G598" s="72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8"/>
      <c r="W598" s="44"/>
      <c r="X598" s="77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8"/>
    </row>
    <row r="599" spans="1:35">
      <c r="A599" s="44"/>
      <c r="B599" s="71" t="str">
        <f>IFERROR(VLOOKUP(C599,[10]Sheet2!$C$3:$F$1223,2,0),"")</f>
        <v/>
      </c>
      <c r="C599" s="75"/>
      <c r="D599" s="73" t="str">
        <f>IFERROR(VLOOKUP(C599,[10]Sheet2!$C$1:$F$1223,3,0),"")</f>
        <v/>
      </c>
      <c r="E599" s="73" t="str">
        <f>IFERROR(VLOOKUP(C599,[10]Sheet2!$C$1:$F$1223,4,0),"")</f>
        <v/>
      </c>
      <c r="F599" s="75"/>
      <c r="G599" s="72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8"/>
      <c r="W599" s="44"/>
      <c r="X599" s="77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8"/>
    </row>
    <row r="600" spans="1:35">
      <c r="A600" s="44"/>
      <c r="B600" s="71" t="str">
        <f>IFERROR(VLOOKUP(C600,[10]Sheet2!$C$3:$F$1223,2,0),"")</f>
        <v/>
      </c>
      <c r="C600" s="75"/>
      <c r="D600" s="73" t="str">
        <f>IFERROR(VLOOKUP(C600,[10]Sheet2!$C$1:$F$1223,3,0),"")</f>
        <v/>
      </c>
      <c r="E600" s="73" t="str">
        <f>IFERROR(VLOOKUP(C600,[10]Sheet2!$C$1:$F$1223,4,0),"")</f>
        <v/>
      </c>
      <c r="F600" s="75"/>
      <c r="G600" s="72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8"/>
      <c r="W600" s="44"/>
      <c r="X600" s="77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8"/>
    </row>
    <row r="601" spans="1:35">
      <c r="A601" s="44"/>
      <c r="B601" s="71" t="str">
        <f>IFERROR(VLOOKUP(C601,[10]Sheet2!$C$3:$F$1223,2,0),"")</f>
        <v/>
      </c>
      <c r="C601" s="75"/>
      <c r="D601" s="73" t="str">
        <f>IFERROR(VLOOKUP(C601,[10]Sheet2!$C$1:$F$1223,3,0),"")</f>
        <v/>
      </c>
      <c r="E601" s="73" t="str">
        <f>IFERROR(VLOOKUP(C601,[10]Sheet2!$C$1:$F$1223,4,0),"")</f>
        <v/>
      </c>
      <c r="F601" s="75"/>
      <c r="G601" s="72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8"/>
      <c r="W601" s="44"/>
      <c r="X601" s="77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8"/>
    </row>
    <row r="602" spans="1:35">
      <c r="A602" s="44"/>
      <c r="B602" s="71" t="str">
        <f>IFERROR(VLOOKUP(C602,[10]Sheet2!$C$3:$F$1223,2,0),"")</f>
        <v/>
      </c>
      <c r="C602" s="75"/>
      <c r="D602" s="73" t="str">
        <f>IFERROR(VLOOKUP(C602,[10]Sheet2!$C$1:$F$1223,3,0),"")</f>
        <v/>
      </c>
      <c r="E602" s="73" t="str">
        <f>IFERROR(VLOOKUP(C602,[10]Sheet2!$C$1:$F$1223,4,0),"")</f>
        <v/>
      </c>
      <c r="F602" s="75"/>
      <c r="G602" s="72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8"/>
      <c r="W602" s="44"/>
      <c r="X602" s="77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8"/>
    </row>
    <row r="603" spans="1:35">
      <c r="A603" s="44"/>
      <c r="B603" s="71" t="str">
        <f>IFERROR(VLOOKUP(C603,[10]Sheet2!$C$3:$F$1223,2,0),"")</f>
        <v/>
      </c>
      <c r="C603" s="75"/>
      <c r="D603" s="73" t="str">
        <f>IFERROR(VLOOKUP(C603,[10]Sheet2!$C$1:$F$1223,3,0),"")</f>
        <v/>
      </c>
      <c r="E603" s="73" t="str">
        <f>IFERROR(VLOOKUP(C603,[10]Sheet2!$C$1:$F$1223,4,0),"")</f>
        <v/>
      </c>
      <c r="F603" s="75"/>
      <c r="G603" s="72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8"/>
      <c r="W603" s="44"/>
      <c r="X603" s="77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8"/>
    </row>
    <row r="604" spans="1:35">
      <c r="A604" s="44"/>
      <c r="B604" s="71" t="str">
        <f>IFERROR(VLOOKUP(C604,[10]Sheet2!$C$3:$F$1223,2,0),"")</f>
        <v/>
      </c>
      <c r="C604" s="75"/>
      <c r="D604" s="73" t="str">
        <f>IFERROR(VLOOKUP(C604,[10]Sheet2!$C$1:$F$1223,3,0),"")</f>
        <v/>
      </c>
      <c r="E604" s="73" t="str">
        <f>IFERROR(VLOOKUP(C604,[10]Sheet2!$C$1:$F$1223,4,0),"")</f>
        <v/>
      </c>
      <c r="F604" s="75"/>
      <c r="G604" s="72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8"/>
      <c r="W604" s="44"/>
      <c r="X604" s="77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8"/>
    </row>
    <row r="605" spans="1:35">
      <c r="A605" s="44"/>
      <c r="B605" s="71" t="str">
        <f>IFERROR(VLOOKUP(C605,[10]Sheet2!$C$3:$F$1223,2,0),"")</f>
        <v/>
      </c>
      <c r="C605" s="75"/>
      <c r="D605" s="73" t="str">
        <f>IFERROR(VLOOKUP(C605,[10]Sheet2!$C$1:$F$1223,3,0),"")</f>
        <v/>
      </c>
      <c r="E605" s="73" t="str">
        <f>IFERROR(VLOOKUP(C605,[10]Sheet2!$C$1:$F$1223,4,0),"")</f>
        <v/>
      </c>
      <c r="F605" s="75"/>
      <c r="G605" s="72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8"/>
      <c r="W605" s="44"/>
      <c r="X605" s="77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8"/>
    </row>
    <row r="606" spans="1:35">
      <c r="A606" s="44"/>
      <c r="B606" s="71" t="str">
        <f>IFERROR(VLOOKUP(C606,[10]Sheet2!$C$3:$F$1223,2,0),"")</f>
        <v/>
      </c>
      <c r="C606" s="75"/>
      <c r="D606" s="73" t="str">
        <f>IFERROR(VLOOKUP(C606,[10]Sheet2!$C$1:$F$1223,3,0),"")</f>
        <v/>
      </c>
      <c r="E606" s="73" t="str">
        <f>IFERROR(VLOOKUP(C606,[10]Sheet2!$C$1:$F$1223,4,0),"")</f>
        <v/>
      </c>
      <c r="F606" s="75"/>
      <c r="G606" s="72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8"/>
      <c r="W606" s="44"/>
      <c r="X606" s="77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8"/>
    </row>
    <row r="607" spans="1:35">
      <c r="A607" s="44"/>
      <c r="B607" s="71" t="str">
        <f>IFERROR(VLOOKUP(C607,[10]Sheet2!$C$3:$F$1223,2,0),"")</f>
        <v/>
      </c>
      <c r="C607" s="75"/>
      <c r="D607" s="73" t="str">
        <f>IFERROR(VLOOKUP(C607,[10]Sheet2!$C$1:$F$1223,3,0),"")</f>
        <v/>
      </c>
      <c r="E607" s="73" t="str">
        <f>IFERROR(VLOOKUP(C607,[10]Sheet2!$C$1:$F$1223,4,0),"")</f>
        <v/>
      </c>
      <c r="F607" s="75"/>
      <c r="G607" s="72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8"/>
      <c r="W607" s="44"/>
      <c r="X607" s="77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8"/>
    </row>
    <row r="608" spans="1:35">
      <c r="A608" s="44"/>
      <c r="B608" s="71" t="str">
        <f>IFERROR(VLOOKUP(C608,[10]Sheet2!$C$3:$F$1223,2,0),"")</f>
        <v/>
      </c>
      <c r="C608" s="75"/>
      <c r="D608" s="73" t="str">
        <f>IFERROR(VLOOKUP(C608,[10]Sheet2!$C$1:$F$1223,3,0),"")</f>
        <v/>
      </c>
      <c r="E608" s="73" t="str">
        <f>IFERROR(VLOOKUP(C608,[10]Sheet2!$C$1:$F$1223,4,0),"")</f>
        <v/>
      </c>
      <c r="F608" s="75"/>
      <c r="G608" s="72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8"/>
      <c r="W608" s="44"/>
      <c r="X608" s="77"/>
      <c r="Y608" s="75"/>
      <c r="Z608" s="75"/>
      <c r="AA608" s="75"/>
      <c r="AB608" s="75"/>
      <c r="AC608" s="75"/>
      <c r="AD608" s="75"/>
      <c r="AE608" s="75"/>
      <c r="AF608" s="75"/>
      <c r="AG608" s="75"/>
      <c r="AH608" s="75"/>
      <c r="AI608" s="78"/>
    </row>
    <row r="609" spans="1:35">
      <c r="A609" s="44"/>
      <c r="B609" s="71" t="str">
        <f>IFERROR(VLOOKUP(C609,[10]Sheet2!$C$3:$F$1223,2,0),"")</f>
        <v/>
      </c>
      <c r="C609" s="75"/>
      <c r="D609" s="73" t="str">
        <f>IFERROR(VLOOKUP(C609,[10]Sheet2!$C$1:$F$1223,3,0),"")</f>
        <v/>
      </c>
      <c r="E609" s="73" t="str">
        <f>IFERROR(VLOOKUP(C609,[10]Sheet2!$C$1:$F$1223,4,0),"")</f>
        <v/>
      </c>
      <c r="F609" s="75"/>
      <c r="G609" s="72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8"/>
      <c r="W609" s="44"/>
      <c r="X609" s="77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8"/>
    </row>
    <row r="610" spans="1:35">
      <c r="A610" s="44"/>
      <c r="B610" s="71" t="str">
        <f>IFERROR(VLOOKUP(C610,[10]Sheet2!$C$3:$F$1223,2,0),"")</f>
        <v/>
      </c>
      <c r="C610" s="75"/>
      <c r="D610" s="73" t="str">
        <f>IFERROR(VLOOKUP(C610,[10]Sheet2!$C$1:$F$1223,3,0),"")</f>
        <v/>
      </c>
      <c r="E610" s="73" t="str">
        <f>IFERROR(VLOOKUP(C610,[10]Sheet2!$C$1:$F$1223,4,0),"")</f>
        <v/>
      </c>
      <c r="F610" s="75"/>
      <c r="G610" s="72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8"/>
      <c r="W610" s="44"/>
      <c r="X610" s="77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8"/>
    </row>
    <row r="611" spans="1:35">
      <c r="A611" s="44"/>
      <c r="B611" s="71" t="str">
        <f>IFERROR(VLOOKUP(C611,[10]Sheet2!$C$3:$F$1223,2,0),"")</f>
        <v/>
      </c>
      <c r="C611" s="75"/>
      <c r="D611" s="73" t="str">
        <f>IFERROR(VLOOKUP(C611,[10]Sheet2!$C$1:$F$1223,3,0),"")</f>
        <v/>
      </c>
      <c r="E611" s="73" t="str">
        <f>IFERROR(VLOOKUP(C611,[10]Sheet2!$C$1:$F$1223,4,0),"")</f>
        <v/>
      </c>
      <c r="F611" s="75"/>
      <c r="G611" s="72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8"/>
      <c r="W611" s="44"/>
      <c r="X611" s="77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8"/>
    </row>
    <row r="612" spans="1:35">
      <c r="A612" s="44"/>
      <c r="B612" s="71" t="str">
        <f>IFERROR(VLOOKUP(C612,[10]Sheet2!$C$3:$F$1223,2,0),"")</f>
        <v/>
      </c>
      <c r="C612" s="75"/>
      <c r="D612" s="73" t="str">
        <f>IFERROR(VLOOKUP(C612,[10]Sheet2!$C$1:$F$1223,3,0),"")</f>
        <v/>
      </c>
      <c r="E612" s="73" t="str">
        <f>IFERROR(VLOOKUP(C612,[10]Sheet2!$C$1:$F$1223,4,0),"")</f>
        <v/>
      </c>
      <c r="F612" s="75"/>
      <c r="G612" s="72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8"/>
      <c r="W612" s="44"/>
      <c r="X612" s="77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8"/>
    </row>
    <row r="613" spans="1:35">
      <c r="A613" s="44"/>
      <c r="B613" s="71" t="str">
        <f>IFERROR(VLOOKUP(C613,[10]Sheet2!$C$3:$F$1223,2,0),"")</f>
        <v/>
      </c>
      <c r="C613" s="75"/>
      <c r="D613" s="73" t="str">
        <f>IFERROR(VLOOKUP(C613,[10]Sheet2!$C$1:$F$1223,3,0),"")</f>
        <v/>
      </c>
      <c r="E613" s="73" t="str">
        <f>IFERROR(VLOOKUP(C613,[10]Sheet2!$C$1:$F$1223,4,0),"")</f>
        <v/>
      </c>
      <c r="F613" s="75"/>
      <c r="G613" s="72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8"/>
      <c r="W613" s="44"/>
      <c r="X613" s="77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8"/>
    </row>
    <row r="614" spans="1:35">
      <c r="A614" s="44"/>
      <c r="B614" s="71" t="str">
        <f>IFERROR(VLOOKUP(C614,[10]Sheet2!$C$3:$F$1223,2,0),"")</f>
        <v/>
      </c>
      <c r="C614" s="75"/>
      <c r="D614" s="73" t="str">
        <f>IFERROR(VLOOKUP(C614,[10]Sheet2!$C$1:$F$1223,3,0),"")</f>
        <v/>
      </c>
      <c r="E614" s="73" t="str">
        <f>IFERROR(VLOOKUP(C614,[10]Sheet2!$C$1:$F$1223,4,0),"")</f>
        <v/>
      </c>
      <c r="F614" s="75"/>
      <c r="G614" s="72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8"/>
      <c r="W614" s="44"/>
      <c r="X614" s="77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8"/>
    </row>
    <row r="615" spans="1:35">
      <c r="A615" s="44"/>
      <c r="B615" s="71" t="str">
        <f>IFERROR(VLOOKUP(C615,[10]Sheet2!$C$3:$F$1223,2,0),"")</f>
        <v/>
      </c>
      <c r="C615" s="75"/>
      <c r="D615" s="73" t="str">
        <f>IFERROR(VLOOKUP(C615,[10]Sheet2!$C$1:$F$1223,3,0),"")</f>
        <v/>
      </c>
      <c r="E615" s="73" t="str">
        <f>IFERROR(VLOOKUP(C615,[10]Sheet2!$C$1:$F$1223,4,0),"")</f>
        <v/>
      </c>
      <c r="F615" s="75"/>
      <c r="G615" s="72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8"/>
      <c r="W615" s="44"/>
      <c r="X615" s="77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8"/>
    </row>
    <row r="616" spans="1:35">
      <c r="A616" s="44"/>
      <c r="B616" s="71" t="str">
        <f>IFERROR(VLOOKUP(C616,[10]Sheet2!$C$3:$F$1223,2,0),"")</f>
        <v/>
      </c>
      <c r="C616" s="75"/>
      <c r="D616" s="73" t="str">
        <f>IFERROR(VLOOKUP(C616,[10]Sheet2!$C$1:$F$1223,3,0),"")</f>
        <v/>
      </c>
      <c r="E616" s="73" t="str">
        <f>IFERROR(VLOOKUP(C616,[10]Sheet2!$C$1:$F$1223,4,0),"")</f>
        <v/>
      </c>
      <c r="F616" s="75"/>
      <c r="G616" s="72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8"/>
      <c r="W616" s="44"/>
      <c r="X616" s="77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8"/>
    </row>
    <row r="617" spans="1:35">
      <c r="A617" s="44"/>
      <c r="B617" s="71" t="str">
        <f>IFERROR(VLOOKUP(C617,[10]Sheet2!$C$3:$F$1223,2,0),"")</f>
        <v/>
      </c>
      <c r="C617" s="75"/>
      <c r="D617" s="73" t="str">
        <f>IFERROR(VLOOKUP(C617,[10]Sheet2!$C$1:$F$1223,3,0),"")</f>
        <v/>
      </c>
      <c r="E617" s="73" t="str">
        <f>IFERROR(VLOOKUP(C617,[10]Sheet2!$C$1:$F$1223,4,0),"")</f>
        <v/>
      </c>
      <c r="F617" s="75"/>
      <c r="G617" s="72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8"/>
      <c r="W617" s="44"/>
      <c r="X617" s="77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8"/>
    </row>
    <row r="618" spans="1:35">
      <c r="A618" s="44"/>
      <c r="B618" s="71" t="str">
        <f>IFERROR(VLOOKUP(C618,[10]Sheet2!$C$3:$F$1223,2,0),"")</f>
        <v/>
      </c>
      <c r="C618" s="75"/>
      <c r="D618" s="73" t="str">
        <f>IFERROR(VLOOKUP(C618,[10]Sheet2!$C$1:$F$1223,3,0),"")</f>
        <v/>
      </c>
      <c r="E618" s="73" t="str">
        <f>IFERROR(VLOOKUP(C618,[10]Sheet2!$C$1:$F$1223,4,0),"")</f>
        <v/>
      </c>
      <c r="F618" s="75"/>
      <c r="G618" s="72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8"/>
      <c r="W618" s="44"/>
      <c r="X618" s="77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8"/>
    </row>
    <row r="619" spans="1:35">
      <c r="A619" s="44"/>
      <c r="B619" s="71" t="str">
        <f>IFERROR(VLOOKUP(C619,[10]Sheet2!$C$3:$F$1223,2,0),"")</f>
        <v/>
      </c>
      <c r="C619" s="75"/>
      <c r="D619" s="73" t="str">
        <f>IFERROR(VLOOKUP(C619,[10]Sheet2!$C$1:$F$1223,3,0),"")</f>
        <v/>
      </c>
      <c r="E619" s="73" t="str">
        <f>IFERROR(VLOOKUP(C619,[10]Sheet2!$C$1:$F$1223,4,0),"")</f>
        <v/>
      </c>
      <c r="F619" s="75"/>
      <c r="G619" s="72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8"/>
      <c r="W619" s="44"/>
      <c r="X619" s="77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8"/>
    </row>
    <row r="620" spans="1:35">
      <c r="A620" s="44"/>
      <c r="B620" s="71" t="str">
        <f>IFERROR(VLOOKUP(C620,[10]Sheet2!$C$3:$F$1223,2,0),"")</f>
        <v/>
      </c>
      <c r="C620" s="75"/>
      <c r="D620" s="73" t="str">
        <f>IFERROR(VLOOKUP(C620,[10]Sheet2!$C$1:$F$1223,3,0),"")</f>
        <v/>
      </c>
      <c r="E620" s="73" t="str">
        <f>IFERROR(VLOOKUP(C620,[10]Sheet2!$C$1:$F$1223,4,0),"")</f>
        <v/>
      </c>
      <c r="F620" s="75"/>
      <c r="G620" s="72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8"/>
      <c r="W620" s="44"/>
      <c r="X620" s="77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8"/>
    </row>
    <row r="621" spans="1:35">
      <c r="A621" s="44"/>
      <c r="B621" s="71" t="str">
        <f>IFERROR(VLOOKUP(C621,[10]Sheet2!$C$3:$F$1223,2,0),"")</f>
        <v/>
      </c>
      <c r="C621" s="75"/>
      <c r="D621" s="73" t="str">
        <f>IFERROR(VLOOKUP(C621,[10]Sheet2!$C$1:$F$1223,3,0),"")</f>
        <v/>
      </c>
      <c r="E621" s="73" t="str">
        <f>IFERROR(VLOOKUP(C621,[10]Sheet2!$C$1:$F$1223,4,0),"")</f>
        <v/>
      </c>
      <c r="F621" s="75"/>
      <c r="G621" s="72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8"/>
      <c r="W621" s="44"/>
      <c r="X621" s="77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8"/>
    </row>
    <row r="622" spans="1:35">
      <c r="A622" s="44"/>
      <c r="B622" s="71" t="str">
        <f>IFERROR(VLOOKUP(C622,[10]Sheet2!$C$3:$F$1223,2,0),"")</f>
        <v/>
      </c>
      <c r="C622" s="75"/>
      <c r="D622" s="73" t="str">
        <f>IFERROR(VLOOKUP(C622,[10]Sheet2!$C$1:$F$1223,3,0),"")</f>
        <v/>
      </c>
      <c r="E622" s="73" t="str">
        <f>IFERROR(VLOOKUP(C622,[10]Sheet2!$C$1:$F$1223,4,0),"")</f>
        <v/>
      </c>
      <c r="F622" s="75"/>
      <c r="G622" s="72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8"/>
      <c r="W622" s="44"/>
      <c r="X622" s="77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8"/>
    </row>
    <row r="623" spans="1:35">
      <c r="A623" s="44"/>
      <c r="B623" s="71" t="str">
        <f>IFERROR(VLOOKUP(C623,[10]Sheet2!$C$3:$F$1223,2,0),"")</f>
        <v/>
      </c>
      <c r="C623" s="75"/>
      <c r="D623" s="73" t="str">
        <f>IFERROR(VLOOKUP(C623,[10]Sheet2!$C$1:$F$1223,3,0),"")</f>
        <v/>
      </c>
      <c r="E623" s="73" t="str">
        <f>IFERROR(VLOOKUP(C623,[10]Sheet2!$C$1:$F$1223,4,0),"")</f>
        <v/>
      </c>
      <c r="F623" s="75"/>
      <c r="G623" s="72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8"/>
      <c r="W623" s="44"/>
      <c r="X623" s="77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8"/>
    </row>
    <row r="624" spans="1:35">
      <c r="A624" s="44"/>
      <c r="B624" s="71" t="str">
        <f>IFERROR(VLOOKUP(C624,[10]Sheet2!$C$3:$F$1223,2,0),"")</f>
        <v/>
      </c>
      <c r="C624" s="75"/>
      <c r="D624" s="73" t="str">
        <f>IFERROR(VLOOKUP(C624,[10]Sheet2!$C$1:$F$1223,3,0),"")</f>
        <v/>
      </c>
      <c r="E624" s="73" t="str">
        <f>IFERROR(VLOOKUP(C624,[10]Sheet2!$C$1:$F$1223,4,0),"")</f>
        <v/>
      </c>
      <c r="F624" s="75"/>
      <c r="G624" s="72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8"/>
      <c r="W624" s="44"/>
      <c r="X624" s="77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8"/>
    </row>
    <row r="625" spans="1:35">
      <c r="A625" s="44"/>
      <c r="B625" s="71" t="str">
        <f>IFERROR(VLOOKUP(C625,[10]Sheet2!$C$3:$F$1223,2,0),"")</f>
        <v/>
      </c>
      <c r="C625" s="75"/>
      <c r="D625" s="73" t="str">
        <f>IFERROR(VLOOKUP(C625,[10]Sheet2!$C$1:$F$1223,3,0),"")</f>
        <v/>
      </c>
      <c r="E625" s="73" t="str">
        <f>IFERROR(VLOOKUP(C625,[10]Sheet2!$C$1:$F$1223,4,0),"")</f>
        <v/>
      </c>
      <c r="F625" s="75"/>
      <c r="G625" s="72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8"/>
      <c r="W625" s="44"/>
      <c r="X625" s="77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8"/>
    </row>
    <row r="626" spans="1:35">
      <c r="A626" s="44"/>
      <c r="B626" s="71" t="str">
        <f>IFERROR(VLOOKUP(C626,[10]Sheet2!$C$3:$F$1223,2,0),"")</f>
        <v/>
      </c>
      <c r="C626" s="75"/>
      <c r="D626" s="73" t="str">
        <f>IFERROR(VLOOKUP(C626,[10]Sheet2!$C$1:$F$1223,3,0),"")</f>
        <v/>
      </c>
      <c r="E626" s="73" t="str">
        <f>IFERROR(VLOOKUP(C626,[10]Sheet2!$C$1:$F$1223,4,0),"")</f>
        <v/>
      </c>
      <c r="F626" s="75"/>
      <c r="G626" s="72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8"/>
      <c r="W626" s="44"/>
      <c r="X626" s="77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8"/>
    </row>
    <row r="627" spans="1:35">
      <c r="A627" s="44"/>
      <c r="B627" s="71" t="str">
        <f>IFERROR(VLOOKUP(C627,[10]Sheet2!$C$3:$F$1223,2,0),"")</f>
        <v/>
      </c>
      <c r="C627" s="75"/>
      <c r="D627" s="73" t="str">
        <f>IFERROR(VLOOKUP(C627,[10]Sheet2!$C$1:$F$1223,3,0),"")</f>
        <v/>
      </c>
      <c r="E627" s="73" t="str">
        <f>IFERROR(VLOOKUP(C627,[10]Sheet2!$C$1:$F$1223,4,0),"")</f>
        <v/>
      </c>
      <c r="F627" s="75"/>
      <c r="G627" s="72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8"/>
      <c r="W627" s="44"/>
      <c r="X627" s="77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8"/>
    </row>
    <row r="628" spans="1:35">
      <c r="A628" s="44"/>
      <c r="B628" s="71" t="str">
        <f>IFERROR(VLOOKUP(C628,[10]Sheet2!$C$3:$F$1223,2,0),"")</f>
        <v/>
      </c>
      <c r="C628" s="75"/>
      <c r="D628" s="73" t="str">
        <f>IFERROR(VLOOKUP(C628,[10]Sheet2!$C$1:$F$1223,3,0),"")</f>
        <v/>
      </c>
      <c r="E628" s="73" t="str">
        <f>IFERROR(VLOOKUP(C628,[10]Sheet2!$C$1:$F$1223,4,0),"")</f>
        <v/>
      </c>
      <c r="F628" s="75"/>
      <c r="G628" s="72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8"/>
      <c r="W628" s="44"/>
      <c r="X628" s="77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8"/>
    </row>
    <row r="629" spans="1:35">
      <c r="A629" s="44"/>
      <c r="B629" s="71" t="str">
        <f>IFERROR(VLOOKUP(C629,[10]Sheet2!$C$3:$F$1223,2,0),"")</f>
        <v/>
      </c>
      <c r="C629" s="75"/>
      <c r="D629" s="73" t="str">
        <f>IFERROR(VLOOKUP(C629,[10]Sheet2!$C$1:$F$1223,3,0),"")</f>
        <v/>
      </c>
      <c r="E629" s="73" t="str">
        <f>IFERROR(VLOOKUP(C629,[10]Sheet2!$C$1:$F$1223,4,0),"")</f>
        <v/>
      </c>
      <c r="F629" s="75"/>
      <c r="G629" s="72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8"/>
      <c r="W629" s="44"/>
      <c r="X629" s="77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8"/>
    </row>
    <row r="630" spans="1:35">
      <c r="A630" s="44"/>
      <c r="B630" s="71" t="str">
        <f>IFERROR(VLOOKUP(C630,[10]Sheet2!$C$3:$F$1223,2,0),"")</f>
        <v/>
      </c>
      <c r="C630" s="75"/>
      <c r="D630" s="73" t="str">
        <f>IFERROR(VLOOKUP(C630,[10]Sheet2!$C$1:$F$1223,3,0),"")</f>
        <v/>
      </c>
      <c r="E630" s="73" t="str">
        <f>IFERROR(VLOOKUP(C630,[10]Sheet2!$C$1:$F$1223,4,0),"")</f>
        <v/>
      </c>
      <c r="F630" s="75"/>
      <c r="G630" s="72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8"/>
      <c r="W630" s="44"/>
      <c r="X630" s="77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8"/>
    </row>
    <row r="631" spans="1:35">
      <c r="A631" s="44"/>
      <c r="B631" s="71" t="str">
        <f>IFERROR(VLOOKUP(C631,[10]Sheet2!$C$3:$F$1223,2,0),"")</f>
        <v/>
      </c>
      <c r="C631" s="75"/>
      <c r="D631" s="73" t="str">
        <f>IFERROR(VLOOKUP(C631,[10]Sheet2!$C$1:$F$1223,3,0),"")</f>
        <v/>
      </c>
      <c r="E631" s="73" t="str">
        <f>IFERROR(VLOOKUP(C631,[10]Sheet2!$C$1:$F$1223,4,0),"")</f>
        <v/>
      </c>
      <c r="F631" s="75"/>
      <c r="G631" s="72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8"/>
      <c r="W631" s="44"/>
      <c r="X631" s="77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8"/>
    </row>
    <row r="632" spans="1:35">
      <c r="A632" s="44"/>
      <c r="B632" s="71" t="str">
        <f>IFERROR(VLOOKUP(C632,[10]Sheet2!$C$3:$F$1223,2,0),"")</f>
        <v/>
      </c>
      <c r="C632" s="75"/>
      <c r="D632" s="73" t="str">
        <f>IFERROR(VLOOKUP(C632,[10]Sheet2!$C$1:$F$1223,3,0),"")</f>
        <v/>
      </c>
      <c r="E632" s="73" t="str">
        <f>IFERROR(VLOOKUP(C632,[10]Sheet2!$C$1:$F$1223,4,0),"")</f>
        <v/>
      </c>
      <c r="F632" s="75"/>
      <c r="G632" s="72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8"/>
      <c r="W632" s="44"/>
      <c r="X632" s="77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8"/>
    </row>
    <row r="633" spans="1:35">
      <c r="A633" s="44"/>
      <c r="B633" s="71" t="str">
        <f>IFERROR(VLOOKUP(C633,[10]Sheet2!$C$3:$F$1223,2,0),"")</f>
        <v/>
      </c>
      <c r="C633" s="75"/>
      <c r="D633" s="73" t="str">
        <f>IFERROR(VLOOKUP(C633,[10]Sheet2!$C$1:$F$1223,3,0),"")</f>
        <v/>
      </c>
      <c r="E633" s="73" t="str">
        <f>IFERROR(VLOOKUP(C633,[10]Sheet2!$C$1:$F$1223,4,0),"")</f>
        <v/>
      </c>
      <c r="F633" s="75"/>
      <c r="G633" s="72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8"/>
      <c r="W633" s="44"/>
      <c r="X633" s="77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8"/>
    </row>
    <row r="634" spans="1:35">
      <c r="A634" s="44"/>
      <c r="B634" s="71" t="str">
        <f>IFERROR(VLOOKUP(C634,[10]Sheet2!$C$3:$F$1223,2,0),"")</f>
        <v/>
      </c>
      <c r="C634" s="75"/>
      <c r="D634" s="73" t="str">
        <f>IFERROR(VLOOKUP(C634,[10]Sheet2!$C$1:$F$1223,3,0),"")</f>
        <v/>
      </c>
      <c r="E634" s="73" t="str">
        <f>IFERROR(VLOOKUP(C634,[10]Sheet2!$C$1:$F$1223,4,0),"")</f>
        <v/>
      </c>
      <c r="F634" s="75"/>
      <c r="G634" s="72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8"/>
      <c r="W634" s="44"/>
      <c r="X634" s="77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8"/>
    </row>
    <row r="635" spans="1:35">
      <c r="A635" s="44"/>
      <c r="B635" s="71" t="str">
        <f>IFERROR(VLOOKUP(C635,[10]Sheet2!$C$3:$F$1223,2,0),"")</f>
        <v/>
      </c>
      <c r="C635" s="75"/>
      <c r="D635" s="73" t="str">
        <f>IFERROR(VLOOKUP(C635,[10]Sheet2!$C$1:$F$1223,3,0),"")</f>
        <v/>
      </c>
      <c r="E635" s="73" t="str">
        <f>IFERROR(VLOOKUP(C635,[10]Sheet2!$C$1:$F$1223,4,0),"")</f>
        <v/>
      </c>
      <c r="F635" s="75"/>
      <c r="G635" s="72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8"/>
      <c r="W635" s="44"/>
      <c r="X635" s="77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8"/>
    </row>
    <row r="636" spans="1:35">
      <c r="A636" s="44"/>
      <c r="B636" s="71" t="str">
        <f>IFERROR(VLOOKUP(C636,[10]Sheet2!$C$3:$F$1223,2,0),"")</f>
        <v/>
      </c>
      <c r="C636" s="75"/>
      <c r="D636" s="73" t="str">
        <f>IFERROR(VLOOKUP(C636,[10]Sheet2!$C$1:$F$1223,3,0),"")</f>
        <v/>
      </c>
      <c r="E636" s="73" t="str">
        <f>IFERROR(VLOOKUP(C636,[10]Sheet2!$C$1:$F$1223,4,0),"")</f>
        <v/>
      </c>
      <c r="F636" s="75"/>
      <c r="G636" s="72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8"/>
      <c r="W636" s="44"/>
      <c r="X636" s="77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8"/>
    </row>
    <row r="637" spans="1:35">
      <c r="A637" s="44"/>
      <c r="B637" s="71" t="str">
        <f>IFERROR(VLOOKUP(C637,[10]Sheet2!$C$3:$F$1223,2,0),"")</f>
        <v/>
      </c>
      <c r="C637" s="75"/>
      <c r="D637" s="73" t="str">
        <f>IFERROR(VLOOKUP(C637,[10]Sheet2!$C$1:$F$1223,3,0),"")</f>
        <v/>
      </c>
      <c r="E637" s="73" t="str">
        <f>IFERROR(VLOOKUP(C637,[10]Sheet2!$C$1:$F$1223,4,0),"")</f>
        <v/>
      </c>
      <c r="F637" s="75"/>
      <c r="G637" s="72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8"/>
      <c r="W637" s="44"/>
      <c r="X637" s="77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8"/>
    </row>
    <row r="638" spans="1:35">
      <c r="A638" s="44"/>
      <c r="B638" s="71" t="str">
        <f>IFERROR(VLOOKUP(C638,[10]Sheet2!$C$3:$F$1223,2,0),"")</f>
        <v/>
      </c>
      <c r="C638" s="75"/>
      <c r="D638" s="73" t="str">
        <f>IFERROR(VLOOKUP(C638,[10]Sheet2!$C$1:$F$1223,3,0),"")</f>
        <v/>
      </c>
      <c r="E638" s="73" t="str">
        <f>IFERROR(VLOOKUP(C638,[10]Sheet2!$C$1:$F$1223,4,0),"")</f>
        <v/>
      </c>
      <c r="F638" s="75"/>
      <c r="G638" s="72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8"/>
      <c r="W638" s="44"/>
      <c r="X638" s="77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8"/>
    </row>
    <row r="639" spans="1:35">
      <c r="A639" s="44"/>
      <c r="B639" s="71" t="str">
        <f>IFERROR(VLOOKUP(C639,[10]Sheet2!$C$3:$F$1223,2,0),"")</f>
        <v/>
      </c>
      <c r="C639" s="75"/>
      <c r="D639" s="73" t="str">
        <f>IFERROR(VLOOKUP(C639,[10]Sheet2!$C$1:$F$1223,3,0),"")</f>
        <v/>
      </c>
      <c r="E639" s="73" t="str">
        <f>IFERROR(VLOOKUP(C639,[10]Sheet2!$C$1:$F$1223,4,0),"")</f>
        <v/>
      </c>
      <c r="F639" s="75"/>
      <c r="G639" s="72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8"/>
      <c r="W639" s="44"/>
      <c r="X639" s="77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8"/>
    </row>
    <row r="640" spans="1:35">
      <c r="A640" s="44"/>
      <c r="B640" s="71" t="str">
        <f>IFERROR(VLOOKUP(C640,[10]Sheet2!$C$3:$F$1223,2,0),"")</f>
        <v/>
      </c>
      <c r="C640" s="75"/>
      <c r="D640" s="73" t="str">
        <f>IFERROR(VLOOKUP(C640,[10]Sheet2!$C$1:$F$1223,3,0),"")</f>
        <v/>
      </c>
      <c r="E640" s="73" t="str">
        <f>IFERROR(VLOOKUP(C640,[10]Sheet2!$C$1:$F$1223,4,0),"")</f>
        <v/>
      </c>
      <c r="F640" s="75"/>
      <c r="G640" s="72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8"/>
      <c r="W640" s="44"/>
      <c r="X640" s="77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8"/>
    </row>
    <row r="641" spans="1:35">
      <c r="A641" s="44"/>
      <c r="B641" s="71" t="str">
        <f>IFERROR(VLOOKUP(C641,[10]Sheet2!$C$3:$F$1223,2,0),"")</f>
        <v/>
      </c>
      <c r="C641" s="75"/>
      <c r="D641" s="73" t="str">
        <f>IFERROR(VLOOKUP(C641,[10]Sheet2!$C$1:$F$1223,3,0),"")</f>
        <v/>
      </c>
      <c r="E641" s="73" t="str">
        <f>IFERROR(VLOOKUP(C641,[10]Sheet2!$C$1:$F$1223,4,0),"")</f>
        <v/>
      </c>
      <c r="F641" s="75"/>
      <c r="G641" s="72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8"/>
      <c r="W641" s="44"/>
      <c r="X641" s="77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8"/>
    </row>
    <row r="642" spans="1:35">
      <c r="A642" s="44"/>
      <c r="B642" s="71" t="str">
        <f>IFERROR(VLOOKUP(C642,[10]Sheet2!$C$3:$F$1223,2,0),"")</f>
        <v/>
      </c>
      <c r="C642" s="75"/>
      <c r="D642" s="73" t="str">
        <f>IFERROR(VLOOKUP(C642,[10]Sheet2!$C$1:$F$1223,3,0),"")</f>
        <v/>
      </c>
      <c r="E642" s="73" t="str">
        <f>IFERROR(VLOOKUP(C642,[10]Sheet2!$C$1:$F$1223,4,0),"")</f>
        <v/>
      </c>
      <c r="F642" s="75"/>
      <c r="G642" s="72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8"/>
      <c r="W642" s="44"/>
      <c r="X642" s="77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8"/>
    </row>
    <row r="643" spans="1:35">
      <c r="A643" s="44"/>
      <c r="B643" s="71" t="str">
        <f>IFERROR(VLOOKUP(C643,[10]Sheet2!$C$3:$F$1223,2,0),"")</f>
        <v/>
      </c>
      <c r="C643" s="75"/>
      <c r="D643" s="73" t="str">
        <f>IFERROR(VLOOKUP(C643,[10]Sheet2!$C$1:$F$1223,3,0),"")</f>
        <v/>
      </c>
      <c r="E643" s="73" t="str">
        <f>IFERROR(VLOOKUP(C643,[10]Sheet2!$C$1:$F$1223,4,0),"")</f>
        <v/>
      </c>
      <c r="F643" s="75"/>
      <c r="G643" s="72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8"/>
      <c r="W643" s="44"/>
      <c r="X643" s="77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8"/>
    </row>
    <row r="644" spans="1:35">
      <c r="A644" s="44"/>
      <c r="B644" s="71" t="str">
        <f>IFERROR(VLOOKUP(C644,[10]Sheet2!$C$3:$F$1223,2,0),"")</f>
        <v/>
      </c>
      <c r="C644" s="75"/>
      <c r="D644" s="73" t="str">
        <f>IFERROR(VLOOKUP(C644,[10]Sheet2!$C$1:$F$1223,3,0),"")</f>
        <v/>
      </c>
      <c r="E644" s="73" t="str">
        <f>IFERROR(VLOOKUP(C644,[10]Sheet2!$C$1:$F$1223,4,0),"")</f>
        <v/>
      </c>
      <c r="F644" s="75"/>
      <c r="G644" s="72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8"/>
      <c r="W644" s="44"/>
      <c r="X644" s="77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8"/>
    </row>
    <row r="645" spans="1:35">
      <c r="A645" s="44"/>
      <c r="B645" s="71" t="str">
        <f>IFERROR(VLOOKUP(C645,[10]Sheet2!$C$3:$F$1223,2,0),"")</f>
        <v/>
      </c>
      <c r="C645" s="75"/>
      <c r="D645" s="73" t="str">
        <f>IFERROR(VLOOKUP(C645,[10]Sheet2!$C$1:$F$1223,3,0),"")</f>
        <v/>
      </c>
      <c r="E645" s="73" t="str">
        <f>IFERROR(VLOOKUP(C645,[10]Sheet2!$C$1:$F$1223,4,0),"")</f>
        <v/>
      </c>
      <c r="F645" s="75"/>
      <c r="G645" s="72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8"/>
      <c r="W645" s="44"/>
      <c r="X645" s="77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8"/>
    </row>
    <row r="646" spans="1:35">
      <c r="A646" s="44"/>
      <c r="B646" s="71" t="str">
        <f>IFERROR(VLOOKUP(C646,[10]Sheet2!$C$3:$F$1223,2,0),"")</f>
        <v/>
      </c>
      <c r="C646" s="75"/>
      <c r="D646" s="73" t="str">
        <f>IFERROR(VLOOKUP(C646,[10]Sheet2!$C$1:$F$1223,3,0),"")</f>
        <v/>
      </c>
      <c r="E646" s="73" t="str">
        <f>IFERROR(VLOOKUP(C646,[10]Sheet2!$C$1:$F$1223,4,0),"")</f>
        <v/>
      </c>
      <c r="F646" s="75"/>
      <c r="G646" s="72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8"/>
      <c r="W646" s="44"/>
      <c r="X646" s="77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8"/>
    </row>
    <row r="647" spans="1:35">
      <c r="A647" s="44"/>
      <c r="B647" s="71" t="str">
        <f>IFERROR(VLOOKUP(C647,[10]Sheet2!$C$3:$F$1223,2,0),"")</f>
        <v/>
      </c>
      <c r="C647" s="75"/>
      <c r="D647" s="73" t="str">
        <f>IFERROR(VLOOKUP(C647,[10]Sheet2!$C$1:$F$1223,3,0),"")</f>
        <v/>
      </c>
      <c r="E647" s="73" t="str">
        <f>IFERROR(VLOOKUP(C647,[10]Sheet2!$C$1:$F$1223,4,0),"")</f>
        <v/>
      </c>
      <c r="F647" s="75"/>
      <c r="G647" s="72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8"/>
      <c r="W647" s="44"/>
      <c r="X647" s="77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8"/>
    </row>
    <row r="648" spans="1:35">
      <c r="A648" s="44"/>
      <c r="B648" s="71" t="str">
        <f>IFERROR(VLOOKUP(C648,[10]Sheet2!$C$3:$F$1223,2,0),"")</f>
        <v/>
      </c>
      <c r="C648" s="75"/>
      <c r="D648" s="73" t="str">
        <f>IFERROR(VLOOKUP(C648,[10]Sheet2!$C$1:$F$1223,3,0),"")</f>
        <v/>
      </c>
      <c r="E648" s="73" t="str">
        <f>IFERROR(VLOOKUP(C648,[10]Sheet2!$C$1:$F$1223,4,0),"")</f>
        <v/>
      </c>
      <c r="F648" s="75"/>
      <c r="G648" s="72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8"/>
      <c r="W648" s="44"/>
      <c r="X648" s="77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8"/>
    </row>
    <row r="649" spans="1:35">
      <c r="A649" s="44"/>
      <c r="B649" s="71" t="str">
        <f>IFERROR(VLOOKUP(C649,[10]Sheet2!$C$3:$F$1223,2,0),"")</f>
        <v/>
      </c>
      <c r="C649" s="75"/>
      <c r="D649" s="73" t="str">
        <f>IFERROR(VLOOKUP(C649,[10]Sheet2!$C$1:$F$1223,3,0),"")</f>
        <v/>
      </c>
      <c r="E649" s="73" t="str">
        <f>IFERROR(VLOOKUP(C649,[10]Sheet2!$C$1:$F$1223,4,0),"")</f>
        <v/>
      </c>
      <c r="F649" s="75"/>
      <c r="G649" s="72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8"/>
      <c r="W649" s="44"/>
      <c r="X649" s="77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8"/>
    </row>
    <row r="650" spans="1:35">
      <c r="A650" s="44"/>
      <c r="B650" s="71" t="str">
        <f>IFERROR(VLOOKUP(C650,[10]Sheet2!$C$3:$F$1223,2,0),"")</f>
        <v/>
      </c>
      <c r="C650" s="75"/>
      <c r="D650" s="73" t="str">
        <f>IFERROR(VLOOKUP(C650,[10]Sheet2!$C$1:$F$1223,3,0),"")</f>
        <v/>
      </c>
      <c r="E650" s="73" t="str">
        <f>IFERROR(VLOOKUP(C650,[10]Sheet2!$C$1:$F$1223,4,0),"")</f>
        <v/>
      </c>
      <c r="F650" s="75"/>
      <c r="G650" s="72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8"/>
      <c r="W650" s="44"/>
      <c r="X650" s="77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8"/>
    </row>
    <row r="651" spans="1:35">
      <c r="A651" s="44"/>
      <c r="B651" s="71" t="str">
        <f>IFERROR(VLOOKUP(C651,[10]Sheet2!$C$3:$F$1223,2,0),"")</f>
        <v/>
      </c>
      <c r="C651" s="75"/>
      <c r="D651" s="73" t="str">
        <f>IFERROR(VLOOKUP(C651,[10]Sheet2!$C$1:$F$1223,3,0),"")</f>
        <v/>
      </c>
      <c r="E651" s="73" t="str">
        <f>IFERROR(VLOOKUP(C651,[10]Sheet2!$C$1:$F$1223,4,0),"")</f>
        <v/>
      </c>
      <c r="F651" s="75"/>
      <c r="G651" s="72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8"/>
      <c r="W651" s="44"/>
      <c r="X651" s="77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8"/>
    </row>
    <row r="652" spans="1:35">
      <c r="A652" s="44"/>
      <c r="B652" s="71" t="str">
        <f>IFERROR(VLOOKUP(C652,[10]Sheet2!$C$3:$F$1223,2,0),"")</f>
        <v/>
      </c>
      <c r="C652" s="75"/>
      <c r="D652" s="73" t="str">
        <f>IFERROR(VLOOKUP(C652,[10]Sheet2!$C$1:$F$1223,3,0),"")</f>
        <v/>
      </c>
      <c r="E652" s="73" t="str">
        <f>IFERROR(VLOOKUP(C652,[10]Sheet2!$C$1:$F$1223,4,0),"")</f>
        <v/>
      </c>
      <c r="F652" s="75"/>
      <c r="G652" s="72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8"/>
      <c r="W652" s="44"/>
      <c r="X652" s="77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8"/>
    </row>
    <row r="653" spans="1:35">
      <c r="A653" s="44"/>
      <c r="B653" s="71" t="str">
        <f>IFERROR(VLOOKUP(C653,[10]Sheet2!$C$3:$F$1223,2,0),"")</f>
        <v/>
      </c>
      <c r="C653" s="75"/>
      <c r="D653" s="73" t="str">
        <f>IFERROR(VLOOKUP(C653,[10]Sheet2!$C$1:$F$1223,3,0),"")</f>
        <v/>
      </c>
      <c r="E653" s="73" t="str">
        <f>IFERROR(VLOOKUP(C653,[10]Sheet2!$C$1:$F$1223,4,0),"")</f>
        <v/>
      </c>
      <c r="F653" s="75"/>
      <c r="G653" s="72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8"/>
      <c r="W653" s="44"/>
      <c r="X653" s="77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8"/>
    </row>
    <row r="654" spans="1:35">
      <c r="A654" s="44"/>
      <c r="B654" s="71" t="str">
        <f>IFERROR(VLOOKUP(C654,[10]Sheet2!$C$3:$F$1223,2,0),"")</f>
        <v/>
      </c>
      <c r="C654" s="75"/>
      <c r="D654" s="73" t="str">
        <f>IFERROR(VLOOKUP(C654,[10]Sheet2!$C$1:$F$1223,3,0),"")</f>
        <v/>
      </c>
      <c r="E654" s="73" t="str">
        <f>IFERROR(VLOOKUP(C654,[10]Sheet2!$C$1:$F$1223,4,0),"")</f>
        <v/>
      </c>
      <c r="F654" s="75"/>
      <c r="G654" s="72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8"/>
      <c r="W654" s="44"/>
      <c r="X654" s="77"/>
      <c r="Y654" s="75"/>
      <c r="Z654" s="75"/>
      <c r="AA654" s="75"/>
      <c r="AB654" s="75"/>
      <c r="AC654" s="75"/>
      <c r="AD654" s="75"/>
      <c r="AE654" s="75"/>
      <c r="AF654" s="75"/>
      <c r="AG654" s="75"/>
      <c r="AH654" s="75"/>
      <c r="AI654" s="78"/>
    </row>
    <row r="655" spans="1:35">
      <c r="A655" s="44"/>
      <c r="B655" s="71" t="str">
        <f>IFERROR(VLOOKUP(C655,[10]Sheet2!$C$3:$F$1223,2,0),"")</f>
        <v/>
      </c>
      <c r="C655" s="75"/>
      <c r="D655" s="73" t="str">
        <f>IFERROR(VLOOKUP(C655,[10]Sheet2!$C$1:$F$1223,3,0),"")</f>
        <v/>
      </c>
      <c r="E655" s="73" t="str">
        <f>IFERROR(VLOOKUP(C655,[10]Sheet2!$C$1:$F$1223,4,0),"")</f>
        <v/>
      </c>
      <c r="F655" s="75"/>
      <c r="G655" s="72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8"/>
      <c r="W655" s="44"/>
      <c r="X655" s="77"/>
      <c r="Y655" s="75"/>
      <c r="Z655" s="75"/>
      <c r="AA655" s="75"/>
      <c r="AB655" s="75"/>
      <c r="AC655" s="75"/>
      <c r="AD655" s="75"/>
      <c r="AE655" s="75"/>
      <c r="AF655" s="75"/>
      <c r="AG655" s="75"/>
      <c r="AH655" s="75"/>
      <c r="AI655" s="78"/>
    </row>
    <row r="656" spans="1:35">
      <c r="A656" s="44"/>
      <c r="B656" s="71" t="str">
        <f>IFERROR(VLOOKUP(C656,[10]Sheet2!$C$3:$F$1223,2,0),"")</f>
        <v/>
      </c>
      <c r="C656" s="75"/>
      <c r="D656" s="73" t="str">
        <f>IFERROR(VLOOKUP(C656,[10]Sheet2!$C$1:$F$1223,3,0),"")</f>
        <v/>
      </c>
      <c r="E656" s="73" t="str">
        <f>IFERROR(VLOOKUP(C656,[10]Sheet2!$C$1:$F$1223,4,0),"")</f>
        <v/>
      </c>
      <c r="F656" s="75"/>
      <c r="G656" s="72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8"/>
      <c r="W656" s="44"/>
      <c r="X656" s="77"/>
      <c r="Y656" s="75"/>
      <c r="Z656" s="75"/>
      <c r="AA656" s="75"/>
      <c r="AB656" s="75"/>
      <c r="AC656" s="75"/>
      <c r="AD656" s="75"/>
      <c r="AE656" s="75"/>
      <c r="AF656" s="75"/>
      <c r="AG656" s="75"/>
      <c r="AH656" s="75"/>
      <c r="AI656" s="78"/>
    </row>
    <row r="657" spans="1:35">
      <c r="A657" s="44"/>
      <c r="B657" s="71" t="str">
        <f>IFERROR(VLOOKUP(C657,[10]Sheet2!$C$3:$F$1223,2,0),"")</f>
        <v/>
      </c>
      <c r="C657" s="75"/>
      <c r="D657" s="73" t="str">
        <f>IFERROR(VLOOKUP(C657,[10]Sheet2!$C$1:$F$1223,3,0),"")</f>
        <v/>
      </c>
      <c r="E657" s="73" t="str">
        <f>IFERROR(VLOOKUP(C657,[10]Sheet2!$C$1:$F$1223,4,0),"")</f>
        <v/>
      </c>
      <c r="F657" s="75"/>
      <c r="G657" s="72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8"/>
      <c r="W657" s="44"/>
      <c r="X657" s="77"/>
      <c r="Y657" s="75"/>
      <c r="Z657" s="75"/>
      <c r="AA657" s="75"/>
      <c r="AB657" s="75"/>
      <c r="AC657" s="75"/>
      <c r="AD657" s="75"/>
      <c r="AE657" s="75"/>
      <c r="AF657" s="75"/>
      <c r="AG657" s="75"/>
      <c r="AH657" s="75"/>
      <c r="AI657" s="78"/>
    </row>
    <row r="658" spans="1:35">
      <c r="A658" s="44"/>
      <c r="B658" s="71" t="str">
        <f>IFERROR(VLOOKUP(C658,[10]Sheet2!$C$3:$F$1223,2,0),"")</f>
        <v/>
      </c>
      <c r="C658" s="75"/>
      <c r="D658" s="73" t="str">
        <f>IFERROR(VLOOKUP(C658,[10]Sheet2!$C$1:$F$1223,3,0),"")</f>
        <v/>
      </c>
      <c r="E658" s="73" t="str">
        <f>IFERROR(VLOOKUP(C658,[10]Sheet2!$C$1:$F$1223,4,0),"")</f>
        <v/>
      </c>
      <c r="F658" s="75"/>
      <c r="G658" s="72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8"/>
      <c r="W658" s="44"/>
      <c r="X658" s="77"/>
      <c r="Y658" s="75"/>
      <c r="Z658" s="75"/>
      <c r="AA658" s="75"/>
      <c r="AB658" s="75"/>
      <c r="AC658" s="75"/>
      <c r="AD658" s="75"/>
      <c r="AE658" s="75"/>
      <c r="AF658" s="75"/>
      <c r="AG658" s="75"/>
      <c r="AH658" s="75"/>
      <c r="AI658" s="78"/>
    </row>
    <row r="659" spans="1:35">
      <c r="A659" s="44"/>
      <c r="B659" s="71" t="str">
        <f>IFERROR(VLOOKUP(C659,[10]Sheet2!$C$3:$F$1223,2,0),"")</f>
        <v/>
      </c>
      <c r="C659" s="75"/>
      <c r="D659" s="73" t="str">
        <f>IFERROR(VLOOKUP(C659,[10]Sheet2!$C$1:$F$1223,3,0),"")</f>
        <v/>
      </c>
      <c r="E659" s="73" t="str">
        <f>IFERROR(VLOOKUP(C659,[10]Sheet2!$C$1:$F$1223,4,0),"")</f>
        <v/>
      </c>
      <c r="F659" s="75"/>
      <c r="G659" s="72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8"/>
      <c r="W659" s="44"/>
      <c r="X659" s="77"/>
      <c r="Y659" s="75"/>
      <c r="Z659" s="75"/>
      <c r="AA659" s="75"/>
      <c r="AB659" s="75"/>
      <c r="AC659" s="75"/>
      <c r="AD659" s="75"/>
      <c r="AE659" s="75"/>
      <c r="AF659" s="75"/>
      <c r="AG659" s="75"/>
      <c r="AH659" s="75"/>
      <c r="AI659" s="78"/>
    </row>
    <row r="660" spans="1:35">
      <c r="A660" s="44"/>
      <c r="B660" s="71" t="str">
        <f>IFERROR(VLOOKUP(C660,[10]Sheet2!$C$3:$F$1223,2,0),"")</f>
        <v/>
      </c>
      <c r="C660" s="75"/>
      <c r="D660" s="73" t="str">
        <f>IFERROR(VLOOKUP(C660,[10]Sheet2!$C$1:$F$1223,3,0),"")</f>
        <v/>
      </c>
      <c r="E660" s="73" t="str">
        <f>IFERROR(VLOOKUP(C660,[10]Sheet2!$C$1:$F$1223,4,0),"")</f>
        <v/>
      </c>
      <c r="F660" s="75"/>
      <c r="G660" s="72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8"/>
      <c r="W660" s="44"/>
      <c r="X660" s="77"/>
      <c r="Y660" s="75"/>
      <c r="Z660" s="75"/>
      <c r="AA660" s="75"/>
      <c r="AB660" s="75"/>
      <c r="AC660" s="75"/>
      <c r="AD660" s="75"/>
      <c r="AE660" s="75"/>
      <c r="AF660" s="75"/>
      <c r="AG660" s="75"/>
      <c r="AH660" s="75"/>
      <c r="AI660" s="78"/>
    </row>
    <row r="661" spans="1:35">
      <c r="A661" s="44"/>
      <c r="B661" s="71" t="str">
        <f>IFERROR(VLOOKUP(C661,[10]Sheet2!$C$3:$F$1223,2,0),"")</f>
        <v/>
      </c>
      <c r="C661" s="75"/>
      <c r="D661" s="73" t="str">
        <f>IFERROR(VLOOKUP(C661,[10]Sheet2!$C$1:$F$1223,3,0),"")</f>
        <v/>
      </c>
      <c r="E661" s="73" t="str">
        <f>IFERROR(VLOOKUP(C661,[10]Sheet2!$C$1:$F$1223,4,0),"")</f>
        <v/>
      </c>
      <c r="F661" s="75"/>
      <c r="G661" s="72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8"/>
      <c r="W661" s="44"/>
      <c r="X661" s="77"/>
      <c r="Y661" s="75"/>
      <c r="Z661" s="75"/>
      <c r="AA661" s="75"/>
      <c r="AB661" s="75"/>
      <c r="AC661" s="75"/>
      <c r="AD661" s="75"/>
      <c r="AE661" s="75"/>
      <c r="AF661" s="75"/>
      <c r="AG661" s="75"/>
      <c r="AH661" s="75"/>
      <c r="AI661" s="78"/>
    </row>
    <row r="662" spans="1:35">
      <c r="A662" s="44"/>
      <c r="B662" s="71" t="str">
        <f>IFERROR(VLOOKUP(C662,[10]Sheet2!$C$3:$F$1223,2,0),"")</f>
        <v/>
      </c>
      <c r="C662" s="75"/>
      <c r="D662" s="73" t="str">
        <f>IFERROR(VLOOKUP(C662,[10]Sheet2!$C$1:$F$1223,3,0),"")</f>
        <v/>
      </c>
      <c r="E662" s="73" t="str">
        <f>IFERROR(VLOOKUP(C662,[10]Sheet2!$C$1:$F$1223,4,0),"")</f>
        <v/>
      </c>
      <c r="F662" s="75"/>
      <c r="G662" s="72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8"/>
      <c r="W662" s="44"/>
      <c r="X662" s="77"/>
      <c r="Y662" s="75"/>
      <c r="Z662" s="75"/>
      <c r="AA662" s="75"/>
      <c r="AB662" s="75"/>
      <c r="AC662" s="75"/>
      <c r="AD662" s="75"/>
      <c r="AE662" s="75"/>
      <c r="AF662" s="75"/>
      <c r="AG662" s="75"/>
      <c r="AH662" s="75"/>
      <c r="AI662" s="78"/>
    </row>
    <row r="663" spans="1:35">
      <c r="A663" s="44"/>
      <c r="B663" s="71" t="str">
        <f>IFERROR(VLOOKUP(C663,[10]Sheet2!$C$3:$F$1223,2,0),"")</f>
        <v/>
      </c>
      <c r="C663" s="75"/>
      <c r="D663" s="73" t="str">
        <f>IFERROR(VLOOKUP(C663,[10]Sheet2!$C$1:$F$1223,3,0),"")</f>
        <v/>
      </c>
      <c r="E663" s="73" t="str">
        <f>IFERROR(VLOOKUP(C663,[10]Sheet2!$C$1:$F$1223,4,0),"")</f>
        <v/>
      </c>
      <c r="F663" s="75"/>
      <c r="G663" s="72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8"/>
      <c r="W663" s="44"/>
      <c r="X663" s="77"/>
      <c r="Y663" s="75"/>
      <c r="Z663" s="75"/>
      <c r="AA663" s="75"/>
      <c r="AB663" s="75"/>
      <c r="AC663" s="75"/>
      <c r="AD663" s="75"/>
      <c r="AE663" s="75"/>
      <c r="AF663" s="75"/>
      <c r="AG663" s="75"/>
      <c r="AH663" s="75"/>
      <c r="AI663" s="78"/>
    </row>
    <row r="664" spans="1:35">
      <c r="A664" s="44"/>
      <c r="B664" s="71" t="str">
        <f>IFERROR(VLOOKUP(C664,[10]Sheet2!$C$3:$F$1223,2,0),"")</f>
        <v/>
      </c>
      <c r="C664" s="75"/>
      <c r="D664" s="73" t="str">
        <f>IFERROR(VLOOKUP(C664,[10]Sheet2!$C$1:$F$1223,3,0),"")</f>
        <v/>
      </c>
      <c r="E664" s="73" t="str">
        <f>IFERROR(VLOOKUP(C664,[10]Sheet2!$C$1:$F$1223,4,0),"")</f>
        <v/>
      </c>
      <c r="F664" s="75"/>
      <c r="G664" s="72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8"/>
      <c r="W664" s="44"/>
      <c r="X664" s="77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8"/>
    </row>
    <row r="665" spans="1:35">
      <c r="A665" s="44"/>
      <c r="B665" s="71" t="str">
        <f>IFERROR(VLOOKUP(C665,[10]Sheet2!$C$3:$F$1223,2,0),"")</f>
        <v/>
      </c>
      <c r="C665" s="75"/>
      <c r="D665" s="73" t="str">
        <f>IFERROR(VLOOKUP(C665,[10]Sheet2!$C$1:$F$1223,3,0),"")</f>
        <v/>
      </c>
      <c r="E665" s="73" t="str">
        <f>IFERROR(VLOOKUP(C665,[10]Sheet2!$C$1:$F$1223,4,0),"")</f>
        <v/>
      </c>
      <c r="F665" s="75"/>
      <c r="G665" s="72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8"/>
      <c r="W665" s="44"/>
      <c r="X665" s="77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8"/>
    </row>
    <row r="666" spans="1:35">
      <c r="A666" s="44"/>
      <c r="B666" s="71" t="str">
        <f>IFERROR(VLOOKUP(C666,[10]Sheet2!$C$3:$F$1223,2,0),"")</f>
        <v/>
      </c>
      <c r="C666" s="75"/>
      <c r="D666" s="73" t="str">
        <f>IFERROR(VLOOKUP(C666,[10]Sheet2!$C$1:$F$1223,3,0),"")</f>
        <v/>
      </c>
      <c r="E666" s="73" t="str">
        <f>IFERROR(VLOOKUP(C666,[10]Sheet2!$C$1:$F$1223,4,0),"")</f>
        <v/>
      </c>
      <c r="F666" s="75"/>
      <c r="G666" s="72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8"/>
      <c r="W666" s="44"/>
      <c r="X666" s="77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8"/>
    </row>
    <row r="667" spans="1:35">
      <c r="A667" s="44"/>
      <c r="B667" s="71" t="str">
        <f>IFERROR(VLOOKUP(C667,[10]Sheet2!$C$3:$F$1223,2,0),"")</f>
        <v/>
      </c>
      <c r="C667" s="75"/>
      <c r="D667" s="73" t="str">
        <f>IFERROR(VLOOKUP(C667,[10]Sheet2!$C$1:$F$1223,3,0),"")</f>
        <v/>
      </c>
      <c r="E667" s="73" t="str">
        <f>IFERROR(VLOOKUP(C667,[10]Sheet2!$C$1:$F$1223,4,0),"")</f>
        <v/>
      </c>
      <c r="F667" s="75"/>
      <c r="G667" s="72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8"/>
      <c r="W667" s="44"/>
      <c r="X667" s="77"/>
      <c r="Y667" s="75"/>
      <c r="Z667" s="75"/>
      <c r="AA667" s="75"/>
      <c r="AB667" s="75"/>
      <c r="AC667" s="75"/>
      <c r="AD667" s="75"/>
      <c r="AE667" s="75"/>
      <c r="AF667" s="75"/>
      <c r="AG667" s="75"/>
      <c r="AH667" s="75"/>
      <c r="AI667" s="78"/>
    </row>
    <row r="668" spans="1:35">
      <c r="A668" s="44"/>
      <c r="B668" s="71" t="str">
        <f>IFERROR(VLOOKUP(C668,[10]Sheet2!$C$3:$F$1223,2,0),"")</f>
        <v/>
      </c>
      <c r="C668" s="75"/>
      <c r="D668" s="73" t="str">
        <f>IFERROR(VLOOKUP(C668,[10]Sheet2!$C$1:$F$1223,3,0),"")</f>
        <v/>
      </c>
      <c r="E668" s="73" t="str">
        <f>IFERROR(VLOOKUP(C668,[10]Sheet2!$C$1:$F$1223,4,0),"")</f>
        <v/>
      </c>
      <c r="F668" s="75"/>
      <c r="G668" s="72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8"/>
      <c r="W668" s="44"/>
      <c r="X668" s="77"/>
      <c r="Y668" s="75"/>
      <c r="Z668" s="75"/>
      <c r="AA668" s="75"/>
      <c r="AB668" s="75"/>
      <c r="AC668" s="75"/>
      <c r="AD668" s="75"/>
      <c r="AE668" s="75"/>
      <c r="AF668" s="75"/>
      <c r="AG668" s="75"/>
      <c r="AH668" s="75"/>
      <c r="AI668" s="78"/>
    </row>
    <row r="669" spans="1:35">
      <c r="A669" s="44"/>
      <c r="B669" s="71" t="str">
        <f>IFERROR(VLOOKUP(C669,[10]Sheet2!$C$3:$F$1223,2,0),"")</f>
        <v/>
      </c>
      <c r="C669" s="75"/>
      <c r="D669" s="73" t="str">
        <f>IFERROR(VLOOKUP(C669,[10]Sheet2!$C$1:$F$1223,3,0),"")</f>
        <v/>
      </c>
      <c r="E669" s="73" t="str">
        <f>IFERROR(VLOOKUP(C669,[10]Sheet2!$C$1:$F$1223,4,0),"")</f>
        <v/>
      </c>
      <c r="F669" s="75"/>
      <c r="G669" s="72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8"/>
      <c r="W669" s="44"/>
      <c r="X669" s="77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8"/>
    </row>
    <row r="670" spans="1:35">
      <c r="A670" s="44"/>
      <c r="B670" s="71" t="str">
        <f>IFERROR(VLOOKUP(C670,[10]Sheet2!$C$3:$F$1223,2,0),"")</f>
        <v/>
      </c>
      <c r="C670" s="75"/>
      <c r="D670" s="73" t="str">
        <f>IFERROR(VLOOKUP(C670,[10]Sheet2!$C$1:$F$1223,3,0),"")</f>
        <v/>
      </c>
      <c r="E670" s="73" t="str">
        <f>IFERROR(VLOOKUP(C670,[10]Sheet2!$C$1:$F$1223,4,0),"")</f>
        <v/>
      </c>
      <c r="F670" s="75"/>
      <c r="G670" s="72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8"/>
      <c r="W670" s="44"/>
      <c r="X670" s="77"/>
      <c r="Y670" s="75"/>
      <c r="Z670" s="75"/>
      <c r="AA670" s="75"/>
      <c r="AB670" s="75"/>
      <c r="AC670" s="75"/>
      <c r="AD670" s="75"/>
      <c r="AE670" s="75"/>
      <c r="AF670" s="75"/>
      <c r="AG670" s="75"/>
      <c r="AH670" s="75"/>
      <c r="AI670" s="78"/>
    </row>
    <row r="671" spans="1:35">
      <c r="A671" s="44"/>
      <c r="B671" s="71" t="str">
        <f>IFERROR(VLOOKUP(C671,[10]Sheet2!$C$3:$F$1223,2,0),"")</f>
        <v/>
      </c>
      <c r="C671" s="75"/>
      <c r="D671" s="73" t="str">
        <f>IFERROR(VLOOKUP(C671,[10]Sheet2!$C$1:$F$1223,3,0),"")</f>
        <v/>
      </c>
      <c r="E671" s="73" t="str">
        <f>IFERROR(VLOOKUP(C671,[10]Sheet2!$C$1:$F$1223,4,0),"")</f>
        <v/>
      </c>
      <c r="F671" s="75"/>
      <c r="G671" s="72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8"/>
      <c r="W671" s="44"/>
      <c r="X671" s="77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8"/>
    </row>
    <row r="672" spans="1:35">
      <c r="A672" s="44"/>
      <c r="B672" s="71" t="str">
        <f>IFERROR(VLOOKUP(C672,[10]Sheet2!$C$3:$F$1223,2,0),"")</f>
        <v/>
      </c>
      <c r="C672" s="75"/>
      <c r="D672" s="73" t="str">
        <f>IFERROR(VLOOKUP(C672,[10]Sheet2!$C$1:$F$1223,3,0),"")</f>
        <v/>
      </c>
      <c r="E672" s="73" t="str">
        <f>IFERROR(VLOOKUP(C672,[10]Sheet2!$C$1:$F$1223,4,0),"")</f>
        <v/>
      </c>
      <c r="F672" s="75"/>
      <c r="G672" s="72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8"/>
      <c r="W672" s="44"/>
      <c r="X672" s="77"/>
      <c r="Y672" s="75"/>
      <c r="Z672" s="75"/>
      <c r="AA672" s="75"/>
      <c r="AB672" s="75"/>
      <c r="AC672" s="75"/>
      <c r="AD672" s="75"/>
      <c r="AE672" s="75"/>
      <c r="AF672" s="75"/>
      <c r="AG672" s="75"/>
      <c r="AH672" s="75"/>
      <c r="AI672" s="78"/>
    </row>
    <row r="673" spans="1:35">
      <c r="A673" s="44"/>
      <c r="B673" s="71" t="str">
        <f>IFERROR(VLOOKUP(C673,[10]Sheet2!$C$3:$F$1223,2,0),"")</f>
        <v/>
      </c>
      <c r="C673" s="75"/>
      <c r="D673" s="73" t="str">
        <f>IFERROR(VLOOKUP(C673,[10]Sheet2!$C$1:$F$1223,3,0),"")</f>
        <v/>
      </c>
      <c r="E673" s="73" t="str">
        <f>IFERROR(VLOOKUP(C673,[10]Sheet2!$C$1:$F$1223,4,0),"")</f>
        <v/>
      </c>
      <c r="F673" s="75"/>
      <c r="G673" s="72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8"/>
      <c r="W673" s="44"/>
      <c r="X673" s="77"/>
      <c r="Y673" s="75"/>
      <c r="Z673" s="75"/>
      <c r="AA673" s="75"/>
      <c r="AB673" s="75"/>
      <c r="AC673" s="75"/>
      <c r="AD673" s="75"/>
      <c r="AE673" s="75"/>
      <c r="AF673" s="75"/>
      <c r="AG673" s="75"/>
      <c r="AH673" s="75"/>
      <c r="AI673" s="78"/>
    </row>
    <row r="674" spans="1:35">
      <c r="A674" s="44"/>
      <c r="B674" s="71" t="str">
        <f>IFERROR(VLOOKUP(C674,[10]Sheet2!$C$3:$F$1223,2,0),"")</f>
        <v/>
      </c>
      <c r="C674" s="75"/>
      <c r="D674" s="73" t="str">
        <f>IFERROR(VLOOKUP(C674,[10]Sheet2!$C$1:$F$1223,3,0),"")</f>
        <v/>
      </c>
      <c r="E674" s="73" t="str">
        <f>IFERROR(VLOOKUP(C674,[10]Sheet2!$C$1:$F$1223,4,0),"")</f>
        <v/>
      </c>
      <c r="F674" s="75"/>
      <c r="G674" s="72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8"/>
      <c r="W674" s="44"/>
      <c r="X674" s="77"/>
      <c r="Y674" s="75"/>
      <c r="Z674" s="75"/>
      <c r="AA674" s="75"/>
      <c r="AB674" s="75"/>
      <c r="AC674" s="75"/>
      <c r="AD674" s="75"/>
      <c r="AE674" s="75"/>
      <c r="AF674" s="75"/>
      <c r="AG674" s="75"/>
      <c r="AH674" s="75"/>
      <c r="AI674" s="78"/>
    </row>
    <row r="675" spans="1:35">
      <c r="A675" s="44"/>
      <c r="B675" s="71" t="str">
        <f>IFERROR(VLOOKUP(C675,[10]Sheet2!$C$3:$F$1223,2,0),"")</f>
        <v/>
      </c>
      <c r="C675" s="75"/>
      <c r="D675" s="73" t="str">
        <f>IFERROR(VLOOKUP(C675,[10]Sheet2!$C$1:$F$1223,3,0),"")</f>
        <v/>
      </c>
      <c r="E675" s="73" t="str">
        <f>IFERROR(VLOOKUP(C675,[10]Sheet2!$C$1:$F$1223,4,0),"")</f>
        <v/>
      </c>
      <c r="F675" s="75"/>
      <c r="G675" s="72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8"/>
      <c r="W675" s="44"/>
      <c r="X675" s="77"/>
      <c r="Y675" s="75"/>
      <c r="Z675" s="75"/>
      <c r="AA675" s="75"/>
      <c r="AB675" s="75"/>
      <c r="AC675" s="75"/>
      <c r="AD675" s="75"/>
      <c r="AE675" s="75"/>
      <c r="AF675" s="75"/>
      <c r="AG675" s="75"/>
      <c r="AH675" s="75"/>
      <c r="AI675" s="78"/>
    </row>
    <row r="676" spans="1:35">
      <c r="A676" s="44"/>
      <c r="B676" s="71" t="str">
        <f>IFERROR(VLOOKUP(C676,[10]Sheet2!$C$3:$F$1223,2,0),"")</f>
        <v/>
      </c>
      <c r="C676" s="75"/>
      <c r="D676" s="73" t="str">
        <f>IFERROR(VLOOKUP(C676,[10]Sheet2!$C$1:$F$1223,3,0),"")</f>
        <v/>
      </c>
      <c r="E676" s="73" t="str">
        <f>IFERROR(VLOOKUP(C676,[10]Sheet2!$C$1:$F$1223,4,0),"")</f>
        <v/>
      </c>
      <c r="F676" s="75"/>
      <c r="G676" s="72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8"/>
      <c r="W676" s="44"/>
      <c r="X676" s="77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8"/>
    </row>
    <row r="677" spans="1:35">
      <c r="A677" s="44"/>
      <c r="B677" s="71" t="str">
        <f>IFERROR(VLOOKUP(C677,[10]Sheet2!$C$3:$F$1223,2,0),"")</f>
        <v/>
      </c>
      <c r="C677" s="75"/>
      <c r="D677" s="73" t="str">
        <f>IFERROR(VLOOKUP(C677,[10]Sheet2!$C$1:$F$1223,3,0),"")</f>
        <v/>
      </c>
      <c r="E677" s="73" t="str">
        <f>IFERROR(VLOOKUP(C677,[10]Sheet2!$C$1:$F$1223,4,0),"")</f>
        <v/>
      </c>
      <c r="F677" s="75"/>
      <c r="G677" s="72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8"/>
      <c r="W677" s="44"/>
      <c r="X677" s="77"/>
      <c r="Y677" s="75"/>
      <c r="Z677" s="75"/>
      <c r="AA677" s="75"/>
      <c r="AB677" s="75"/>
      <c r="AC677" s="75"/>
      <c r="AD677" s="75"/>
      <c r="AE677" s="75"/>
      <c r="AF677" s="75"/>
      <c r="AG677" s="75"/>
      <c r="AH677" s="75"/>
      <c r="AI677" s="78"/>
    </row>
    <row r="678" spans="1:35">
      <c r="A678" s="44"/>
      <c r="B678" s="71" t="str">
        <f>IFERROR(VLOOKUP(C678,[10]Sheet2!$C$3:$F$1223,2,0),"")</f>
        <v/>
      </c>
      <c r="C678" s="75"/>
      <c r="D678" s="73" t="str">
        <f>IFERROR(VLOOKUP(C678,[10]Sheet2!$C$1:$F$1223,3,0),"")</f>
        <v/>
      </c>
      <c r="E678" s="73" t="str">
        <f>IFERROR(VLOOKUP(C678,[10]Sheet2!$C$1:$F$1223,4,0),"")</f>
        <v/>
      </c>
      <c r="F678" s="75"/>
      <c r="G678" s="72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8"/>
      <c r="W678" s="44"/>
      <c r="X678" s="77"/>
      <c r="Y678" s="75"/>
      <c r="Z678" s="75"/>
      <c r="AA678" s="75"/>
      <c r="AB678" s="75"/>
      <c r="AC678" s="75"/>
      <c r="AD678" s="75"/>
      <c r="AE678" s="75"/>
      <c r="AF678" s="75"/>
      <c r="AG678" s="75"/>
      <c r="AH678" s="75"/>
      <c r="AI678" s="78"/>
    </row>
    <row r="679" spans="1:35">
      <c r="A679" s="44"/>
      <c r="B679" s="71" t="str">
        <f>IFERROR(VLOOKUP(C679,[10]Sheet2!$C$3:$F$1223,2,0),"")</f>
        <v/>
      </c>
      <c r="C679" s="75"/>
      <c r="D679" s="73" t="str">
        <f>IFERROR(VLOOKUP(C679,[10]Sheet2!$C$1:$F$1223,3,0),"")</f>
        <v/>
      </c>
      <c r="E679" s="73" t="str">
        <f>IFERROR(VLOOKUP(C679,[10]Sheet2!$C$1:$F$1223,4,0),"")</f>
        <v/>
      </c>
      <c r="F679" s="75"/>
      <c r="G679" s="72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8"/>
      <c r="W679" s="44"/>
      <c r="X679" s="77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8"/>
    </row>
    <row r="680" spans="1:35">
      <c r="A680" s="44"/>
      <c r="B680" s="71" t="str">
        <f>IFERROR(VLOOKUP(C680,[10]Sheet2!$C$3:$F$1223,2,0),"")</f>
        <v/>
      </c>
      <c r="C680" s="75"/>
      <c r="D680" s="73" t="str">
        <f>IFERROR(VLOOKUP(C680,[10]Sheet2!$C$1:$F$1223,3,0),"")</f>
        <v/>
      </c>
      <c r="E680" s="73" t="str">
        <f>IFERROR(VLOOKUP(C680,[10]Sheet2!$C$1:$F$1223,4,0),"")</f>
        <v/>
      </c>
      <c r="F680" s="75"/>
      <c r="G680" s="72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8"/>
      <c r="W680" s="44"/>
      <c r="X680" s="77"/>
      <c r="Y680" s="75"/>
      <c r="Z680" s="75"/>
      <c r="AA680" s="75"/>
      <c r="AB680" s="75"/>
      <c r="AC680" s="75"/>
      <c r="AD680" s="75"/>
      <c r="AE680" s="75"/>
      <c r="AF680" s="75"/>
      <c r="AG680" s="75"/>
      <c r="AH680" s="75"/>
      <c r="AI680" s="78"/>
    </row>
    <row r="681" spans="1:35">
      <c r="A681" s="44"/>
      <c r="B681" s="71" t="str">
        <f>IFERROR(VLOOKUP(C681,[10]Sheet2!$C$3:$F$1223,2,0),"")</f>
        <v/>
      </c>
      <c r="C681" s="75"/>
      <c r="D681" s="73" t="str">
        <f>IFERROR(VLOOKUP(C681,[10]Sheet2!$C$1:$F$1223,3,0),"")</f>
        <v/>
      </c>
      <c r="E681" s="73" t="str">
        <f>IFERROR(VLOOKUP(C681,[10]Sheet2!$C$1:$F$1223,4,0),"")</f>
        <v/>
      </c>
      <c r="F681" s="75"/>
      <c r="G681" s="72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8"/>
      <c r="W681" s="44"/>
      <c r="X681" s="77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8"/>
    </row>
    <row r="682" spans="1:35">
      <c r="A682" s="44"/>
      <c r="B682" s="71" t="str">
        <f>IFERROR(VLOOKUP(C682,[10]Sheet2!$C$3:$F$1223,2,0),"")</f>
        <v/>
      </c>
      <c r="C682" s="75"/>
      <c r="D682" s="73" t="str">
        <f>IFERROR(VLOOKUP(C682,[10]Sheet2!$C$1:$F$1223,3,0),"")</f>
        <v/>
      </c>
      <c r="E682" s="73" t="str">
        <f>IFERROR(VLOOKUP(C682,[10]Sheet2!$C$1:$F$1223,4,0),"")</f>
        <v/>
      </c>
      <c r="F682" s="75"/>
      <c r="G682" s="72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8"/>
      <c r="W682" s="44"/>
      <c r="X682" s="77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8"/>
    </row>
    <row r="683" spans="1:35">
      <c r="A683" s="44"/>
      <c r="B683" s="71" t="str">
        <f>IFERROR(VLOOKUP(C683,[10]Sheet2!$C$3:$F$1223,2,0),"")</f>
        <v/>
      </c>
      <c r="C683" s="75"/>
      <c r="D683" s="73" t="str">
        <f>IFERROR(VLOOKUP(C683,[10]Sheet2!$C$1:$F$1223,3,0),"")</f>
        <v/>
      </c>
      <c r="E683" s="73" t="str">
        <f>IFERROR(VLOOKUP(C683,[10]Sheet2!$C$1:$F$1223,4,0),"")</f>
        <v/>
      </c>
      <c r="F683" s="75"/>
      <c r="G683" s="72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8"/>
      <c r="W683" s="44"/>
      <c r="X683" s="77"/>
      <c r="Y683" s="75"/>
      <c r="Z683" s="75"/>
      <c r="AA683" s="75"/>
      <c r="AB683" s="75"/>
      <c r="AC683" s="75"/>
      <c r="AD683" s="75"/>
      <c r="AE683" s="75"/>
      <c r="AF683" s="75"/>
      <c r="AG683" s="75"/>
      <c r="AH683" s="75"/>
      <c r="AI683" s="78"/>
    </row>
    <row r="684" spans="1:35">
      <c r="A684" s="44"/>
      <c r="B684" s="71" t="str">
        <f>IFERROR(VLOOKUP(C684,[10]Sheet2!$C$3:$F$1223,2,0),"")</f>
        <v/>
      </c>
      <c r="C684" s="75"/>
      <c r="D684" s="73" t="str">
        <f>IFERROR(VLOOKUP(C684,[10]Sheet2!$C$1:$F$1223,3,0),"")</f>
        <v/>
      </c>
      <c r="E684" s="73" t="str">
        <f>IFERROR(VLOOKUP(C684,[10]Sheet2!$C$1:$F$1223,4,0),"")</f>
        <v/>
      </c>
      <c r="F684" s="75"/>
      <c r="G684" s="72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8"/>
      <c r="W684" s="44"/>
      <c r="X684" s="77"/>
      <c r="Y684" s="75"/>
      <c r="Z684" s="75"/>
      <c r="AA684" s="75"/>
      <c r="AB684" s="75"/>
      <c r="AC684" s="75"/>
      <c r="AD684" s="75"/>
      <c r="AE684" s="75"/>
      <c r="AF684" s="75"/>
      <c r="AG684" s="75"/>
      <c r="AH684" s="75"/>
      <c r="AI684" s="78"/>
    </row>
    <row r="685" spans="1:35">
      <c r="A685" s="44"/>
      <c r="B685" s="71" t="str">
        <f>IFERROR(VLOOKUP(C685,[10]Sheet2!$C$3:$F$1223,2,0),"")</f>
        <v/>
      </c>
      <c r="C685" s="75"/>
      <c r="D685" s="73" t="str">
        <f>IFERROR(VLOOKUP(C685,[10]Sheet2!$C$1:$F$1223,3,0),"")</f>
        <v/>
      </c>
      <c r="E685" s="73" t="str">
        <f>IFERROR(VLOOKUP(C685,[10]Sheet2!$C$1:$F$1223,4,0),"")</f>
        <v/>
      </c>
      <c r="F685" s="75"/>
      <c r="G685" s="72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8"/>
      <c r="W685" s="44"/>
      <c r="X685" s="77"/>
      <c r="Y685" s="75"/>
      <c r="Z685" s="75"/>
      <c r="AA685" s="75"/>
      <c r="AB685" s="75"/>
      <c r="AC685" s="75"/>
      <c r="AD685" s="75"/>
      <c r="AE685" s="75"/>
      <c r="AF685" s="75"/>
      <c r="AG685" s="75"/>
      <c r="AH685" s="75"/>
      <c r="AI685" s="78"/>
    </row>
    <row r="686" spans="1:35">
      <c r="A686" s="44"/>
      <c r="B686" s="71" t="str">
        <f>IFERROR(VLOOKUP(C686,[10]Sheet2!$C$3:$F$1223,2,0),"")</f>
        <v/>
      </c>
      <c r="C686" s="75"/>
      <c r="D686" s="73" t="str">
        <f>IFERROR(VLOOKUP(C686,[10]Sheet2!$C$1:$F$1223,3,0),"")</f>
        <v/>
      </c>
      <c r="E686" s="73" t="str">
        <f>IFERROR(VLOOKUP(C686,[10]Sheet2!$C$1:$F$1223,4,0),"")</f>
        <v/>
      </c>
      <c r="F686" s="75"/>
      <c r="G686" s="72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8"/>
      <c r="W686" s="44"/>
      <c r="X686" s="77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8"/>
    </row>
    <row r="687" spans="1:35">
      <c r="A687" s="44"/>
      <c r="B687" s="71" t="str">
        <f>IFERROR(VLOOKUP(C687,[10]Sheet2!$C$3:$F$1223,2,0),"")</f>
        <v/>
      </c>
      <c r="C687" s="75"/>
      <c r="D687" s="73" t="str">
        <f>IFERROR(VLOOKUP(C687,[10]Sheet2!$C$1:$F$1223,3,0),"")</f>
        <v/>
      </c>
      <c r="E687" s="73" t="str">
        <f>IFERROR(VLOOKUP(C687,[10]Sheet2!$C$1:$F$1223,4,0),"")</f>
        <v/>
      </c>
      <c r="F687" s="75"/>
      <c r="G687" s="72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8"/>
      <c r="W687" s="44"/>
      <c r="X687" s="77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8"/>
    </row>
    <row r="688" spans="1:35">
      <c r="A688" s="44"/>
      <c r="B688" s="71" t="str">
        <f>IFERROR(VLOOKUP(C688,[10]Sheet2!$C$3:$F$1223,2,0),"")</f>
        <v/>
      </c>
      <c r="C688" s="75"/>
      <c r="D688" s="73" t="str">
        <f>IFERROR(VLOOKUP(C688,[10]Sheet2!$C$1:$F$1223,3,0),"")</f>
        <v/>
      </c>
      <c r="E688" s="73" t="str">
        <f>IFERROR(VLOOKUP(C688,[10]Sheet2!$C$1:$F$1223,4,0),"")</f>
        <v/>
      </c>
      <c r="F688" s="75"/>
      <c r="G688" s="72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8"/>
      <c r="W688" s="44"/>
      <c r="X688" s="77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8"/>
    </row>
    <row r="689" spans="1:35">
      <c r="A689" s="44"/>
      <c r="B689" s="71" t="str">
        <f>IFERROR(VLOOKUP(C689,[10]Sheet2!$C$3:$F$1223,2,0),"")</f>
        <v/>
      </c>
      <c r="C689" s="75"/>
      <c r="D689" s="73" t="str">
        <f>IFERROR(VLOOKUP(C689,[10]Sheet2!$C$1:$F$1223,3,0),"")</f>
        <v/>
      </c>
      <c r="E689" s="73" t="str">
        <f>IFERROR(VLOOKUP(C689,[10]Sheet2!$C$1:$F$1223,4,0),"")</f>
        <v/>
      </c>
      <c r="F689" s="75"/>
      <c r="G689" s="72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8"/>
      <c r="W689" s="44"/>
      <c r="X689" s="77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8"/>
    </row>
    <row r="690" spans="1:35">
      <c r="A690" s="44"/>
      <c r="B690" s="71" t="str">
        <f>IFERROR(VLOOKUP(C690,[10]Sheet2!$C$3:$F$1223,2,0),"")</f>
        <v/>
      </c>
      <c r="C690" s="75"/>
      <c r="D690" s="73" t="str">
        <f>IFERROR(VLOOKUP(C690,[10]Sheet2!$C$1:$F$1223,3,0),"")</f>
        <v/>
      </c>
      <c r="E690" s="73" t="str">
        <f>IFERROR(VLOOKUP(C690,[10]Sheet2!$C$1:$F$1223,4,0),"")</f>
        <v/>
      </c>
      <c r="F690" s="75"/>
      <c r="G690" s="72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8"/>
      <c r="W690" s="44"/>
      <c r="X690" s="77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8"/>
    </row>
    <row r="691" spans="1:35">
      <c r="A691" s="44"/>
      <c r="B691" s="71" t="str">
        <f>IFERROR(VLOOKUP(C691,[10]Sheet2!$C$3:$F$1223,2,0),"")</f>
        <v/>
      </c>
      <c r="C691" s="75"/>
      <c r="D691" s="73" t="str">
        <f>IFERROR(VLOOKUP(C691,[10]Sheet2!$C$1:$F$1223,3,0),"")</f>
        <v/>
      </c>
      <c r="E691" s="73" t="str">
        <f>IFERROR(VLOOKUP(C691,[10]Sheet2!$C$1:$F$1223,4,0),"")</f>
        <v/>
      </c>
      <c r="F691" s="75"/>
      <c r="G691" s="72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8"/>
      <c r="W691" s="44"/>
      <c r="X691" s="77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8"/>
    </row>
    <row r="692" spans="1:35">
      <c r="A692" s="44"/>
      <c r="B692" s="71" t="str">
        <f>IFERROR(VLOOKUP(C692,[10]Sheet2!$C$3:$F$1223,2,0),"")</f>
        <v/>
      </c>
      <c r="C692" s="75"/>
      <c r="D692" s="73" t="str">
        <f>IFERROR(VLOOKUP(C692,[10]Sheet2!$C$1:$F$1223,3,0),"")</f>
        <v/>
      </c>
      <c r="E692" s="73" t="str">
        <f>IFERROR(VLOOKUP(C692,[10]Sheet2!$C$1:$F$1223,4,0),"")</f>
        <v/>
      </c>
      <c r="F692" s="75"/>
      <c r="G692" s="72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8"/>
      <c r="W692" s="44"/>
      <c r="X692" s="77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8"/>
    </row>
    <row r="693" spans="1:35">
      <c r="A693" s="44"/>
      <c r="B693" s="71" t="str">
        <f>IFERROR(VLOOKUP(C693,[10]Sheet2!$C$3:$F$1223,2,0),"")</f>
        <v/>
      </c>
      <c r="C693" s="75"/>
      <c r="D693" s="73" t="str">
        <f>IFERROR(VLOOKUP(C693,[10]Sheet2!$C$1:$F$1223,3,0),"")</f>
        <v/>
      </c>
      <c r="E693" s="73" t="str">
        <f>IFERROR(VLOOKUP(C693,[10]Sheet2!$C$1:$F$1223,4,0),"")</f>
        <v/>
      </c>
      <c r="F693" s="75"/>
      <c r="G693" s="72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8"/>
      <c r="W693" s="44"/>
      <c r="X693" s="77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8"/>
    </row>
    <row r="694" spans="1:35">
      <c r="A694" s="44"/>
      <c r="B694" s="71" t="str">
        <f>IFERROR(VLOOKUP(C694,[10]Sheet2!$C$3:$F$1223,2,0),"")</f>
        <v/>
      </c>
      <c r="C694" s="75"/>
      <c r="D694" s="73" t="str">
        <f>IFERROR(VLOOKUP(C694,[10]Sheet2!$C$1:$F$1223,3,0),"")</f>
        <v/>
      </c>
      <c r="E694" s="73" t="str">
        <f>IFERROR(VLOOKUP(C694,[10]Sheet2!$C$1:$F$1223,4,0),"")</f>
        <v/>
      </c>
      <c r="F694" s="75"/>
      <c r="G694" s="72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8"/>
      <c r="W694" s="44"/>
      <c r="X694" s="77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8"/>
    </row>
    <row r="695" spans="1:35">
      <c r="A695" s="44"/>
      <c r="B695" s="71" t="str">
        <f>IFERROR(VLOOKUP(C695,[10]Sheet2!$C$3:$F$1223,2,0),"")</f>
        <v/>
      </c>
      <c r="C695" s="75"/>
      <c r="D695" s="73" t="str">
        <f>IFERROR(VLOOKUP(C695,[10]Sheet2!$C$1:$F$1223,3,0),"")</f>
        <v/>
      </c>
      <c r="E695" s="73" t="str">
        <f>IFERROR(VLOOKUP(C695,[10]Sheet2!$C$1:$F$1223,4,0),"")</f>
        <v/>
      </c>
      <c r="F695" s="75"/>
      <c r="G695" s="72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8"/>
      <c r="W695" s="44"/>
      <c r="X695" s="77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8"/>
    </row>
    <row r="696" spans="1:35">
      <c r="A696" s="44"/>
      <c r="B696" s="71" t="str">
        <f>IFERROR(VLOOKUP(C696,[10]Sheet2!$C$3:$F$1223,2,0),"")</f>
        <v/>
      </c>
      <c r="C696" s="75"/>
      <c r="D696" s="73" t="str">
        <f>IFERROR(VLOOKUP(C696,[10]Sheet2!$C$1:$F$1223,3,0),"")</f>
        <v/>
      </c>
      <c r="E696" s="73" t="str">
        <f>IFERROR(VLOOKUP(C696,[10]Sheet2!$C$1:$F$1223,4,0),"")</f>
        <v/>
      </c>
      <c r="F696" s="75"/>
      <c r="G696" s="72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8"/>
      <c r="W696" s="44"/>
      <c r="X696" s="77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8"/>
    </row>
    <row r="697" spans="1:35">
      <c r="A697" s="44"/>
      <c r="B697" s="71" t="str">
        <f>IFERROR(VLOOKUP(C697,[10]Sheet2!$C$3:$F$1223,2,0),"")</f>
        <v/>
      </c>
      <c r="C697" s="75"/>
      <c r="D697" s="73" t="str">
        <f>IFERROR(VLOOKUP(C697,[10]Sheet2!$C$1:$F$1223,3,0),"")</f>
        <v/>
      </c>
      <c r="E697" s="73" t="str">
        <f>IFERROR(VLOOKUP(C697,[10]Sheet2!$C$1:$F$1223,4,0),"")</f>
        <v/>
      </c>
      <c r="F697" s="75"/>
      <c r="G697" s="72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8"/>
      <c r="W697" s="44"/>
      <c r="X697" s="77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8"/>
    </row>
    <row r="698" spans="1:35">
      <c r="A698" s="44"/>
      <c r="B698" s="71" t="str">
        <f>IFERROR(VLOOKUP(C698,[10]Sheet2!$C$3:$F$1223,2,0),"")</f>
        <v/>
      </c>
      <c r="C698" s="75"/>
      <c r="D698" s="73" t="str">
        <f>IFERROR(VLOOKUP(C698,[10]Sheet2!$C$1:$F$1223,3,0),"")</f>
        <v/>
      </c>
      <c r="E698" s="73" t="str">
        <f>IFERROR(VLOOKUP(C698,[10]Sheet2!$C$1:$F$1223,4,0),"")</f>
        <v/>
      </c>
      <c r="F698" s="75"/>
      <c r="G698" s="72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8"/>
      <c r="W698" s="44"/>
      <c r="X698" s="77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8"/>
    </row>
    <row r="699" spans="1:35">
      <c r="A699" s="44"/>
      <c r="B699" s="71" t="str">
        <f>IFERROR(VLOOKUP(C699,[10]Sheet2!$C$3:$F$1223,2,0),"")</f>
        <v/>
      </c>
      <c r="C699" s="75"/>
      <c r="D699" s="73" t="str">
        <f>IFERROR(VLOOKUP(C699,[10]Sheet2!$C$1:$F$1223,3,0),"")</f>
        <v/>
      </c>
      <c r="E699" s="73" t="str">
        <f>IFERROR(VLOOKUP(C699,[10]Sheet2!$C$1:$F$1223,4,0),"")</f>
        <v/>
      </c>
      <c r="F699" s="75"/>
      <c r="G699" s="72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8"/>
      <c r="W699" s="44"/>
      <c r="X699" s="77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8"/>
    </row>
    <row r="700" spans="1:35">
      <c r="A700" s="44"/>
      <c r="B700" s="71" t="str">
        <f>IFERROR(VLOOKUP(C700,[10]Sheet2!$C$3:$F$1223,2,0),"")</f>
        <v/>
      </c>
      <c r="C700" s="75"/>
      <c r="D700" s="73" t="str">
        <f>IFERROR(VLOOKUP(C700,[10]Sheet2!$C$1:$F$1223,3,0),"")</f>
        <v/>
      </c>
      <c r="E700" s="73" t="str">
        <f>IFERROR(VLOOKUP(C700,[10]Sheet2!$C$1:$F$1223,4,0),"")</f>
        <v/>
      </c>
      <c r="F700" s="75"/>
      <c r="G700" s="72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8"/>
      <c r="W700" s="44"/>
      <c r="X700" s="77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8"/>
    </row>
    <row r="701" spans="1:35">
      <c r="A701" s="44"/>
      <c r="B701" s="71" t="str">
        <f>IFERROR(VLOOKUP(C701,[10]Sheet2!$C$3:$F$1223,2,0),"")</f>
        <v/>
      </c>
      <c r="C701" s="75"/>
      <c r="D701" s="73" t="str">
        <f>IFERROR(VLOOKUP(C701,[10]Sheet2!$C$1:$F$1223,3,0),"")</f>
        <v/>
      </c>
      <c r="E701" s="73" t="str">
        <f>IFERROR(VLOOKUP(C701,[10]Sheet2!$C$1:$F$1223,4,0),"")</f>
        <v/>
      </c>
      <c r="F701" s="75"/>
      <c r="G701" s="72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8"/>
      <c r="W701" s="44"/>
      <c r="X701" s="77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8"/>
    </row>
    <row r="702" spans="1:35">
      <c r="A702" s="44"/>
      <c r="B702" s="71" t="str">
        <f>IFERROR(VLOOKUP(C702,[10]Sheet2!$C$3:$F$1223,2,0),"")</f>
        <v/>
      </c>
      <c r="C702" s="75"/>
      <c r="D702" s="73" t="str">
        <f>IFERROR(VLOOKUP(C702,[10]Sheet2!$C$1:$F$1223,3,0),"")</f>
        <v/>
      </c>
      <c r="E702" s="73" t="str">
        <f>IFERROR(VLOOKUP(C702,[10]Sheet2!$C$1:$F$1223,4,0),"")</f>
        <v/>
      </c>
      <c r="F702" s="75"/>
      <c r="G702" s="72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8"/>
      <c r="W702" s="44"/>
      <c r="X702" s="77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8"/>
    </row>
    <row r="703" spans="1:35">
      <c r="A703" s="44"/>
      <c r="B703" s="71" t="str">
        <f>IFERROR(VLOOKUP(C703,[10]Sheet2!$C$3:$F$1223,2,0),"")</f>
        <v/>
      </c>
      <c r="C703" s="75"/>
      <c r="D703" s="73" t="str">
        <f>IFERROR(VLOOKUP(C703,[10]Sheet2!$C$1:$F$1223,3,0),"")</f>
        <v/>
      </c>
      <c r="E703" s="73" t="str">
        <f>IFERROR(VLOOKUP(C703,[10]Sheet2!$C$1:$F$1223,4,0),"")</f>
        <v/>
      </c>
      <c r="F703" s="75"/>
      <c r="G703" s="72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8"/>
      <c r="W703" s="44"/>
      <c r="X703" s="77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8"/>
    </row>
    <row r="704" spans="1:35">
      <c r="A704" s="44"/>
      <c r="B704" s="71" t="str">
        <f>IFERROR(VLOOKUP(C704,[10]Sheet2!$C$3:$F$1223,2,0),"")</f>
        <v/>
      </c>
      <c r="C704" s="75"/>
      <c r="D704" s="73" t="str">
        <f>IFERROR(VLOOKUP(C704,[10]Sheet2!$C$1:$F$1223,3,0),"")</f>
        <v/>
      </c>
      <c r="E704" s="73" t="str">
        <f>IFERROR(VLOOKUP(C704,[10]Sheet2!$C$1:$F$1223,4,0),"")</f>
        <v/>
      </c>
      <c r="F704" s="75"/>
      <c r="G704" s="72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8"/>
      <c r="W704" s="44"/>
      <c r="X704" s="77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8"/>
    </row>
    <row r="705" spans="1:35">
      <c r="A705" s="44"/>
      <c r="B705" s="71" t="str">
        <f>IFERROR(VLOOKUP(C705,[10]Sheet2!$C$3:$F$1223,2,0),"")</f>
        <v/>
      </c>
      <c r="C705" s="75"/>
      <c r="D705" s="73" t="str">
        <f>IFERROR(VLOOKUP(C705,[10]Sheet2!$C$1:$F$1223,3,0),"")</f>
        <v/>
      </c>
      <c r="E705" s="73" t="str">
        <f>IFERROR(VLOOKUP(C705,[10]Sheet2!$C$1:$F$1223,4,0),"")</f>
        <v/>
      </c>
      <c r="F705" s="75"/>
      <c r="G705" s="72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8"/>
      <c r="W705" s="44"/>
      <c r="X705" s="77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8"/>
    </row>
    <row r="706" spans="1:35">
      <c r="A706" s="44"/>
      <c r="B706" s="71" t="str">
        <f>IFERROR(VLOOKUP(C706,[10]Sheet2!$C$3:$F$1223,2,0),"")</f>
        <v/>
      </c>
      <c r="C706" s="75"/>
      <c r="D706" s="73" t="str">
        <f>IFERROR(VLOOKUP(C706,[10]Sheet2!$C$1:$F$1223,3,0),"")</f>
        <v/>
      </c>
      <c r="E706" s="73" t="str">
        <f>IFERROR(VLOOKUP(C706,[10]Sheet2!$C$1:$F$1223,4,0),"")</f>
        <v/>
      </c>
      <c r="F706" s="75"/>
      <c r="G706" s="72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8"/>
      <c r="W706" s="44"/>
      <c r="X706" s="77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8"/>
    </row>
    <row r="707" spans="1:35">
      <c r="A707" s="44"/>
      <c r="B707" s="71" t="str">
        <f>IFERROR(VLOOKUP(C707,[10]Sheet2!$C$3:$F$1223,2,0),"")</f>
        <v/>
      </c>
      <c r="C707" s="75"/>
      <c r="D707" s="73" t="str">
        <f>IFERROR(VLOOKUP(C707,[10]Sheet2!$C$1:$F$1223,3,0),"")</f>
        <v/>
      </c>
      <c r="E707" s="73" t="str">
        <f>IFERROR(VLOOKUP(C707,[10]Sheet2!$C$1:$F$1223,4,0),"")</f>
        <v/>
      </c>
      <c r="F707" s="75"/>
      <c r="G707" s="72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8"/>
      <c r="W707" s="44"/>
      <c r="X707" s="77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8"/>
    </row>
    <row r="708" spans="1:35">
      <c r="A708" s="44"/>
      <c r="B708" s="71" t="str">
        <f>IFERROR(VLOOKUP(C708,[10]Sheet2!$C$3:$F$1223,2,0),"")</f>
        <v/>
      </c>
      <c r="C708" s="75"/>
      <c r="D708" s="73" t="str">
        <f>IFERROR(VLOOKUP(C708,[10]Sheet2!$C$1:$F$1223,3,0),"")</f>
        <v/>
      </c>
      <c r="E708" s="73" t="str">
        <f>IFERROR(VLOOKUP(C708,[10]Sheet2!$C$1:$F$1223,4,0),"")</f>
        <v/>
      </c>
      <c r="F708" s="75"/>
      <c r="G708" s="72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8"/>
      <c r="W708" s="44"/>
      <c r="X708" s="77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8"/>
    </row>
    <row r="709" spans="1:35">
      <c r="A709" s="44"/>
      <c r="B709" s="71" t="str">
        <f>IFERROR(VLOOKUP(C709,[10]Sheet2!$C$3:$F$1223,2,0),"")</f>
        <v/>
      </c>
      <c r="C709" s="75"/>
      <c r="D709" s="73" t="str">
        <f>IFERROR(VLOOKUP(C709,[10]Sheet2!$C$1:$F$1223,3,0),"")</f>
        <v/>
      </c>
      <c r="E709" s="73" t="str">
        <f>IFERROR(VLOOKUP(C709,[10]Sheet2!$C$1:$F$1223,4,0),"")</f>
        <v/>
      </c>
      <c r="F709" s="75"/>
      <c r="G709" s="72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8"/>
      <c r="W709" s="44"/>
      <c r="X709" s="77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8"/>
    </row>
    <row r="710" spans="1:35">
      <c r="A710" s="44"/>
      <c r="B710" s="71" t="str">
        <f>IFERROR(VLOOKUP(C710,[10]Sheet2!$C$3:$F$1223,2,0),"")</f>
        <v/>
      </c>
      <c r="C710" s="75"/>
      <c r="D710" s="73" t="str">
        <f>IFERROR(VLOOKUP(C710,[10]Sheet2!$C$1:$F$1223,3,0),"")</f>
        <v/>
      </c>
      <c r="E710" s="73" t="str">
        <f>IFERROR(VLOOKUP(C710,[10]Sheet2!$C$1:$F$1223,4,0),"")</f>
        <v/>
      </c>
      <c r="F710" s="75"/>
      <c r="G710" s="72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8"/>
      <c r="W710" s="44"/>
      <c r="X710" s="77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8"/>
    </row>
    <row r="711" spans="1:35">
      <c r="A711" s="44"/>
      <c r="B711" s="71" t="str">
        <f>IFERROR(VLOOKUP(C711,[10]Sheet2!$C$3:$F$1223,2,0),"")</f>
        <v/>
      </c>
      <c r="C711" s="75"/>
      <c r="D711" s="73" t="str">
        <f>IFERROR(VLOOKUP(C711,[10]Sheet2!$C$1:$F$1223,3,0),"")</f>
        <v/>
      </c>
      <c r="E711" s="73" t="str">
        <f>IFERROR(VLOOKUP(C711,[10]Sheet2!$C$1:$F$1223,4,0),"")</f>
        <v/>
      </c>
      <c r="F711" s="75"/>
      <c r="G711" s="72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8"/>
      <c r="W711" s="44"/>
      <c r="X711" s="77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8"/>
    </row>
    <row r="712" spans="1:35">
      <c r="A712" s="44"/>
      <c r="B712" s="71" t="str">
        <f>IFERROR(VLOOKUP(C712,[10]Sheet2!$C$3:$F$1223,2,0),"")</f>
        <v/>
      </c>
      <c r="C712" s="75"/>
      <c r="D712" s="73" t="str">
        <f>IFERROR(VLOOKUP(C712,[10]Sheet2!$C$1:$F$1223,3,0),"")</f>
        <v/>
      </c>
      <c r="E712" s="73" t="str">
        <f>IFERROR(VLOOKUP(C712,[10]Sheet2!$C$1:$F$1223,4,0),"")</f>
        <v/>
      </c>
      <c r="F712" s="75"/>
      <c r="G712" s="72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8"/>
      <c r="W712" s="44"/>
      <c r="X712" s="77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8"/>
    </row>
    <row r="713" spans="1:35">
      <c r="A713" s="44"/>
      <c r="B713" s="71" t="str">
        <f>IFERROR(VLOOKUP(C713,[10]Sheet2!$C$3:$F$1223,2,0),"")</f>
        <v/>
      </c>
      <c r="C713" s="75"/>
      <c r="D713" s="73" t="str">
        <f>IFERROR(VLOOKUP(C713,[10]Sheet2!$C$1:$F$1223,3,0),"")</f>
        <v/>
      </c>
      <c r="E713" s="73" t="str">
        <f>IFERROR(VLOOKUP(C713,[10]Sheet2!$C$1:$F$1223,4,0),"")</f>
        <v/>
      </c>
      <c r="F713" s="75"/>
      <c r="G713" s="72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8"/>
      <c r="W713" s="44"/>
      <c r="X713" s="77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8"/>
    </row>
    <row r="714" spans="1:35">
      <c r="A714" s="44"/>
      <c r="B714" s="71" t="str">
        <f>IFERROR(VLOOKUP(C714,[10]Sheet2!$C$3:$F$1223,2,0),"")</f>
        <v/>
      </c>
      <c r="C714" s="75"/>
      <c r="D714" s="73" t="str">
        <f>IFERROR(VLOOKUP(C714,[10]Sheet2!$C$1:$F$1223,3,0),"")</f>
        <v/>
      </c>
      <c r="E714" s="73" t="str">
        <f>IFERROR(VLOOKUP(C714,[10]Sheet2!$C$1:$F$1223,4,0),"")</f>
        <v/>
      </c>
      <c r="F714" s="75"/>
      <c r="G714" s="72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8"/>
      <c r="W714" s="44"/>
      <c r="X714" s="77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8"/>
    </row>
    <row r="715" spans="1:35">
      <c r="A715" s="44"/>
      <c r="B715" s="71" t="str">
        <f>IFERROR(VLOOKUP(C715,[10]Sheet2!$C$3:$F$1223,2,0),"")</f>
        <v/>
      </c>
      <c r="C715" s="75"/>
      <c r="D715" s="73" t="str">
        <f>IFERROR(VLOOKUP(C715,[10]Sheet2!$C$1:$F$1223,3,0),"")</f>
        <v/>
      </c>
      <c r="E715" s="73" t="str">
        <f>IFERROR(VLOOKUP(C715,[10]Sheet2!$C$1:$F$1223,4,0),"")</f>
        <v/>
      </c>
      <c r="F715" s="75"/>
      <c r="G715" s="72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8"/>
      <c r="W715" s="44"/>
      <c r="X715" s="77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8"/>
    </row>
    <row r="716" spans="1:35">
      <c r="A716" s="44"/>
      <c r="B716" s="71" t="str">
        <f>IFERROR(VLOOKUP(C716,[10]Sheet2!$C$3:$F$1223,2,0),"")</f>
        <v/>
      </c>
      <c r="C716" s="75"/>
      <c r="D716" s="73" t="str">
        <f>IFERROR(VLOOKUP(C716,[10]Sheet2!$C$1:$F$1223,3,0),"")</f>
        <v/>
      </c>
      <c r="E716" s="73" t="str">
        <f>IFERROR(VLOOKUP(C716,[10]Sheet2!$C$1:$F$1223,4,0),"")</f>
        <v/>
      </c>
      <c r="F716" s="75"/>
      <c r="G716" s="72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8"/>
      <c r="W716" s="44"/>
      <c r="X716" s="77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8"/>
    </row>
    <row r="717" spans="1:35">
      <c r="A717" s="44"/>
      <c r="B717" s="71" t="str">
        <f>IFERROR(VLOOKUP(C717,[10]Sheet2!$C$3:$F$1223,2,0),"")</f>
        <v/>
      </c>
      <c r="C717" s="75"/>
      <c r="D717" s="73" t="str">
        <f>IFERROR(VLOOKUP(C717,[10]Sheet2!$C$1:$F$1223,3,0),"")</f>
        <v/>
      </c>
      <c r="E717" s="73" t="str">
        <f>IFERROR(VLOOKUP(C717,[10]Sheet2!$C$1:$F$1223,4,0),"")</f>
        <v/>
      </c>
      <c r="F717" s="75"/>
      <c r="G717" s="72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8"/>
      <c r="W717" s="44"/>
      <c r="X717" s="77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8"/>
    </row>
    <row r="718" spans="1:35">
      <c r="A718" s="44"/>
      <c r="B718" s="71" t="str">
        <f>IFERROR(VLOOKUP(C718,[10]Sheet2!$C$3:$F$1223,2,0),"")</f>
        <v/>
      </c>
      <c r="C718" s="75"/>
      <c r="D718" s="73" t="str">
        <f>IFERROR(VLOOKUP(C718,[10]Sheet2!$C$1:$F$1223,3,0),"")</f>
        <v/>
      </c>
      <c r="E718" s="73" t="str">
        <f>IFERROR(VLOOKUP(C718,[10]Sheet2!$C$1:$F$1223,4,0),"")</f>
        <v/>
      </c>
      <c r="F718" s="75"/>
      <c r="G718" s="72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8"/>
      <c r="W718" s="44"/>
      <c r="X718" s="77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8"/>
    </row>
    <row r="719" spans="1:35">
      <c r="A719" s="44"/>
      <c r="B719" s="71" t="str">
        <f>IFERROR(VLOOKUP(C719,[10]Sheet2!$C$3:$F$1223,2,0),"")</f>
        <v/>
      </c>
      <c r="C719" s="75"/>
      <c r="D719" s="73" t="str">
        <f>IFERROR(VLOOKUP(C719,[10]Sheet2!$C$1:$F$1223,3,0),"")</f>
        <v/>
      </c>
      <c r="E719" s="73" t="str">
        <f>IFERROR(VLOOKUP(C719,[10]Sheet2!$C$1:$F$1223,4,0),"")</f>
        <v/>
      </c>
      <c r="F719" s="75"/>
      <c r="G719" s="72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8"/>
      <c r="W719" s="44"/>
      <c r="X719" s="77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8"/>
    </row>
    <row r="720" spans="1:35">
      <c r="A720" s="44"/>
      <c r="B720" s="71" t="str">
        <f>IFERROR(VLOOKUP(C720,[10]Sheet2!$C$3:$F$1223,2,0),"")</f>
        <v/>
      </c>
      <c r="C720" s="75"/>
      <c r="D720" s="73" t="str">
        <f>IFERROR(VLOOKUP(C720,[10]Sheet2!$C$1:$F$1223,3,0),"")</f>
        <v/>
      </c>
      <c r="E720" s="73" t="str">
        <f>IFERROR(VLOOKUP(C720,[10]Sheet2!$C$1:$F$1223,4,0),"")</f>
        <v/>
      </c>
      <c r="F720" s="75"/>
      <c r="G720" s="72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8"/>
      <c r="W720" s="44"/>
      <c r="X720" s="77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8"/>
    </row>
    <row r="721" spans="1:35">
      <c r="A721" s="44"/>
      <c r="B721" s="71" t="str">
        <f>IFERROR(VLOOKUP(C721,[10]Sheet2!$C$3:$F$1223,2,0),"")</f>
        <v/>
      </c>
      <c r="C721" s="75"/>
      <c r="D721" s="73" t="str">
        <f>IFERROR(VLOOKUP(C721,[10]Sheet2!$C$1:$F$1223,3,0),"")</f>
        <v/>
      </c>
      <c r="E721" s="73" t="str">
        <f>IFERROR(VLOOKUP(C721,[10]Sheet2!$C$1:$F$1223,4,0),"")</f>
        <v/>
      </c>
      <c r="F721" s="75"/>
      <c r="G721" s="72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8"/>
      <c r="W721" s="44"/>
      <c r="X721" s="77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8"/>
    </row>
    <row r="722" spans="1:35">
      <c r="A722" s="44"/>
      <c r="B722" s="71" t="str">
        <f>IFERROR(VLOOKUP(C722,[10]Sheet2!$C$3:$F$1223,2,0),"")</f>
        <v/>
      </c>
      <c r="C722" s="75"/>
      <c r="D722" s="73" t="str">
        <f>IFERROR(VLOOKUP(C722,[10]Sheet2!$C$1:$F$1223,3,0),"")</f>
        <v/>
      </c>
      <c r="E722" s="73" t="str">
        <f>IFERROR(VLOOKUP(C722,[10]Sheet2!$C$1:$F$1223,4,0),"")</f>
        <v/>
      </c>
      <c r="F722" s="75"/>
      <c r="G722" s="72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8"/>
      <c r="W722" s="44"/>
      <c r="X722" s="77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8"/>
    </row>
    <row r="723" spans="1:35">
      <c r="A723" s="44"/>
      <c r="B723" s="71" t="str">
        <f>IFERROR(VLOOKUP(C723,[10]Sheet2!$C$3:$F$1223,2,0),"")</f>
        <v/>
      </c>
      <c r="C723" s="75"/>
      <c r="D723" s="73" t="str">
        <f>IFERROR(VLOOKUP(C723,[10]Sheet2!$C$1:$F$1223,3,0),"")</f>
        <v/>
      </c>
      <c r="E723" s="73" t="str">
        <f>IFERROR(VLOOKUP(C723,[10]Sheet2!$C$1:$F$1223,4,0),"")</f>
        <v/>
      </c>
      <c r="F723" s="75"/>
      <c r="G723" s="72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8"/>
      <c r="W723" s="44"/>
      <c r="X723" s="77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8"/>
    </row>
    <row r="724" spans="1:35">
      <c r="A724" s="44"/>
      <c r="B724" s="71" t="str">
        <f>IFERROR(VLOOKUP(C724,[10]Sheet2!$C$3:$F$1223,2,0),"")</f>
        <v/>
      </c>
      <c r="C724" s="75"/>
      <c r="D724" s="73" t="str">
        <f>IFERROR(VLOOKUP(C724,[10]Sheet2!$C$1:$F$1223,3,0),"")</f>
        <v/>
      </c>
      <c r="E724" s="73" t="str">
        <f>IFERROR(VLOOKUP(C724,[10]Sheet2!$C$1:$F$1223,4,0),"")</f>
        <v/>
      </c>
      <c r="F724" s="75"/>
      <c r="G724" s="72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8"/>
      <c r="W724" s="44"/>
      <c r="X724" s="77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8"/>
    </row>
    <row r="725" spans="1:35">
      <c r="A725" s="44"/>
      <c r="B725" s="71" t="str">
        <f>IFERROR(VLOOKUP(C725,[10]Sheet2!$C$3:$F$1223,2,0),"")</f>
        <v/>
      </c>
      <c r="C725" s="75"/>
      <c r="D725" s="73" t="str">
        <f>IFERROR(VLOOKUP(C725,[10]Sheet2!$C$1:$F$1223,3,0),"")</f>
        <v/>
      </c>
      <c r="E725" s="73" t="str">
        <f>IFERROR(VLOOKUP(C725,[10]Sheet2!$C$1:$F$1223,4,0),"")</f>
        <v/>
      </c>
      <c r="F725" s="75"/>
      <c r="G725" s="72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8"/>
      <c r="W725" s="44"/>
      <c r="X725" s="77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8"/>
    </row>
    <row r="726" spans="1:35">
      <c r="A726" s="44"/>
      <c r="B726" s="71" t="str">
        <f>IFERROR(VLOOKUP(C726,[10]Sheet2!$C$3:$F$1223,2,0),"")</f>
        <v/>
      </c>
      <c r="C726" s="75"/>
      <c r="D726" s="73" t="str">
        <f>IFERROR(VLOOKUP(C726,[10]Sheet2!$C$1:$F$1223,3,0),"")</f>
        <v/>
      </c>
      <c r="E726" s="73" t="str">
        <f>IFERROR(VLOOKUP(C726,[10]Sheet2!$C$1:$F$1223,4,0),"")</f>
        <v/>
      </c>
      <c r="F726" s="75"/>
      <c r="G726" s="72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8"/>
      <c r="W726" s="44"/>
      <c r="X726" s="77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8"/>
    </row>
    <row r="727" spans="1:35">
      <c r="A727" s="44"/>
      <c r="B727" s="71" t="str">
        <f>IFERROR(VLOOKUP(C727,[10]Sheet2!$C$3:$F$1223,2,0),"")</f>
        <v/>
      </c>
      <c r="C727" s="75"/>
      <c r="D727" s="73" t="str">
        <f>IFERROR(VLOOKUP(C727,[10]Sheet2!$C$1:$F$1223,3,0),"")</f>
        <v/>
      </c>
      <c r="E727" s="73" t="str">
        <f>IFERROR(VLOOKUP(C727,[10]Sheet2!$C$1:$F$1223,4,0),"")</f>
        <v/>
      </c>
      <c r="F727" s="75"/>
      <c r="G727" s="72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8"/>
      <c r="W727" s="44"/>
      <c r="X727" s="77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8"/>
    </row>
    <row r="728" spans="1:35">
      <c r="A728" s="44"/>
      <c r="B728" s="71" t="str">
        <f>IFERROR(VLOOKUP(C728,[10]Sheet2!$C$3:$F$1223,2,0),"")</f>
        <v/>
      </c>
      <c r="C728" s="75"/>
      <c r="D728" s="73" t="str">
        <f>IFERROR(VLOOKUP(C728,[10]Sheet2!$C$1:$F$1223,3,0),"")</f>
        <v/>
      </c>
      <c r="E728" s="73" t="str">
        <f>IFERROR(VLOOKUP(C728,[10]Sheet2!$C$1:$F$1223,4,0),"")</f>
        <v/>
      </c>
      <c r="F728" s="75"/>
      <c r="G728" s="72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8"/>
      <c r="W728" s="44"/>
      <c r="X728" s="77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8"/>
    </row>
    <row r="729" spans="1:35">
      <c r="A729" s="44"/>
      <c r="B729" s="71" t="str">
        <f>IFERROR(VLOOKUP(C729,[10]Sheet2!$C$3:$F$1223,2,0),"")</f>
        <v/>
      </c>
      <c r="C729" s="75"/>
      <c r="D729" s="73" t="str">
        <f>IFERROR(VLOOKUP(C729,[10]Sheet2!$C$1:$F$1223,3,0),"")</f>
        <v/>
      </c>
      <c r="E729" s="73" t="str">
        <f>IFERROR(VLOOKUP(C729,[10]Sheet2!$C$1:$F$1223,4,0),"")</f>
        <v/>
      </c>
      <c r="F729" s="75"/>
      <c r="G729" s="72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8"/>
      <c r="W729" s="44"/>
      <c r="X729" s="77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8"/>
    </row>
    <row r="730" spans="1:35">
      <c r="A730" s="44"/>
      <c r="B730" s="71" t="str">
        <f>IFERROR(VLOOKUP(C730,[10]Sheet2!$C$3:$F$1223,2,0),"")</f>
        <v/>
      </c>
      <c r="C730" s="75"/>
      <c r="D730" s="73" t="str">
        <f>IFERROR(VLOOKUP(C730,[10]Sheet2!$C$1:$F$1223,3,0),"")</f>
        <v/>
      </c>
      <c r="E730" s="73" t="str">
        <f>IFERROR(VLOOKUP(C730,[10]Sheet2!$C$1:$F$1223,4,0),"")</f>
        <v/>
      </c>
      <c r="F730" s="75"/>
      <c r="G730" s="72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8"/>
      <c r="W730" s="44"/>
      <c r="X730" s="77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8"/>
    </row>
    <row r="731" spans="1:35">
      <c r="A731" s="44"/>
      <c r="B731" s="71" t="str">
        <f>IFERROR(VLOOKUP(C731,[10]Sheet2!$C$3:$F$1223,2,0),"")</f>
        <v/>
      </c>
      <c r="C731" s="75"/>
      <c r="D731" s="80" t="str">
        <f>IFERROR(VLOOKUP(C731,[10]Sheet2!$C$1:$F$1223,3,0),"")</f>
        <v/>
      </c>
      <c r="E731" s="80" t="str">
        <f>IFERROR(VLOOKUP(C731,[10]Sheet2!$C$1:$F$1223,4,0),"")</f>
        <v/>
      </c>
      <c r="F731" s="75"/>
      <c r="G731" s="72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8"/>
      <c r="W731" s="44"/>
      <c r="X731" s="77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8"/>
    </row>
    <row r="732" spans="1:35">
      <c r="A732" s="44"/>
      <c r="B732" s="71" t="str">
        <f>IFERROR(VLOOKUP(C732,[10]Sheet2!$C$3:$F$1223,2,0),"")</f>
        <v/>
      </c>
      <c r="C732" s="75"/>
      <c r="D732" s="80" t="str">
        <f>IFERROR(VLOOKUP(C732,[10]Sheet2!$C$1:$F$1223,3,0),"")</f>
        <v/>
      </c>
      <c r="E732" s="80" t="str">
        <f>IFERROR(VLOOKUP(C732,[10]Sheet2!$C$1:$F$1223,4,0),"")</f>
        <v/>
      </c>
      <c r="F732" s="75"/>
      <c r="G732" s="72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8"/>
      <c r="W732" s="44"/>
      <c r="X732" s="77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8"/>
    </row>
    <row r="733" spans="1:35">
      <c r="A733" s="44"/>
      <c r="B733" s="71" t="str">
        <f>IFERROR(VLOOKUP(C733,[10]Sheet2!$C$3:$F$1223,2,0),"")</f>
        <v/>
      </c>
      <c r="C733" s="75"/>
      <c r="D733" s="80" t="str">
        <f>IFERROR(VLOOKUP(C733,[10]Sheet2!$C$1:$F$1223,3,0),"")</f>
        <v/>
      </c>
      <c r="E733" s="80" t="str">
        <f>IFERROR(VLOOKUP(C733,[10]Sheet2!$C$1:$F$1223,4,0),"")</f>
        <v/>
      </c>
      <c r="F733" s="75"/>
      <c r="G733" s="72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8"/>
      <c r="W733" s="44"/>
      <c r="X733" s="77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8"/>
    </row>
    <row r="734" spans="1:35">
      <c r="A734" s="44"/>
      <c r="B734" s="71" t="str">
        <f>IFERROR(VLOOKUP(C734,[10]Sheet2!$C$3:$F$1223,2,0),"")</f>
        <v/>
      </c>
      <c r="C734" s="75"/>
      <c r="D734" s="80" t="str">
        <f>IFERROR(VLOOKUP(C734,[10]Sheet2!$C$1:$F$1223,3,0),"")</f>
        <v/>
      </c>
      <c r="E734" s="80" t="str">
        <f>IFERROR(VLOOKUP(C734,[10]Sheet2!$C$1:$F$1223,4,0),"")</f>
        <v/>
      </c>
      <c r="F734" s="75"/>
      <c r="G734" s="72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8"/>
      <c r="W734" s="44"/>
      <c r="X734" s="77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8"/>
    </row>
    <row r="735" spans="1:35">
      <c r="A735" s="44"/>
      <c r="B735" s="71" t="str">
        <f>IFERROR(VLOOKUP(C735,[10]Sheet2!$C$3:$F$1223,2,0),"")</f>
        <v/>
      </c>
      <c r="C735" s="75"/>
      <c r="D735" s="80"/>
      <c r="E735" s="80"/>
      <c r="F735" s="75"/>
      <c r="G735" s="72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8"/>
      <c r="W735" s="44"/>
      <c r="X735" s="77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8"/>
    </row>
    <row r="736" spans="1:35">
      <c r="A736" s="44"/>
      <c r="B736" s="71" t="str">
        <f>IFERROR(VLOOKUP(C736,[10]Sheet2!$C$3:$F$1223,2,0),"")</f>
        <v/>
      </c>
      <c r="C736" s="75"/>
      <c r="D736" s="80"/>
      <c r="E736" s="80"/>
      <c r="F736" s="75"/>
      <c r="G736" s="72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8"/>
      <c r="W736" s="44"/>
      <c r="X736" s="77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8"/>
    </row>
    <row r="737" spans="1:35">
      <c r="A737" s="44"/>
      <c r="B737" s="71" t="str">
        <f>IFERROR(VLOOKUP(C737,[10]Sheet2!$C$3:$F$1223,2,0),"")</f>
        <v/>
      </c>
      <c r="C737" s="75"/>
      <c r="D737" s="80"/>
      <c r="E737" s="80"/>
      <c r="F737" s="75"/>
      <c r="G737" s="72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8"/>
      <c r="W737" s="44"/>
      <c r="X737" s="77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8"/>
    </row>
    <row r="738" spans="1:35">
      <c r="A738" s="44"/>
      <c r="B738" s="71" t="str">
        <f>IFERROR(VLOOKUP(C738,[10]Sheet2!$C$3:$F$1223,2,0),"")</f>
        <v/>
      </c>
      <c r="C738" s="75"/>
      <c r="D738" s="80"/>
      <c r="E738" s="80"/>
      <c r="F738" s="75"/>
      <c r="G738" s="72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8"/>
      <c r="W738" s="44"/>
      <c r="X738" s="77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8"/>
    </row>
    <row r="739" spans="1:35">
      <c r="A739" s="44"/>
      <c r="B739" s="71" t="str">
        <f>IFERROR(VLOOKUP(C739,[10]Sheet2!$C$3:$F$1223,2,0),"")</f>
        <v/>
      </c>
      <c r="C739" s="75"/>
      <c r="D739" s="80"/>
      <c r="E739" s="80"/>
      <c r="F739" s="75"/>
      <c r="G739" s="72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8"/>
      <c r="W739" s="44"/>
      <c r="X739" s="77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8"/>
    </row>
    <row r="740" spans="1:35">
      <c r="B740" s="17" t="str">
        <f>IFERROR(VLOOKUP(C740,[10]Sheet2!$C$3:$F$1223,2,0),"")</f>
        <v/>
      </c>
    </row>
    <row r="741" spans="1:35">
      <c r="B741" s="17" t="str">
        <f>IFERROR(VLOOKUP(C741,[10]Sheet2!$C$3:$F$1223,2,0),"")</f>
        <v/>
      </c>
    </row>
    <row r="742" spans="1:35">
      <c r="B742" s="17" t="str">
        <f>IFERROR(VLOOKUP(C742,[10]Sheet2!$C$3:$F$1223,2,0),"")</f>
        <v/>
      </c>
    </row>
    <row r="743" spans="1:35">
      <c r="B743" s="17" t="str">
        <f>IFERROR(VLOOKUP(C743,[10]Sheet2!$C$3:$F$1223,2,0),"")</f>
        <v/>
      </c>
    </row>
  </sheetData>
  <autoFilter ref="B2:V743"/>
  <mergeCells count="2">
    <mergeCell ref="K1:V1"/>
    <mergeCell ref="X1:AI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1223"/>
  <sheetViews>
    <sheetView topLeftCell="A1191" workbookViewId="0">
      <selection activeCell="D1223" sqref="D1223"/>
    </sheetView>
  </sheetViews>
  <sheetFormatPr defaultRowHeight="17"/>
  <cols>
    <col min="5" max="5" width="9" customWidth="1"/>
    <col min="6" max="6" width="29.58203125" bestFit="1" customWidth="1"/>
  </cols>
  <sheetData>
    <row r="1" spans="2:10" ht="17.5" thickTop="1">
      <c r="B1" s="110" t="s">
        <v>1159</v>
      </c>
      <c r="C1" s="112" t="s">
        <v>1161</v>
      </c>
      <c r="D1" s="112" t="s">
        <v>2293</v>
      </c>
      <c r="E1" s="112" t="s">
        <v>1160</v>
      </c>
      <c r="F1" s="112" t="s">
        <v>1162</v>
      </c>
    </row>
    <row r="2" spans="2:10">
      <c r="B2" s="111"/>
      <c r="C2" s="113"/>
      <c r="D2" s="113"/>
      <c r="E2" s="113"/>
      <c r="F2" s="113"/>
    </row>
    <row r="3" spans="2:10">
      <c r="B3" s="5">
        <v>1</v>
      </c>
      <c r="C3" s="7">
        <v>33443</v>
      </c>
      <c r="D3" s="12" t="str">
        <f>IFERROR(VLOOKUP(E3,$H$3:$J$16,2,0),"")</f>
        <v>Seoul</v>
      </c>
      <c r="E3" s="6" t="s">
        <v>552</v>
      </c>
      <c r="F3" s="6" t="s">
        <v>569</v>
      </c>
      <c r="H3" t="s">
        <v>109</v>
      </c>
      <c r="I3" t="s">
        <v>1157</v>
      </c>
      <c r="J3" t="s">
        <v>2295</v>
      </c>
    </row>
    <row r="4" spans="2:10">
      <c r="B4" s="8">
        <v>2</v>
      </c>
      <c r="C4" s="10">
        <v>33446</v>
      </c>
      <c r="D4" s="6" t="str">
        <f t="shared" ref="D4:D67" si="0">IFERROR(VLOOKUP(E4,$H$3:$J$16,2,0),"")</f>
        <v>Seoul</v>
      </c>
      <c r="E4" s="9" t="s">
        <v>552</v>
      </c>
      <c r="F4" s="9" t="s">
        <v>1163</v>
      </c>
      <c r="H4" t="s">
        <v>259</v>
      </c>
      <c r="I4" t="s">
        <v>1157</v>
      </c>
      <c r="J4" t="s">
        <v>2296</v>
      </c>
    </row>
    <row r="5" spans="2:10">
      <c r="B5" s="8">
        <v>3</v>
      </c>
      <c r="C5" s="10">
        <v>33447</v>
      </c>
      <c r="D5" s="6" t="str">
        <f t="shared" si="0"/>
        <v>Seoul</v>
      </c>
      <c r="E5" s="9" t="s">
        <v>552</v>
      </c>
      <c r="F5" s="9" t="s">
        <v>1164</v>
      </c>
      <c r="H5" t="s">
        <v>432</v>
      </c>
      <c r="I5" t="s">
        <v>1157</v>
      </c>
      <c r="J5" t="s">
        <v>2297</v>
      </c>
    </row>
    <row r="6" spans="2:10">
      <c r="B6" s="8">
        <v>4</v>
      </c>
      <c r="C6" s="10">
        <v>33470</v>
      </c>
      <c r="D6" s="6" t="str">
        <f t="shared" si="0"/>
        <v>Seoul</v>
      </c>
      <c r="E6" s="9" t="s">
        <v>552</v>
      </c>
      <c r="F6" s="9" t="s">
        <v>1165</v>
      </c>
      <c r="H6" t="s">
        <v>993</v>
      </c>
      <c r="I6" t="s">
        <v>1157</v>
      </c>
      <c r="J6" t="s">
        <v>2298</v>
      </c>
    </row>
    <row r="7" spans="2:10">
      <c r="B7" s="8">
        <v>5</v>
      </c>
      <c r="C7" s="10">
        <v>34752</v>
      </c>
      <c r="D7" s="6" t="str">
        <f t="shared" si="0"/>
        <v>Seoul</v>
      </c>
      <c r="E7" s="9" t="s">
        <v>552</v>
      </c>
      <c r="F7" s="9" t="s">
        <v>1166</v>
      </c>
      <c r="H7" t="s">
        <v>105</v>
      </c>
      <c r="I7" t="s">
        <v>1157</v>
      </c>
      <c r="J7" t="s">
        <v>2299</v>
      </c>
    </row>
    <row r="8" spans="2:10">
      <c r="B8" s="8">
        <v>6</v>
      </c>
      <c r="C8" s="10">
        <v>37316</v>
      </c>
      <c r="D8" s="6" t="str">
        <f t="shared" si="0"/>
        <v>Seoul</v>
      </c>
      <c r="E8" s="9" t="s">
        <v>552</v>
      </c>
      <c r="F8" s="9" t="s">
        <v>1167</v>
      </c>
      <c r="H8" t="s">
        <v>91</v>
      </c>
      <c r="I8" t="s">
        <v>1157</v>
      </c>
      <c r="J8" t="s">
        <v>2300</v>
      </c>
    </row>
    <row r="9" spans="2:10">
      <c r="B9" s="8">
        <v>7</v>
      </c>
      <c r="C9" s="10">
        <v>33460</v>
      </c>
      <c r="D9" s="6" t="str">
        <f t="shared" si="0"/>
        <v>Seoul</v>
      </c>
      <c r="E9" s="9" t="s">
        <v>552</v>
      </c>
      <c r="F9" s="9" t="s">
        <v>1168</v>
      </c>
      <c r="H9" t="s">
        <v>1218</v>
      </c>
      <c r="I9" t="s">
        <v>1157</v>
      </c>
      <c r="J9" t="s">
        <v>2301</v>
      </c>
    </row>
    <row r="10" spans="2:10">
      <c r="B10" s="8">
        <v>8</v>
      </c>
      <c r="C10" s="10">
        <v>33468</v>
      </c>
      <c r="D10" s="6" t="str">
        <f t="shared" si="0"/>
        <v>Seoul</v>
      </c>
      <c r="E10" s="9" t="s">
        <v>552</v>
      </c>
      <c r="F10" s="9" t="s">
        <v>1169</v>
      </c>
      <c r="H10" t="s">
        <v>552</v>
      </c>
      <c r="I10" t="s">
        <v>1157</v>
      </c>
      <c r="J10" t="s">
        <v>2302</v>
      </c>
    </row>
    <row r="11" spans="2:10">
      <c r="B11" s="8">
        <v>9</v>
      </c>
      <c r="C11" s="10">
        <v>36599</v>
      </c>
      <c r="D11" s="6" t="str">
        <f t="shared" si="0"/>
        <v>Seoul</v>
      </c>
      <c r="E11" s="9" t="s">
        <v>552</v>
      </c>
      <c r="F11" s="9" t="s">
        <v>1170</v>
      </c>
      <c r="H11" t="s">
        <v>1596</v>
      </c>
      <c r="I11" t="s">
        <v>2294</v>
      </c>
      <c r="J11" t="s">
        <v>2303</v>
      </c>
    </row>
    <row r="12" spans="2:10">
      <c r="B12" s="8">
        <v>10</v>
      </c>
      <c r="C12" s="10">
        <v>33444</v>
      </c>
      <c r="D12" s="6" t="str">
        <f t="shared" si="0"/>
        <v>Seoul</v>
      </c>
      <c r="E12" s="9" t="s">
        <v>552</v>
      </c>
      <c r="F12" s="9" t="s">
        <v>553</v>
      </c>
      <c r="H12" t="s">
        <v>1507</v>
      </c>
      <c r="I12" t="s">
        <v>2294</v>
      </c>
      <c r="J12" t="s">
        <v>2304</v>
      </c>
    </row>
    <row r="13" spans="2:10">
      <c r="B13" s="8">
        <v>11</v>
      </c>
      <c r="C13" s="10">
        <v>36367</v>
      </c>
      <c r="D13" s="6" t="str">
        <f t="shared" si="0"/>
        <v>Seoul</v>
      </c>
      <c r="E13" s="9" t="s">
        <v>552</v>
      </c>
      <c r="F13" s="9" t="s">
        <v>1171</v>
      </c>
      <c r="H13" t="s">
        <v>1690</v>
      </c>
      <c r="I13" t="s">
        <v>2312</v>
      </c>
      <c r="J13" t="s">
        <v>2305</v>
      </c>
    </row>
    <row r="14" spans="2:10">
      <c r="B14" s="8">
        <v>12</v>
      </c>
      <c r="C14" s="10">
        <v>80497</v>
      </c>
      <c r="D14" s="6" t="str">
        <f t="shared" si="0"/>
        <v>Seoul</v>
      </c>
      <c r="E14" s="9" t="s">
        <v>552</v>
      </c>
      <c r="F14" s="9" t="s">
        <v>1172</v>
      </c>
      <c r="H14" t="s">
        <v>1724</v>
      </c>
      <c r="I14" t="s">
        <v>2311</v>
      </c>
      <c r="J14" t="s">
        <v>2306</v>
      </c>
    </row>
    <row r="15" spans="2:10">
      <c r="B15" s="8">
        <v>13</v>
      </c>
      <c r="C15" s="10">
        <v>37583</v>
      </c>
      <c r="D15" s="6" t="str">
        <f t="shared" si="0"/>
        <v>Seoul</v>
      </c>
      <c r="E15" s="9" t="s">
        <v>552</v>
      </c>
      <c r="F15" s="9" t="s">
        <v>1173</v>
      </c>
      <c r="H15" t="s">
        <v>1870</v>
      </c>
      <c r="I15" t="s">
        <v>2307</v>
      </c>
      <c r="J15" t="s">
        <v>2308</v>
      </c>
    </row>
    <row r="16" spans="2:10">
      <c r="B16" s="8">
        <v>14</v>
      </c>
      <c r="C16" s="10">
        <v>33445</v>
      </c>
      <c r="D16" s="6" t="str">
        <f t="shared" si="0"/>
        <v>Seoul</v>
      </c>
      <c r="E16" s="9" t="s">
        <v>552</v>
      </c>
      <c r="F16" s="9" t="s">
        <v>1174</v>
      </c>
      <c r="H16" t="s">
        <v>2007</v>
      </c>
      <c r="I16" t="s">
        <v>2309</v>
      </c>
      <c r="J16" t="s">
        <v>2310</v>
      </c>
    </row>
    <row r="17" spans="2:6">
      <c r="B17" s="8">
        <v>15</v>
      </c>
      <c r="C17" s="10">
        <v>80932</v>
      </c>
      <c r="D17" s="6" t="str">
        <f t="shared" si="0"/>
        <v>Seoul</v>
      </c>
      <c r="E17" s="9" t="s">
        <v>552</v>
      </c>
      <c r="F17" s="9" t="s">
        <v>1175</v>
      </c>
    </row>
    <row r="18" spans="2:6">
      <c r="B18" s="8">
        <v>16</v>
      </c>
      <c r="C18" s="10">
        <v>36669</v>
      </c>
      <c r="D18" s="6" t="str">
        <f t="shared" si="0"/>
        <v>Seoul</v>
      </c>
      <c r="E18" s="9" t="s">
        <v>552</v>
      </c>
      <c r="F18" s="9" t="s">
        <v>1176</v>
      </c>
    </row>
    <row r="19" spans="2:6">
      <c r="B19" s="8">
        <v>17</v>
      </c>
      <c r="C19" s="10">
        <v>36270</v>
      </c>
      <c r="D19" s="6" t="str">
        <f t="shared" si="0"/>
        <v>Seoul</v>
      </c>
      <c r="E19" s="9" t="s">
        <v>552</v>
      </c>
      <c r="F19" s="9" t="s">
        <v>1177</v>
      </c>
    </row>
    <row r="20" spans="2:6">
      <c r="B20" s="8">
        <v>18</v>
      </c>
      <c r="C20" s="10">
        <v>35177</v>
      </c>
      <c r="D20" s="6" t="str">
        <f t="shared" si="0"/>
        <v>Seoul</v>
      </c>
      <c r="E20" s="9" t="s">
        <v>552</v>
      </c>
      <c r="F20" s="9" t="s">
        <v>1178</v>
      </c>
    </row>
    <row r="21" spans="2:6">
      <c r="B21" s="8">
        <v>19</v>
      </c>
      <c r="C21" s="10">
        <v>38204</v>
      </c>
      <c r="D21" s="6" t="str">
        <f t="shared" si="0"/>
        <v>Seoul</v>
      </c>
      <c r="E21" s="9" t="s">
        <v>552</v>
      </c>
      <c r="F21" s="9" t="s">
        <v>1178</v>
      </c>
    </row>
    <row r="22" spans="2:6">
      <c r="B22" s="8">
        <v>20</v>
      </c>
      <c r="C22" s="10">
        <v>34724</v>
      </c>
      <c r="D22" s="6" t="str">
        <f t="shared" si="0"/>
        <v>Seoul</v>
      </c>
      <c r="E22" s="9" t="s">
        <v>105</v>
      </c>
      <c r="F22" s="9" t="s">
        <v>669</v>
      </c>
    </row>
    <row r="23" spans="2:6">
      <c r="B23" s="8">
        <v>21</v>
      </c>
      <c r="C23" s="10">
        <v>33050</v>
      </c>
      <c r="D23" s="6" t="str">
        <f t="shared" si="0"/>
        <v>Seoul</v>
      </c>
      <c r="E23" s="9" t="s">
        <v>105</v>
      </c>
      <c r="F23" s="9" t="s">
        <v>106</v>
      </c>
    </row>
    <row r="24" spans="2:6">
      <c r="B24" s="8">
        <v>22</v>
      </c>
      <c r="C24" s="10">
        <v>33210</v>
      </c>
      <c r="D24" s="6" t="str">
        <f t="shared" si="0"/>
        <v>Seoul</v>
      </c>
      <c r="E24" s="9" t="s">
        <v>105</v>
      </c>
      <c r="F24" s="9" t="s">
        <v>1179</v>
      </c>
    </row>
    <row r="25" spans="2:6">
      <c r="B25" s="8">
        <v>23</v>
      </c>
      <c r="C25" s="10">
        <v>33182</v>
      </c>
      <c r="D25" s="6" t="str">
        <f t="shared" si="0"/>
        <v>Seoul</v>
      </c>
      <c r="E25" s="9" t="s">
        <v>105</v>
      </c>
      <c r="F25" s="9" t="s">
        <v>530</v>
      </c>
    </row>
    <row r="26" spans="2:6">
      <c r="B26" s="8">
        <v>24</v>
      </c>
      <c r="C26" s="10">
        <v>33350</v>
      </c>
      <c r="D26" s="6" t="str">
        <f t="shared" si="0"/>
        <v>Seoul</v>
      </c>
      <c r="E26" s="9" t="s">
        <v>432</v>
      </c>
      <c r="F26" s="9" t="s">
        <v>1180</v>
      </c>
    </row>
    <row r="27" spans="2:6">
      <c r="B27" s="8">
        <v>25</v>
      </c>
      <c r="C27" s="10">
        <v>33408</v>
      </c>
      <c r="D27" s="6" t="str">
        <f t="shared" si="0"/>
        <v>Seoul</v>
      </c>
      <c r="E27" s="9" t="s">
        <v>432</v>
      </c>
      <c r="F27" s="9" t="s">
        <v>1181</v>
      </c>
    </row>
    <row r="28" spans="2:6">
      <c r="B28" s="8">
        <v>26</v>
      </c>
      <c r="C28" s="10">
        <v>33257</v>
      </c>
      <c r="D28" s="6" t="str">
        <f t="shared" si="0"/>
        <v>Seoul</v>
      </c>
      <c r="E28" s="9" t="s">
        <v>432</v>
      </c>
      <c r="F28" s="9" t="s">
        <v>1182</v>
      </c>
    </row>
    <row r="29" spans="2:6">
      <c r="B29" s="8">
        <v>27</v>
      </c>
      <c r="C29" s="10">
        <v>33344</v>
      </c>
      <c r="D29" s="6" t="str">
        <f t="shared" si="0"/>
        <v>Seoul</v>
      </c>
      <c r="E29" s="9" t="s">
        <v>105</v>
      </c>
      <c r="F29" s="9" t="s">
        <v>1183</v>
      </c>
    </row>
    <row r="30" spans="2:6">
      <c r="B30" s="8">
        <v>28</v>
      </c>
      <c r="C30" s="10">
        <v>36787</v>
      </c>
      <c r="D30" s="6" t="str">
        <f t="shared" si="0"/>
        <v>Seoul</v>
      </c>
      <c r="E30" s="9" t="s">
        <v>105</v>
      </c>
      <c r="F30" s="9" t="s">
        <v>1184</v>
      </c>
    </row>
    <row r="31" spans="2:6">
      <c r="B31" s="8">
        <v>29</v>
      </c>
      <c r="C31" s="10">
        <v>81621</v>
      </c>
      <c r="D31" s="6" t="str">
        <f t="shared" si="0"/>
        <v>Seoul</v>
      </c>
      <c r="E31" s="9" t="s">
        <v>105</v>
      </c>
      <c r="F31" s="9" t="s">
        <v>1185</v>
      </c>
    </row>
    <row r="32" spans="2:6">
      <c r="B32" s="8">
        <v>30</v>
      </c>
      <c r="C32" s="10">
        <v>85976</v>
      </c>
      <c r="D32" s="6" t="str">
        <f t="shared" si="0"/>
        <v>Seoul</v>
      </c>
      <c r="E32" s="9" t="s">
        <v>105</v>
      </c>
      <c r="F32" s="9" t="s">
        <v>1186</v>
      </c>
    </row>
    <row r="33" spans="2:6">
      <c r="B33" s="8">
        <v>31</v>
      </c>
      <c r="C33" s="10">
        <v>86010</v>
      </c>
      <c r="D33" s="6" t="str">
        <f t="shared" si="0"/>
        <v>Seoul</v>
      </c>
      <c r="E33" s="9" t="s">
        <v>109</v>
      </c>
      <c r="F33" s="9" t="s">
        <v>1187</v>
      </c>
    </row>
    <row r="34" spans="2:6">
      <c r="B34" s="8">
        <v>32</v>
      </c>
      <c r="C34" s="10">
        <v>84117</v>
      </c>
      <c r="D34" s="6" t="str">
        <f t="shared" si="0"/>
        <v>Seoul</v>
      </c>
      <c r="E34" s="9" t="s">
        <v>993</v>
      </c>
      <c r="F34" s="9" t="s">
        <v>1188</v>
      </c>
    </row>
    <row r="35" spans="2:6">
      <c r="B35" s="8">
        <v>33</v>
      </c>
      <c r="C35" s="10">
        <v>33355</v>
      </c>
      <c r="D35" s="6" t="str">
        <f t="shared" si="0"/>
        <v>Seoul</v>
      </c>
      <c r="E35" s="9" t="s">
        <v>91</v>
      </c>
      <c r="F35" s="9" t="s">
        <v>1189</v>
      </c>
    </row>
    <row r="36" spans="2:6">
      <c r="B36" s="8">
        <v>34</v>
      </c>
      <c r="C36" s="10">
        <v>33354</v>
      </c>
      <c r="D36" s="6" t="str">
        <f t="shared" si="0"/>
        <v>Seoul</v>
      </c>
      <c r="E36" s="9" t="s">
        <v>91</v>
      </c>
      <c r="F36" s="9" t="s">
        <v>1190</v>
      </c>
    </row>
    <row r="37" spans="2:6">
      <c r="B37" s="8">
        <v>35</v>
      </c>
      <c r="C37" s="10">
        <v>33352</v>
      </c>
      <c r="D37" s="6" t="str">
        <f t="shared" si="0"/>
        <v>Seoul</v>
      </c>
      <c r="E37" s="9" t="s">
        <v>91</v>
      </c>
      <c r="F37" s="9" t="s">
        <v>1191</v>
      </c>
    </row>
    <row r="38" spans="2:6">
      <c r="B38" s="8">
        <v>36</v>
      </c>
      <c r="C38" s="10">
        <v>33353</v>
      </c>
      <c r="D38" s="6" t="str">
        <f t="shared" si="0"/>
        <v>Seoul</v>
      </c>
      <c r="E38" s="9" t="s">
        <v>91</v>
      </c>
      <c r="F38" s="9" t="s">
        <v>1192</v>
      </c>
    </row>
    <row r="39" spans="2:6">
      <c r="B39" s="8">
        <v>37</v>
      </c>
      <c r="C39" s="10">
        <v>33217</v>
      </c>
      <c r="D39" s="6" t="str">
        <f t="shared" si="0"/>
        <v>Seoul</v>
      </c>
      <c r="E39" s="9" t="s">
        <v>109</v>
      </c>
      <c r="F39" s="9" t="s">
        <v>1193</v>
      </c>
    </row>
    <row r="40" spans="2:6">
      <c r="B40" s="8">
        <v>38</v>
      </c>
      <c r="C40" s="10">
        <v>33064</v>
      </c>
      <c r="D40" s="6" t="str">
        <f t="shared" si="0"/>
        <v>Seoul</v>
      </c>
      <c r="E40" s="9" t="s">
        <v>91</v>
      </c>
      <c r="F40" s="9" t="s">
        <v>1194</v>
      </c>
    </row>
    <row r="41" spans="2:6">
      <c r="B41" s="8">
        <v>39</v>
      </c>
      <c r="C41" s="10">
        <v>33195</v>
      </c>
      <c r="D41" s="6" t="str">
        <f t="shared" si="0"/>
        <v>Seoul</v>
      </c>
      <c r="E41" s="9" t="s">
        <v>91</v>
      </c>
      <c r="F41" s="9" t="s">
        <v>1195</v>
      </c>
    </row>
    <row r="42" spans="2:6">
      <c r="B42" s="8">
        <v>40</v>
      </c>
      <c r="C42" s="10">
        <v>36044</v>
      </c>
      <c r="D42" s="6" t="str">
        <f t="shared" si="0"/>
        <v>Seoul</v>
      </c>
      <c r="E42" s="9" t="s">
        <v>91</v>
      </c>
      <c r="F42" s="9" t="s">
        <v>1196</v>
      </c>
    </row>
    <row r="43" spans="2:6">
      <c r="B43" s="8">
        <v>41</v>
      </c>
      <c r="C43" s="10">
        <v>33189</v>
      </c>
      <c r="D43" s="6" t="str">
        <f t="shared" si="0"/>
        <v>Seoul</v>
      </c>
      <c r="E43" s="9" t="s">
        <v>91</v>
      </c>
      <c r="F43" s="9" t="s">
        <v>1197</v>
      </c>
    </row>
    <row r="44" spans="2:6">
      <c r="B44" s="8">
        <v>42</v>
      </c>
      <c r="C44" s="10">
        <v>33250</v>
      </c>
      <c r="D44" s="6" t="str">
        <f t="shared" si="0"/>
        <v>Seoul</v>
      </c>
      <c r="E44" s="9" t="s">
        <v>91</v>
      </c>
      <c r="F44" s="9" t="s">
        <v>1198</v>
      </c>
    </row>
    <row r="45" spans="2:6">
      <c r="B45" s="8">
        <v>43</v>
      </c>
      <c r="C45" s="10">
        <v>33249</v>
      </c>
      <c r="D45" s="6" t="str">
        <f t="shared" si="0"/>
        <v>Seoul</v>
      </c>
      <c r="E45" s="9" t="s">
        <v>91</v>
      </c>
      <c r="F45" s="9" t="s">
        <v>1199</v>
      </c>
    </row>
    <row r="46" spans="2:6">
      <c r="B46" s="8">
        <v>44</v>
      </c>
      <c r="C46" s="10">
        <v>33102</v>
      </c>
      <c r="D46" s="6" t="str">
        <f t="shared" si="0"/>
        <v>Seoul</v>
      </c>
      <c r="E46" s="9" t="s">
        <v>91</v>
      </c>
      <c r="F46" s="9" t="s">
        <v>1200</v>
      </c>
    </row>
    <row r="47" spans="2:6">
      <c r="B47" s="8">
        <v>45</v>
      </c>
      <c r="C47" s="10">
        <v>33129</v>
      </c>
      <c r="D47" s="6" t="str">
        <f t="shared" si="0"/>
        <v>Seoul</v>
      </c>
      <c r="E47" s="9" t="s">
        <v>259</v>
      </c>
      <c r="F47" s="9" t="s">
        <v>1201</v>
      </c>
    </row>
    <row r="48" spans="2:6">
      <c r="B48" s="8">
        <v>46</v>
      </c>
      <c r="C48" s="10">
        <v>39030</v>
      </c>
      <c r="D48" s="6" t="str">
        <f t="shared" si="0"/>
        <v>Seoul</v>
      </c>
      <c r="E48" s="9" t="s">
        <v>91</v>
      </c>
      <c r="F48" s="9" t="s">
        <v>1202</v>
      </c>
    </row>
    <row r="49" spans="2:6">
      <c r="B49" s="8">
        <v>47</v>
      </c>
      <c r="C49" s="10">
        <v>33205</v>
      </c>
      <c r="D49" s="6" t="str">
        <f t="shared" si="0"/>
        <v>Seoul</v>
      </c>
      <c r="E49" s="9" t="s">
        <v>91</v>
      </c>
      <c r="F49" s="9" t="s">
        <v>1203</v>
      </c>
    </row>
    <row r="50" spans="2:6">
      <c r="B50" s="8">
        <v>48</v>
      </c>
      <c r="C50" s="10">
        <v>33326</v>
      </c>
      <c r="D50" s="6" t="str">
        <f t="shared" si="0"/>
        <v>Seoul</v>
      </c>
      <c r="E50" s="9" t="s">
        <v>91</v>
      </c>
      <c r="F50" s="9" t="s">
        <v>1204</v>
      </c>
    </row>
    <row r="51" spans="2:6">
      <c r="B51" s="8">
        <v>49</v>
      </c>
      <c r="C51" s="10">
        <v>33200</v>
      </c>
      <c r="D51" s="6" t="str">
        <f t="shared" si="0"/>
        <v>Seoul</v>
      </c>
      <c r="E51" s="9" t="s">
        <v>91</v>
      </c>
      <c r="F51" s="9" t="s">
        <v>1205</v>
      </c>
    </row>
    <row r="52" spans="2:6">
      <c r="B52" s="8">
        <v>50</v>
      </c>
      <c r="C52" s="10">
        <v>33202</v>
      </c>
      <c r="D52" s="6" t="str">
        <f t="shared" si="0"/>
        <v>Seoul</v>
      </c>
      <c r="E52" s="9" t="s">
        <v>91</v>
      </c>
      <c r="F52" s="9" t="s">
        <v>1206</v>
      </c>
    </row>
    <row r="53" spans="2:6">
      <c r="B53" s="8">
        <v>51</v>
      </c>
      <c r="C53" s="10">
        <v>33151</v>
      </c>
      <c r="D53" s="6" t="str">
        <f t="shared" si="0"/>
        <v>Seoul</v>
      </c>
      <c r="E53" s="9" t="s">
        <v>91</v>
      </c>
      <c r="F53" s="9" t="s">
        <v>1207</v>
      </c>
    </row>
    <row r="54" spans="2:6">
      <c r="B54" s="8">
        <v>52</v>
      </c>
      <c r="C54" s="10">
        <v>81995</v>
      </c>
      <c r="D54" s="6" t="str">
        <f t="shared" si="0"/>
        <v>Seoul</v>
      </c>
      <c r="E54" s="9" t="s">
        <v>109</v>
      </c>
      <c r="F54" s="9" t="s">
        <v>466</v>
      </c>
    </row>
    <row r="55" spans="2:6">
      <c r="B55" s="8">
        <v>53</v>
      </c>
      <c r="C55" s="10">
        <v>81997</v>
      </c>
      <c r="D55" s="6" t="str">
        <f t="shared" si="0"/>
        <v>Seoul</v>
      </c>
      <c r="E55" s="9" t="s">
        <v>91</v>
      </c>
      <c r="F55" s="9" t="s">
        <v>479</v>
      </c>
    </row>
    <row r="56" spans="2:6">
      <c r="B56" s="8">
        <v>54</v>
      </c>
      <c r="C56" s="10">
        <v>33198</v>
      </c>
      <c r="D56" s="6" t="str">
        <f t="shared" si="0"/>
        <v>Seoul</v>
      </c>
      <c r="E56" s="9" t="s">
        <v>91</v>
      </c>
      <c r="F56" s="9" t="s">
        <v>1208</v>
      </c>
    </row>
    <row r="57" spans="2:6">
      <c r="B57" s="8">
        <v>55</v>
      </c>
      <c r="C57" s="10">
        <v>81895</v>
      </c>
      <c r="D57" s="6" t="str">
        <f t="shared" si="0"/>
        <v>Seoul</v>
      </c>
      <c r="E57" s="9" t="s">
        <v>91</v>
      </c>
      <c r="F57" s="9" t="s">
        <v>1209</v>
      </c>
    </row>
    <row r="58" spans="2:6">
      <c r="B58" s="8">
        <v>56</v>
      </c>
      <c r="C58" s="10">
        <v>33106</v>
      </c>
      <c r="D58" s="6" t="str">
        <f t="shared" si="0"/>
        <v>Seoul</v>
      </c>
      <c r="E58" s="9" t="s">
        <v>91</v>
      </c>
      <c r="F58" s="9" t="s">
        <v>1210</v>
      </c>
    </row>
    <row r="59" spans="2:6">
      <c r="B59" s="8">
        <v>57</v>
      </c>
      <c r="C59" s="10">
        <v>33181</v>
      </c>
      <c r="D59" s="6" t="str">
        <f t="shared" si="0"/>
        <v>Seoul</v>
      </c>
      <c r="E59" s="9" t="s">
        <v>259</v>
      </c>
      <c r="F59" s="9" t="s">
        <v>1211</v>
      </c>
    </row>
    <row r="60" spans="2:6">
      <c r="B60" s="8">
        <v>58</v>
      </c>
      <c r="C60" s="10">
        <v>33393</v>
      </c>
      <c r="D60" s="6" t="str">
        <f t="shared" si="0"/>
        <v>Seoul</v>
      </c>
      <c r="E60" s="9" t="s">
        <v>91</v>
      </c>
      <c r="F60" s="9" t="s">
        <v>1189</v>
      </c>
    </row>
    <row r="61" spans="2:6">
      <c r="B61" s="8">
        <v>59</v>
      </c>
      <c r="C61" s="10">
        <v>33108</v>
      </c>
      <c r="D61" s="6" t="str">
        <f t="shared" si="0"/>
        <v>Seoul</v>
      </c>
      <c r="E61" s="9" t="s">
        <v>91</v>
      </c>
      <c r="F61" s="9" t="s">
        <v>1212</v>
      </c>
    </row>
    <row r="62" spans="2:6">
      <c r="B62" s="8">
        <v>60</v>
      </c>
      <c r="C62" s="10">
        <v>33109</v>
      </c>
      <c r="D62" s="6" t="str">
        <f t="shared" si="0"/>
        <v>Seoul</v>
      </c>
      <c r="E62" s="9" t="s">
        <v>91</v>
      </c>
      <c r="F62" s="9" t="s">
        <v>1213</v>
      </c>
    </row>
    <row r="63" spans="2:6">
      <c r="B63" s="8">
        <v>61</v>
      </c>
      <c r="C63" s="10">
        <v>33213</v>
      </c>
      <c r="D63" s="6" t="str">
        <f t="shared" si="0"/>
        <v>Seoul</v>
      </c>
      <c r="E63" s="9" t="s">
        <v>91</v>
      </c>
      <c r="F63" s="9" t="s">
        <v>1214</v>
      </c>
    </row>
    <row r="64" spans="2:6">
      <c r="B64" s="8">
        <v>62</v>
      </c>
      <c r="C64" s="10">
        <v>33100</v>
      </c>
      <c r="D64" s="6" t="str">
        <f t="shared" si="0"/>
        <v>Seoul</v>
      </c>
      <c r="E64" s="9" t="s">
        <v>91</v>
      </c>
      <c r="F64" s="9" t="s">
        <v>605</v>
      </c>
    </row>
    <row r="65" spans="2:6">
      <c r="B65" s="8">
        <v>63</v>
      </c>
      <c r="C65" s="10">
        <v>33188</v>
      </c>
      <c r="D65" s="6" t="str">
        <f t="shared" si="0"/>
        <v>Seoul</v>
      </c>
      <c r="E65" s="9" t="s">
        <v>91</v>
      </c>
      <c r="F65" s="9" t="s">
        <v>1215</v>
      </c>
    </row>
    <row r="66" spans="2:6">
      <c r="B66" s="8">
        <v>64</v>
      </c>
      <c r="C66" s="10">
        <v>33343</v>
      </c>
      <c r="D66" s="6" t="str">
        <f t="shared" si="0"/>
        <v>Seoul</v>
      </c>
      <c r="E66" s="9" t="s">
        <v>432</v>
      </c>
      <c r="F66" s="9" t="s">
        <v>1216</v>
      </c>
    </row>
    <row r="67" spans="2:6">
      <c r="B67" s="8">
        <v>65</v>
      </c>
      <c r="C67" s="10">
        <v>86259</v>
      </c>
      <c r="D67" s="6" t="str">
        <f t="shared" si="0"/>
        <v>Seoul</v>
      </c>
      <c r="E67" s="9" t="s">
        <v>432</v>
      </c>
      <c r="F67" s="9" t="s">
        <v>1217</v>
      </c>
    </row>
    <row r="68" spans="2:6">
      <c r="B68" s="8">
        <v>66</v>
      </c>
      <c r="C68" s="10">
        <v>33453</v>
      </c>
      <c r="D68" s="6" t="str">
        <f t="shared" ref="D68:D131" si="1">IFERROR(VLOOKUP(E68,$H$3:$J$16,2,0),"")</f>
        <v>Seoul</v>
      </c>
      <c r="E68" s="9" t="s">
        <v>1218</v>
      </c>
      <c r="F68" s="9" t="s">
        <v>1219</v>
      </c>
    </row>
    <row r="69" spans="2:6">
      <c r="B69" s="8">
        <v>67</v>
      </c>
      <c r="C69" s="10">
        <v>33083</v>
      </c>
      <c r="D69" s="6" t="str">
        <f t="shared" si="1"/>
        <v>Seoul</v>
      </c>
      <c r="E69" s="9" t="s">
        <v>993</v>
      </c>
      <c r="F69" s="9" t="s">
        <v>1220</v>
      </c>
    </row>
    <row r="70" spans="2:6">
      <c r="B70" s="8">
        <v>68</v>
      </c>
      <c r="C70" s="10">
        <v>33228</v>
      </c>
      <c r="D70" s="6" t="str">
        <f t="shared" si="1"/>
        <v>Seoul</v>
      </c>
      <c r="E70" s="9" t="s">
        <v>91</v>
      </c>
      <c r="F70" s="9" t="s">
        <v>1221</v>
      </c>
    </row>
    <row r="71" spans="2:6">
      <c r="B71" s="8">
        <v>69</v>
      </c>
      <c r="C71" s="10">
        <v>33364</v>
      </c>
      <c r="D71" s="6" t="str">
        <f t="shared" si="1"/>
        <v>Seoul</v>
      </c>
      <c r="E71" s="9" t="s">
        <v>432</v>
      </c>
      <c r="F71" s="9" t="s">
        <v>542</v>
      </c>
    </row>
    <row r="72" spans="2:6">
      <c r="B72" s="8">
        <v>70</v>
      </c>
      <c r="C72" s="10">
        <v>81945</v>
      </c>
      <c r="D72" s="6" t="str">
        <f t="shared" si="1"/>
        <v>Seoul</v>
      </c>
      <c r="E72" s="9" t="s">
        <v>993</v>
      </c>
      <c r="F72" s="9" t="s">
        <v>1222</v>
      </c>
    </row>
    <row r="73" spans="2:6">
      <c r="B73" s="8">
        <v>71</v>
      </c>
      <c r="C73" s="10">
        <v>34853</v>
      </c>
      <c r="D73" s="6" t="str">
        <f t="shared" si="1"/>
        <v>Seoul</v>
      </c>
      <c r="E73" s="9" t="s">
        <v>432</v>
      </c>
      <c r="F73" s="9" t="s">
        <v>1223</v>
      </c>
    </row>
    <row r="74" spans="2:6">
      <c r="B74" s="8">
        <v>72</v>
      </c>
      <c r="C74" s="10">
        <v>33085</v>
      </c>
      <c r="D74" s="6" t="str">
        <f t="shared" si="1"/>
        <v>Seoul</v>
      </c>
      <c r="E74" s="9" t="s">
        <v>91</v>
      </c>
      <c r="F74" s="9" t="s">
        <v>1224</v>
      </c>
    </row>
    <row r="75" spans="2:6">
      <c r="B75" s="8">
        <v>73</v>
      </c>
      <c r="C75" s="10">
        <v>33451</v>
      </c>
      <c r="D75" s="6" t="str">
        <f t="shared" si="1"/>
        <v>Seoul</v>
      </c>
      <c r="E75" s="9" t="s">
        <v>1218</v>
      </c>
      <c r="F75" s="9" t="s">
        <v>1225</v>
      </c>
    </row>
    <row r="76" spans="2:6">
      <c r="B76" s="8">
        <v>74</v>
      </c>
      <c r="C76" s="10">
        <v>33455</v>
      </c>
      <c r="D76" s="6" t="str">
        <f t="shared" si="1"/>
        <v>Seoul</v>
      </c>
      <c r="E76" s="9" t="s">
        <v>1218</v>
      </c>
      <c r="F76" s="9" t="s">
        <v>572</v>
      </c>
    </row>
    <row r="77" spans="2:6">
      <c r="B77" s="8">
        <v>75</v>
      </c>
      <c r="C77" s="10">
        <v>33472</v>
      </c>
      <c r="D77" s="6" t="str">
        <f t="shared" si="1"/>
        <v>Seoul</v>
      </c>
      <c r="E77" s="9" t="s">
        <v>1218</v>
      </c>
      <c r="F77" s="9" t="s">
        <v>1226</v>
      </c>
    </row>
    <row r="78" spans="2:6">
      <c r="B78" s="8">
        <v>76</v>
      </c>
      <c r="C78" s="10">
        <v>33459</v>
      </c>
      <c r="D78" s="6" t="str">
        <f t="shared" si="1"/>
        <v>Seoul</v>
      </c>
      <c r="E78" s="9" t="s">
        <v>1218</v>
      </c>
      <c r="F78" s="9" t="s">
        <v>1227</v>
      </c>
    </row>
    <row r="79" spans="2:6">
      <c r="B79" s="8">
        <v>77</v>
      </c>
      <c r="C79" s="10">
        <v>33461</v>
      </c>
      <c r="D79" s="6" t="str">
        <f t="shared" si="1"/>
        <v>Seoul</v>
      </c>
      <c r="E79" s="9" t="s">
        <v>1218</v>
      </c>
      <c r="F79" s="9" t="s">
        <v>1228</v>
      </c>
    </row>
    <row r="80" spans="2:6">
      <c r="B80" s="8">
        <v>78</v>
      </c>
      <c r="C80" s="10">
        <v>33330</v>
      </c>
      <c r="D80" s="6" t="str">
        <f t="shared" si="1"/>
        <v>Seoul</v>
      </c>
      <c r="E80" s="9" t="s">
        <v>1218</v>
      </c>
      <c r="F80" s="9" t="s">
        <v>1229</v>
      </c>
    </row>
    <row r="81" spans="2:6">
      <c r="B81" s="8">
        <v>79</v>
      </c>
      <c r="C81" s="10">
        <v>33462</v>
      </c>
      <c r="D81" s="6" t="str">
        <f t="shared" si="1"/>
        <v>Seoul</v>
      </c>
      <c r="E81" s="9" t="s">
        <v>1218</v>
      </c>
      <c r="F81" s="9" t="s">
        <v>1230</v>
      </c>
    </row>
    <row r="82" spans="2:6">
      <c r="B82" s="8">
        <v>80</v>
      </c>
      <c r="C82" s="10">
        <v>34418</v>
      </c>
      <c r="D82" s="6" t="str">
        <f t="shared" si="1"/>
        <v>Seoul</v>
      </c>
      <c r="E82" s="9" t="s">
        <v>1218</v>
      </c>
      <c r="F82" s="9" t="s">
        <v>1231</v>
      </c>
    </row>
    <row r="83" spans="2:6">
      <c r="B83" s="8">
        <v>81</v>
      </c>
      <c r="C83" s="10">
        <v>33463</v>
      </c>
      <c r="D83" s="6" t="str">
        <f t="shared" si="1"/>
        <v>Seoul</v>
      </c>
      <c r="E83" s="9" t="s">
        <v>1218</v>
      </c>
      <c r="F83" s="9" t="s">
        <v>1232</v>
      </c>
    </row>
    <row r="84" spans="2:6">
      <c r="B84" s="8">
        <v>82</v>
      </c>
      <c r="C84" s="10">
        <v>33457</v>
      </c>
      <c r="D84" s="6" t="str">
        <f t="shared" si="1"/>
        <v>Seoul</v>
      </c>
      <c r="E84" s="9" t="s">
        <v>1218</v>
      </c>
      <c r="F84" s="9" t="s">
        <v>1233</v>
      </c>
    </row>
    <row r="85" spans="2:6">
      <c r="B85" s="8">
        <v>83</v>
      </c>
      <c r="C85" s="10">
        <v>39074</v>
      </c>
      <c r="D85" s="6" t="str">
        <f t="shared" si="1"/>
        <v>Seoul</v>
      </c>
      <c r="E85" s="9" t="s">
        <v>1218</v>
      </c>
      <c r="F85" s="9" t="s">
        <v>1234</v>
      </c>
    </row>
    <row r="86" spans="2:6">
      <c r="B86" s="8">
        <v>84</v>
      </c>
      <c r="C86" s="10">
        <v>34414</v>
      </c>
      <c r="D86" s="6" t="str">
        <f t="shared" si="1"/>
        <v>Seoul</v>
      </c>
      <c r="E86" s="9" t="s">
        <v>91</v>
      </c>
      <c r="F86" s="9" t="s">
        <v>1235</v>
      </c>
    </row>
    <row r="87" spans="2:6">
      <c r="B87" s="8">
        <v>85</v>
      </c>
      <c r="C87" s="10">
        <v>33454</v>
      </c>
      <c r="D87" s="6" t="str">
        <f t="shared" si="1"/>
        <v>Seoul</v>
      </c>
      <c r="E87" s="9" t="s">
        <v>1218</v>
      </c>
      <c r="F87" s="9" t="s">
        <v>1236</v>
      </c>
    </row>
    <row r="88" spans="2:6">
      <c r="B88" s="8">
        <v>86</v>
      </c>
      <c r="C88" s="10">
        <v>33471</v>
      </c>
      <c r="D88" s="6" t="str">
        <f t="shared" si="1"/>
        <v>Seoul</v>
      </c>
      <c r="E88" s="9" t="s">
        <v>1218</v>
      </c>
      <c r="F88" s="9" t="s">
        <v>1237</v>
      </c>
    </row>
    <row r="89" spans="2:6">
      <c r="B89" s="8">
        <v>87</v>
      </c>
      <c r="C89" s="10">
        <v>34613</v>
      </c>
      <c r="D89" s="6" t="str">
        <f t="shared" si="1"/>
        <v>Seoul</v>
      </c>
      <c r="E89" s="9" t="s">
        <v>1218</v>
      </c>
      <c r="F89" s="9" t="s">
        <v>1238</v>
      </c>
    </row>
    <row r="90" spans="2:6">
      <c r="B90" s="8">
        <v>88</v>
      </c>
      <c r="C90" s="10">
        <v>34420</v>
      </c>
      <c r="D90" s="6" t="str">
        <f t="shared" si="1"/>
        <v>Seoul</v>
      </c>
      <c r="E90" s="9" t="s">
        <v>1218</v>
      </c>
      <c r="F90" s="9" t="s">
        <v>1239</v>
      </c>
    </row>
    <row r="91" spans="2:6">
      <c r="B91" s="8">
        <v>89</v>
      </c>
      <c r="C91" s="10">
        <v>81695</v>
      </c>
      <c r="D91" s="6" t="str">
        <f t="shared" si="1"/>
        <v>Seoul</v>
      </c>
      <c r="E91" s="9" t="s">
        <v>1218</v>
      </c>
      <c r="F91" s="9" t="s">
        <v>1240</v>
      </c>
    </row>
    <row r="92" spans="2:6">
      <c r="B92" s="8">
        <v>90</v>
      </c>
      <c r="C92" s="10">
        <v>36671</v>
      </c>
      <c r="D92" s="6" t="str">
        <f t="shared" si="1"/>
        <v>Seoul</v>
      </c>
      <c r="E92" s="9" t="s">
        <v>1218</v>
      </c>
      <c r="F92" s="9" t="s">
        <v>1241</v>
      </c>
    </row>
    <row r="93" spans="2:6">
      <c r="B93" s="8">
        <v>91</v>
      </c>
      <c r="C93" s="10">
        <v>80323</v>
      </c>
      <c r="D93" s="6" t="str">
        <f t="shared" si="1"/>
        <v>Seoul</v>
      </c>
      <c r="E93" s="9" t="s">
        <v>1218</v>
      </c>
      <c r="F93" s="9" t="s">
        <v>1242</v>
      </c>
    </row>
    <row r="94" spans="2:6">
      <c r="B94" s="8">
        <v>92</v>
      </c>
      <c r="C94" s="10">
        <v>33458</v>
      </c>
      <c r="D94" s="6" t="str">
        <f t="shared" si="1"/>
        <v>Seoul</v>
      </c>
      <c r="E94" s="9" t="s">
        <v>1218</v>
      </c>
      <c r="F94" s="9" t="s">
        <v>577</v>
      </c>
    </row>
    <row r="95" spans="2:6">
      <c r="B95" s="8">
        <v>93</v>
      </c>
      <c r="C95" s="10">
        <v>33329</v>
      </c>
      <c r="D95" s="6" t="str">
        <f t="shared" si="1"/>
        <v>Seoul</v>
      </c>
      <c r="E95" s="9" t="s">
        <v>1218</v>
      </c>
      <c r="F95" s="9" t="s">
        <v>1243</v>
      </c>
    </row>
    <row r="96" spans="2:6">
      <c r="B96" s="8">
        <v>94</v>
      </c>
      <c r="C96" s="10">
        <v>34419</v>
      </c>
      <c r="D96" s="6" t="str">
        <f t="shared" si="1"/>
        <v>Seoul</v>
      </c>
      <c r="E96" s="9" t="s">
        <v>1218</v>
      </c>
      <c r="F96" s="9" t="s">
        <v>1244</v>
      </c>
    </row>
    <row r="97" spans="2:6">
      <c r="B97" s="8">
        <v>95</v>
      </c>
      <c r="C97" s="10">
        <v>33464</v>
      </c>
      <c r="D97" s="6" t="str">
        <f t="shared" si="1"/>
        <v>Seoul</v>
      </c>
      <c r="E97" s="9" t="s">
        <v>1218</v>
      </c>
      <c r="F97" s="9" t="s">
        <v>1245</v>
      </c>
    </row>
    <row r="98" spans="2:6">
      <c r="B98" s="8">
        <v>96</v>
      </c>
      <c r="C98" s="10">
        <v>35282</v>
      </c>
      <c r="D98" s="6" t="str">
        <f t="shared" si="1"/>
        <v>Seoul</v>
      </c>
      <c r="E98" s="9" t="s">
        <v>1218</v>
      </c>
      <c r="F98" s="9" t="s">
        <v>1246</v>
      </c>
    </row>
    <row r="99" spans="2:6">
      <c r="B99" s="8">
        <v>97</v>
      </c>
      <c r="C99" s="10">
        <v>34614</v>
      </c>
      <c r="D99" s="6" t="str">
        <f t="shared" si="1"/>
        <v>Seoul</v>
      </c>
      <c r="E99" s="9" t="s">
        <v>1218</v>
      </c>
      <c r="F99" s="9" t="s">
        <v>1247</v>
      </c>
    </row>
    <row r="100" spans="2:6">
      <c r="B100" s="8">
        <v>98</v>
      </c>
      <c r="C100" s="10">
        <v>36712</v>
      </c>
      <c r="D100" s="6" t="str">
        <f t="shared" si="1"/>
        <v>Seoul</v>
      </c>
      <c r="E100" s="9" t="s">
        <v>1218</v>
      </c>
      <c r="F100" s="9" t="s">
        <v>1248</v>
      </c>
    </row>
    <row r="101" spans="2:6">
      <c r="B101" s="8">
        <v>99</v>
      </c>
      <c r="C101" s="10">
        <v>35920</v>
      </c>
      <c r="D101" s="6" t="str">
        <f t="shared" si="1"/>
        <v>Seoul</v>
      </c>
      <c r="E101" s="9" t="s">
        <v>1218</v>
      </c>
      <c r="F101" s="9" t="s">
        <v>1249</v>
      </c>
    </row>
    <row r="102" spans="2:6">
      <c r="B102" s="8">
        <v>100</v>
      </c>
      <c r="C102" s="10">
        <v>33456</v>
      </c>
      <c r="D102" s="6" t="str">
        <f t="shared" si="1"/>
        <v>Seoul</v>
      </c>
      <c r="E102" s="9" t="s">
        <v>1218</v>
      </c>
      <c r="F102" s="9" t="s">
        <v>1250</v>
      </c>
    </row>
    <row r="103" spans="2:6">
      <c r="B103" s="8">
        <v>101</v>
      </c>
      <c r="C103" s="10">
        <v>33407</v>
      </c>
      <c r="D103" s="6" t="str">
        <f t="shared" si="1"/>
        <v>Seoul</v>
      </c>
      <c r="E103" s="9" t="s">
        <v>1218</v>
      </c>
      <c r="F103" s="9" t="s">
        <v>1251</v>
      </c>
    </row>
    <row r="104" spans="2:6">
      <c r="B104" s="8">
        <v>102</v>
      </c>
      <c r="C104" s="10">
        <v>85831</v>
      </c>
      <c r="D104" s="6" t="str">
        <f t="shared" si="1"/>
        <v>Seoul</v>
      </c>
      <c r="E104" s="9" t="s">
        <v>1218</v>
      </c>
      <c r="F104" s="9" t="s">
        <v>1252</v>
      </c>
    </row>
    <row r="105" spans="2:6">
      <c r="B105" s="8">
        <v>103</v>
      </c>
      <c r="C105" s="10">
        <v>33466</v>
      </c>
      <c r="D105" s="6" t="str">
        <f t="shared" si="1"/>
        <v>Seoul</v>
      </c>
      <c r="E105" s="9" t="s">
        <v>1218</v>
      </c>
      <c r="F105" s="9" t="s">
        <v>1253</v>
      </c>
    </row>
    <row r="106" spans="2:6">
      <c r="B106" s="8">
        <v>104</v>
      </c>
      <c r="C106" s="10">
        <v>33469</v>
      </c>
      <c r="D106" s="6" t="str">
        <f t="shared" si="1"/>
        <v>Seoul</v>
      </c>
      <c r="E106" s="9" t="s">
        <v>1218</v>
      </c>
      <c r="F106" s="9" t="s">
        <v>1254</v>
      </c>
    </row>
    <row r="107" spans="2:6">
      <c r="B107" s="8">
        <v>105</v>
      </c>
      <c r="C107" s="10">
        <v>39093</v>
      </c>
      <c r="D107" s="6" t="str">
        <f t="shared" si="1"/>
        <v>Seoul</v>
      </c>
      <c r="E107" s="9" t="s">
        <v>1218</v>
      </c>
      <c r="F107" s="9" t="s">
        <v>1255</v>
      </c>
    </row>
    <row r="108" spans="2:6">
      <c r="B108" s="8">
        <v>106</v>
      </c>
      <c r="C108" s="10">
        <v>36219</v>
      </c>
      <c r="D108" s="6" t="str">
        <f t="shared" si="1"/>
        <v>Seoul</v>
      </c>
      <c r="E108" s="9" t="s">
        <v>1218</v>
      </c>
      <c r="F108" s="9" t="s">
        <v>1256</v>
      </c>
    </row>
    <row r="109" spans="2:6">
      <c r="B109" s="8">
        <v>107</v>
      </c>
      <c r="C109" s="10">
        <v>34612</v>
      </c>
      <c r="D109" s="6" t="str">
        <f t="shared" si="1"/>
        <v>Seoul</v>
      </c>
      <c r="E109" s="9" t="s">
        <v>1218</v>
      </c>
      <c r="F109" s="9" t="s">
        <v>1257</v>
      </c>
    </row>
    <row r="110" spans="2:6">
      <c r="B110" s="8">
        <v>108</v>
      </c>
      <c r="C110" s="10">
        <v>33400</v>
      </c>
      <c r="D110" s="6" t="str">
        <f t="shared" si="1"/>
        <v>Seoul</v>
      </c>
      <c r="E110" s="9" t="s">
        <v>1218</v>
      </c>
      <c r="F110" s="9" t="s">
        <v>1258</v>
      </c>
    </row>
    <row r="111" spans="2:6">
      <c r="B111" s="8">
        <v>109</v>
      </c>
      <c r="C111" s="10">
        <v>33473</v>
      </c>
      <c r="D111" s="6" t="str">
        <f t="shared" si="1"/>
        <v>Seoul</v>
      </c>
      <c r="E111" s="9" t="s">
        <v>1218</v>
      </c>
      <c r="F111" s="9" t="s">
        <v>1259</v>
      </c>
    </row>
    <row r="112" spans="2:6">
      <c r="B112" s="8">
        <v>110</v>
      </c>
      <c r="C112" s="10">
        <v>33385</v>
      </c>
      <c r="D112" s="6" t="str">
        <f t="shared" si="1"/>
        <v>Seoul</v>
      </c>
      <c r="E112" s="9" t="s">
        <v>432</v>
      </c>
      <c r="F112" s="9" t="s">
        <v>1260</v>
      </c>
    </row>
    <row r="113" spans="2:6">
      <c r="B113" s="8">
        <v>111</v>
      </c>
      <c r="C113" s="10">
        <v>33087</v>
      </c>
      <c r="D113" s="6" t="str">
        <f t="shared" si="1"/>
        <v>Seoul</v>
      </c>
      <c r="E113" s="9" t="s">
        <v>91</v>
      </c>
      <c r="F113" s="9" t="s">
        <v>1261</v>
      </c>
    </row>
    <row r="114" spans="2:6">
      <c r="B114" s="8">
        <v>112</v>
      </c>
      <c r="C114" s="10">
        <v>33404</v>
      </c>
      <c r="D114" s="6" t="str">
        <f t="shared" si="1"/>
        <v>Seoul</v>
      </c>
      <c r="E114" s="9" t="s">
        <v>432</v>
      </c>
      <c r="F114" s="9" t="s">
        <v>1262</v>
      </c>
    </row>
    <row r="115" spans="2:6">
      <c r="B115" s="8">
        <v>113</v>
      </c>
      <c r="C115" s="10">
        <v>33267</v>
      </c>
      <c r="D115" s="6" t="str">
        <f t="shared" si="1"/>
        <v>Seoul</v>
      </c>
      <c r="E115" s="9" t="s">
        <v>259</v>
      </c>
      <c r="F115" s="9" t="s">
        <v>1263</v>
      </c>
    </row>
    <row r="116" spans="2:6">
      <c r="B116" s="8">
        <v>114</v>
      </c>
      <c r="C116" s="10">
        <v>33190</v>
      </c>
      <c r="D116" s="6" t="str">
        <f t="shared" si="1"/>
        <v>Seoul</v>
      </c>
      <c r="E116" s="9" t="s">
        <v>109</v>
      </c>
      <c r="F116" s="9" t="s">
        <v>616</v>
      </c>
    </row>
    <row r="117" spans="2:6">
      <c r="B117" s="8">
        <v>115</v>
      </c>
      <c r="C117" s="10">
        <v>33192</v>
      </c>
      <c r="D117" s="6" t="str">
        <f t="shared" si="1"/>
        <v>Seoul</v>
      </c>
      <c r="E117" s="9" t="s">
        <v>109</v>
      </c>
      <c r="F117" s="9" t="s">
        <v>661</v>
      </c>
    </row>
    <row r="118" spans="2:6">
      <c r="B118" s="8">
        <v>116</v>
      </c>
      <c r="C118" s="10">
        <v>33112</v>
      </c>
      <c r="D118" s="6" t="str">
        <f t="shared" si="1"/>
        <v>Seoul</v>
      </c>
      <c r="E118" s="9" t="s">
        <v>109</v>
      </c>
      <c r="F118" s="9" t="s">
        <v>559</v>
      </c>
    </row>
    <row r="119" spans="2:6">
      <c r="B119" s="8">
        <v>117</v>
      </c>
      <c r="C119" s="10">
        <v>33136</v>
      </c>
      <c r="D119" s="6" t="str">
        <f t="shared" si="1"/>
        <v>Seoul</v>
      </c>
      <c r="E119" s="9" t="s">
        <v>109</v>
      </c>
      <c r="F119" s="9" t="s">
        <v>1264</v>
      </c>
    </row>
    <row r="120" spans="2:6">
      <c r="B120" s="8">
        <v>118</v>
      </c>
      <c r="C120" s="10">
        <v>33225</v>
      </c>
      <c r="D120" s="6" t="str">
        <f t="shared" si="1"/>
        <v>Seoul</v>
      </c>
      <c r="E120" s="9" t="s">
        <v>109</v>
      </c>
      <c r="F120" s="9" t="s">
        <v>1265</v>
      </c>
    </row>
    <row r="121" spans="2:6">
      <c r="B121" s="8">
        <v>119</v>
      </c>
      <c r="C121" s="10">
        <v>33110</v>
      </c>
      <c r="D121" s="6" t="str">
        <f t="shared" si="1"/>
        <v>Seoul</v>
      </c>
      <c r="E121" s="9" t="s">
        <v>91</v>
      </c>
      <c r="F121" s="9" t="s">
        <v>1266</v>
      </c>
    </row>
    <row r="122" spans="2:6">
      <c r="B122" s="8">
        <v>120</v>
      </c>
      <c r="C122" s="10">
        <v>33149</v>
      </c>
      <c r="D122" s="6" t="str">
        <f t="shared" si="1"/>
        <v>Seoul</v>
      </c>
      <c r="E122" s="9" t="s">
        <v>91</v>
      </c>
      <c r="F122" s="9" t="s">
        <v>498</v>
      </c>
    </row>
    <row r="123" spans="2:6">
      <c r="B123" s="8">
        <v>121</v>
      </c>
      <c r="C123" s="10">
        <v>33191</v>
      </c>
      <c r="D123" s="6" t="str">
        <f t="shared" si="1"/>
        <v>Seoul</v>
      </c>
      <c r="E123" s="9" t="s">
        <v>91</v>
      </c>
      <c r="F123" s="9" t="s">
        <v>1267</v>
      </c>
    </row>
    <row r="124" spans="2:6">
      <c r="B124" s="8">
        <v>122</v>
      </c>
      <c r="C124" s="10">
        <v>33148</v>
      </c>
      <c r="D124" s="6" t="str">
        <f t="shared" si="1"/>
        <v>Seoul</v>
      </c>
      <c r="E124" s="9" t="s">
        <v>91</v>
      </c>
      <c r="F124" s="9" t="s">
        <v>1268</v>
      </c>
    </row>
    <row r="125" spans="2:6">
      <c r="B125" s="8">
        <v>123</v>
      </c>
      <c r="C125" s="10">
        <v>33247</v>
      </c>
      <c r="D125" s="6" t="str">
        <f t="shared" si="1"/>
        <v>Seoul</v>
      </c>
      <c r="E125" s="9" t="s">
        <v>91</v>
      </c>
      <c r="F125" s="9" t="s">
        <v>1269</v>
      </c>
    </row>
    <row r="126" spans="2:6">
      <c r="B126" s="8">
        <v>124</v>
      </c>
      <c r="C126" s="10">
        <v>35509</v>
      </c>
      <c r="D126" s="6" t="str">
        <f t="shared" si="1"/>
        <v>Seoul</v>
      </c>
      <c r="E126" s="9" t="s">
        <v>91</v>
      </c>
      <c r="F126" s="9" t="s">
        <v>1270</v>
      </c>
    </row>
    <row r="127" spans="2:6">
      <c r="B127" s="8">
        <v>125</v>
      </c>
      <c r="C127" s="10">
        <v>33405</v>
      </c>
      <c r="D127" s="6" t="str">
        <f t="shared" si="1"/>
        <v>Seoul</v>
      </c>
      <c r="E127" s="9" t="s">
        <v>91</v>
      </c>
      <c r="F127" s="9" t="s">
        <v>1271</v>
      </c>
    </row>
    <row r="128" spans="2:6">
      <c r="B128" s="8">
        <v>126</v>
      </c>
      <c r="C128" s="10">
        <v>35483</v>
      </c>
      <c r="D128" s="6" t="str">
        <f t="shared" si="1"/>
        <v>Seoul</v>
      </c>
      <c r="E128" s="9" t="s">
        <v>91</v>
      </c>
      <c r="F128" s="9" t="s">
        <v>633</v>
      </c>
    </row>
    <row r="129" spans="2:6">
      <c r="B129" s="8">
        <v>127</v>
      </c>
      <c r="C129" s="10">
        <v>33223</v>
      </c>
      <c r="D129" s="6" t="str">
        <f t="shared" si="1"/>
        <v>Seoul</v>
      </c>
      <c r="E129" s="9" t="s">
        <v>91</v>
      </c>
      <c r="F129" s="9" t="s">
        <v>682</v>
      </c>
    </row>
    <row r="130" spans="2:6">
      <c r="B130" s="8">
        <v>128</v>
      </c>
      <c r="C130" s="10">
        <v>33196</v>
      </c>
      <c r="D130" s="6" t="str">
        <f t="shared" si="1"/>
        <v>Seoul</v>
      </c>
      <c r="E130" s="9" t="s">
        <v>993</v>
      </c>
      <c r="F130" s="9" t="s">
        <v>1272</v>
      </c>
    </row>
    <row r="131" spans="2:6">
      <c r="B131" s="8">
        <v>129</v>
      </c>
      <c r="C131" s="10">
        <v>80742</v>
      </c>
      <c r="D131" s="6" t="str">
        <f t="shared" si="1"/>
        <v>Seoul</v>
      </c>
      <c r="E131" s="9" t="s">
        <v>993</v>
      </c>
      <c r="F131" s="9" t="s">
        <v>1273</v>
      </c>
    </row>
    <row r="132" spans="2:6">
      <c r="B132" s="8">
        <v>130</v>
      </c>
      <c r="C132" s="10">
        <v>33152</v>
      </c>
      <c r="D132" s="6" t="str">
        <f t="shared" ref="D132:D195" si="2">IFERROR(VLOOKUP(E132,$H$3:$J$16,2,0),"")</f>
        <v>Seoul</v>
      </c>
      <c r="E132" s="9" t="s">
        <v>91</v>
      </c>
      <c r="F132" s="9" t="s">
        <v>1274</v>
      </c>
    </row>
    <row r="133" spans="2:6">
      <c r="B133" s="8">
        <v>131</v>
      </c>
      <c r="C133" s="10">
        <v>33375</v>
      </c>
      <c r="D133" s="6" t="str">
        <f t="shared" si="2"/>
        <v>Seoul</v>
      </c>
      <c r="E133" s="9" t="s">
        <v>91</v>
      </c>
      <c r="F133" s="9" t="s">
        <v>546</v>
      </c>
    </row>
    <row r="134" spans="2:6">
      <c r="B134" s="8">
        <v>132</v>
      </c>
      <c r="C134" s="10">
        <v>33061</v>
      </c>
      <c r="D134" s="6" t="str">
        <f t="shared" si="2"/>
        <v>Seoul</v>
      </c>
      <c r="E134" s="9" t="s">
        <v>993</v>
      </c>
      <c r="F134" s="9" t="s">
        <v>505</v>
      </c>
    </row>
    <row r="135" spans="2:6">
      <c r="B135" s="8">
        <v>133</v>
      </c>
      <c r="C135" s="10">
        <v>33416</v>
      </c>
      <c r="D135" s="6" t="str">
        <f t="shared" si="2"/>
        <v>Seoul</v>
      </c>
      <c r="E135" s="9" t="s">
        <v>91</v>
      </c>
      <c r="F135" s="9" t="s">
        <v>1275</v>
      </c>
    </row>
    <row r="136" spans="2:6">
      <c r="B136" s="8">
        <v>134</v>
      </c>
      <c r="C136" s="10">
        <v>33261</v>
      </c>
      <c r="D136" s="6" t="str">
        <f t="shared" si="2"/>
        <v>Seoul</v>
      </c>
      <c r="E136" s="9" t="s">
        <v>91</v>
      </c>
      <c r="F136" s="9" t="s">
        <v>1276</v>
      </c>
    </row>
    <row r="137" spans="2:6">
      <c r="B137" s="8">
        <v>135</v>
      </c>
      <c r="C137" s="10">
        <v>33264</v>
      </c>
      <c r="D137" s="6" t="str">
        <f t="shared" si="2"/>
        <v>Seoul</v>
      </c>
      <c r="E137" s="9" t="s">
        <v>91</v>
      </c>
      <c r="F137" s="9" t="s">
        <v>1277</v>
      </c>
    </row>
    <row r="138" spans="2:6">
      <c r="B138" s="8">
        <v>136</v>
      </c>
      <c r="C138" s="10">
        <v>33266</v>
      </c>
      <c r="D138" s="6" t="str">
        <f t="shared" si="2"/>
        <v>Seoul</v>
      </c>
      <c r="E138" s="9" t="s">
        <v>91</v>
      </c>
      <c r="F138" s="9" t="s">
        <v>1278</v>
      </c>
    </row>
    <row r="139" spans="2:6">
      <c r="B139" s="8">
        <v>137</v>
      </c>
      <c r="C139" s="10">
        <v>33262</v>
      </c>
      <c r="D139" s="6" t="str">
        <f t="shared" si="2"/>
        <v>Seoul</v>
      </c>
      <c r="E139" s="9" t="s">
        <v>91</v>
      </c>
      <c r="F139" s="9" t="s">
        <v>1279</v>
      </c>
    </row>
    <row r="140" spans="2:6">
      <c r="B140" s="8">
        <v>138</v>
      </c>
      <c r="C140" s="10">
        <v>33197</v>
      </c>
      <c r="D140" s="6" t="str">
        <f t="shared" si="2"/>
        <v>Seoul</v>
      </c>
      <c r="E140" s="9" t="s">
        <v>91</v>
      </c>
      <c r="F140" s="9" t="s">
        <v>1280</v>
      </c>
    </row>
    <row r="141" spans="2:6">
      <c r="B141" s="8">
        <v>139</v>
      </c>
      <c r="C141" s="10">
        <v>33376</v>
      </c>
      <c r="D141" s="6" t="str">
        <f t="shared" si="2"/>
        <v>Seoul</v>
      </c>
      <c r="E141" s="9" t="s">
        <v>91</v>
      </c>
      <c r="F141" s="9" t="s">
        <v>638</v>
      </c>
    </row>
    <row r="142" spans="2:6">
      <c r="B142" s="8">
        <v>140</v>
      </c>
      <c r="C142" s="10">
        <v>33401</v>
      </c>
      <c r="D142" s="6" t="str">
        <f t="shared" si="2"/>
        <v>Seoul</v>
      </c>
      <c r="E142" s="9" t="s">
        <v>91</v>
      </c>
      <c r="F142" s="9" t="s">
        <v>1281</v>
      </c>
    </row>
    <row r="143" spans="2:6">
      <c r="B143" s="8">
        <v>141</v>
      </c>
      <c r="C143" s="10">
        <v>33120</v>
      </c>
      <c r="D143" s="6" t="str">
        <f t="shared" si="2"/>
        <v>Seoul</v>
      </c>
      <c r="E143" s="9" t="s">
        <v>91</v>
      </c>
      <c r="F143" s="9" t="s">
        <v>1282</v>
      </c>
    </row>
    <row r="144" spans="2:6">
      <c r="B144" s="8">
        <v>142</v>
      </c>
      <c r="C144" s="10">
        <v>34607</v>
      </c>
      <c r="D144" s="6" t="str">
        <f t="shared" si="2"/>
        <v>Seoul</v>
      </c>
      <c r="E144" s="9" t="s">
        <v>91</v>
      </c>
      <c r="F144" s="9" t="s">
        <v>1283</v>
      </c>
    </row>
    <row r="145" spans="2:6">
      <c r="B145" s="8">
        <v>143</v>
      </c>
      <c r="C145" s="10">
        <v>37609</v>
      </c>
      <c r="D145" s="6" t="str">
        <f t="shared" si="2"/>
        <v>Seoul</v>
      </c>
      <c r="E145" s="9" t="s">
        <v>552</v>
      </c>
      <c r="F145" s="9" t="s">
        <v>1284</v>
      </c>
    </row>
    <row r="146" spans="2:6">
      <c r="B146" s="8">
        <v>144</v>
      </c>
      <c r="C146" s="10">
        <v>39221</v>
      </c>
      <c r="D146" s="6" t="str">
        <f t="shared" si="2"/>
        <v>Seoul</v>
      </c>
      <c r="E146" s="9" t="s">
        <v>91</v>
      </c>
      <c r="F146" s="9" t="s">
        <v>1285</v>
      </c>
    </row>
    <row r="147" spans="2:6">
      <c r="B147" s="8">
        <v>145</v>
      </c>
      <c r="C147" s="10">
        <v>33153</v>
      </c>
      <c r="D147" s="6" t="str">
        <f t="shared" si="2"/>
        <v>Seoul</v>
      </c>
      <c r="E147" s="9" t="s">
        <v>993</v>
      </c>
      <c r="F147" s="9" t="s">
        <v>1286</v>
      </c>
    </row>
    <row r="148" spans="2:6">
      <c r="B148" s="8">
        <v>146</v>
      </c>
      <c r="C148" s="10">
        <v>33159</v>
      </c>
      <c r="D148" s="6" t="str">
        <f t="shared" si="2"/>
        <v>Seoul</v>
      </c>
      <c r="E148" s="9" t="s">
        <v>993</v>
      </c>
      <c r="F148" s="9" t="s">
        <v>491</v>
      </c>
    </row>
    <row r="149" spans="2:6">
      <c r="B149" s="8">
        <v>147</v>
      </c>
      <c r="C149" s="10">
        <v>33052</v>
      </c>
      <c r="D149" s="6" t="str">
        <f t="shared" si="2"/>
        <v>Seoul</v>
      </c>
      <c r="E149" s="9" t="s">
        <v>993</v>
      </c>
      <c r="F149" s="9" t="s">
        <v>1287</v>
      </c>
    </row>
    <row r="150" spans="2:6">
      <c r="B150" s="8">
        <v>148</v>
      </c>
      <c r="C150" s="10">
        <v>33207</v>
      </c>
      <c r="D150" s="6" t="str">
        <f t="shared" si="2"/>
        <v>Seoul</v>
      </c>
      <c r="E150" s="9" t="s">
        <v>993</v>
      </c>
      <c r="F150" s="9" t="s">
        <v>1288</v>
      </c>
    </row>
    <row r="151" spans="2:6">
      <c r="B151" s="8">
        <v>149</v>
      </c>
      <c r="C151" s="10">
        <v>33248</v>
      </c>
      <c r="D151" s="6" t="str">
        <f t="shared" si="2"/>
        <v>Seoul</v>
      </c>
      <c r="E151" s="9" t="s">
        <v>91</v>
      </c>
      <c r="F151" s="9" t="s">
        <v>484</v>
      </c>
    </row>
    <row r="152" spans="2:6">
      <c r="B152" s="8">
        <v>150</v>
      </c>
      <c r="C152" s="10">
        <v>33156</v>
      </c>
      <c r="D152" s="6" t="str">
        <f t="shared" si="2"/>
        <v>Seoul</v>
      </c>
      <c r="E152" s="9" t="s">
        <v>993</v>
      </c>
      <c r="F152" s="9" t="s">
        <v>1289</v>
      </c>
    </row>
    <row r="153" spans="2:6">
      <c r="B153" s="8">
        <v>151</v>
      </c>
      <c r="C153" s="10">
        <v>33055</v>
      </c>
      <c r="D153" s="6" t="str">
        <f t="shared" si="2"/>
        <v>Seoul</v>
      </c>
      <c r="E153" s="9" t="s">
        <v>993</v>
      </c>
      <c r="F153" s="9" t="s">
        <v>1290</v>
      </c>
    </row>
    <row r="154" spans="2:6">
      <c r="B154" s="8">
        <v>152</v>
      </c>
      <c r="C154" s="10">
        <v>35804</v>
      </c>
      <c r="D154" s="6" t="str">
        <f t="shared" si="2"/>
        <v>Seoul</v>
      </c>
      <c r="E154" s="9" t="s">
        <v>993</v>
      </c>
      <c r="F154" s="9" t="s">
        <v>1291</v>
      </c>
    </row>
    <row r="155" spans="2:6">
      <c r="B155" s="8">
        <v>153</v>
      </c>
      <c r="C155" s="10">
        <v>33199</v>
      </c>
      <c r="D155" s="6" t="str">
        <f t="shared" si="2"/>
        <v>Seoul</v>
      </c>
      <c r="E155" s="9" t="s">
        <v>993</v>
      </c>
      <c r="F155" s="9" t="s">
        <v>1292</v>
      </c>
    </row>
    <row r="156" spans="2:6">
      <c r="B156" s="8">
        <v>154</v>
      </c>
      <c r="C156" s="10">
        <v>33265</v>
      </c>
      <c r="D156" s="6" t="str">
        <f t="shared" si="2"/>
        <v>Seoul</v>
      </c>
      <c r="E156" s="9" t="s">
        <v>91</v>
      </c>
      <c r="F156" s="9" t="s">
        <v>1293</v>
      </c>
    </row>
    <row r="157" spans="2:6">
      <c r="B157" s="8">
        <v>155</v>
      </c>
      <c r="C157" s="10">
        <v>34841</v>
      </c>
      <c r="D157" s="6" t="str">
        <f t="shared" si="2"/>
        <v>Seoul</v>
      </c>
      <c r="E157" s="9" t="s">
        <v>91</v>
      </c>
      <c r="F157" s="9" t="s">
        <v>588</v>
      </c>
    </row>
    <row r="158" spans="2:6">
      <c r="B158" s="8">
        <v>156</v>
      </c>
      <c r="C158" s="10">
        <v>34413</v>
      </c>
      <c r="D158" s="6" t="str">
        <f t="shared" si="2"/>
        <v>Seoul</v>
      </c>
      <c r="E158" s="9" t="s">
        <v>91</v>
      </c>
      <c r="F158" s="9" t="s">
        <v>1294</v>
      </c>
    </row>
    <row r="159" spans="2:6">
      <c r="B159" s="8">
        <v>157</v>
      </c>
      <c r="C159" s="10">
        <v>37682</v>
      </c>
      <c r="D159" s="6" t="str">
        <f t="shared" si="2"/>
        <v>Seoul</v>
      </c>
      <c r="E159" s="9" t="s">
        <v>91</v>
      </c>
      <c r="F159" s="9" t="s">
        <v>1295</v>
      </c>
    </row>
    <row r="160" spans="2:6">
      <c r="B160" s="8">
        <v>158</v>
      </c>
      <c r="C160" s="10">
        <v>33278</v>
      </c>
      <c r="D160" s="6" t="str">
        <f t="shared" si="2"/>
        <v>Seoul</v>
      </c>
      <c r="E160" s="9" t="s">
        <v>432</v>
      </c>
      <c r="F160" s="9" t="s">
        <v>700</v>
      </c>
    </row>
    <row r="161" spans="2:6">
      <c r="B161" s="8">
        <v>159</v>
      </c>
      <c r="C161" s="10">
        <v>33171</v>
      </c>
      <c r="D161" s="6" t="str">
        <f t="shared" si="2"/>
        <v>Seoul</v>
      </c>
      <c r="E161" s="9" t="s">
        <v>432</v>
      </c>
      <c r="F161" s="9" t="s">
        <v>1296</v>
      </c>
    </row>
    <row r="162" spans="2:6">
      <c r="B162" s="8">
        <v>160</v>
      </c>
      <c r="C162" s="10">
        <v>33300</v>
      </c>
      <c r="D162" s="6" t="str">
        <f t="shared" si="2"/>
        <v>Seoul</v>
      </c>
      <c r="E162" s="9" t="s">
        <v>432</v>
      </c>
      <c r="F162" s="9" t="s">
        <v>1297</v>
      </c>
    </row>
    <row r="163" spans="2:6">
      <c r="B163" s="8">
        <v>161</v>
      </c>
      <c r="C163" s="10">
        <v>33290</v>
      </c>
      <c r="D163" s="6" t="str">
        <f t="shared" si="2"/>
        <v>Seoul</v>
      </c>
      <c r="E163" s="9" t="s">
        <v>432</v>
      </c>
      <c r="F163" s="9" t="s">
        <v>733</v>
      </c>
    </row>
    <row r="164" spans="2:6">
      <c r="B164" s="8">
        <v>162</v>
      </c>
      <c r="C164" s="10">
        <v>81891</v>
      </c>
      <c r="D164" s="6" t="str">
        <f t="shared" si="2"/>
        <v>Seoul</v>
      </c>
      <c r="E164" s="9" t="s">
        <v>432</v>
      </c>
      <c r="F164" s="9" t="s">
        <v>442</v>
      </c>
    </row>
    <row r="165" spans="2:6">
      <c r="B165" s="8">
        <v>163</v>
      </c>
      <c r="C165" s="10">
        <v>81874</v>
      </c>
      <c r="D165" s="6" t="str">
        <f t="shared" si="2"/>
        <v>Seoul</v>
      </c>
      <c r="E165" s="9" t="s">
        <v>432</v>
      </c>
      <c r="F165" s="9" t="s">
        <v>433</v>
      </c>
    </row>
    <row r="166" spans="2:6">
      <c r="B166" s="8">
        <v>164</v>
      </c>
      <c r="C166" s="10">
        <v>81877</v>
      </c>
      <c r="D166" s="6" t="str">
        <f t="shared" si="2"/>
        <v>Seoul</v>
      </c>
      <c r="E166" s="9" t="s">
        <v>432</v>
      </c>
      <c r="F166" s="9" t="s">
        <v>436</v>
      </c>
    </row>
    <row r="167" spans="2:6">
      <c r="B167" s="8">
        <v>165</v>
      </c>
      <c r="C167" s="10">
        <v>33298</v>
      </c>
      <c r="D167" s="6" t="str">
        <f t="shared" si="2"/>
        <v>Seoul</v>
      </c>
      <c r="E167" s="9" t="s">
        <v>432</v>
      </c>
      <c r="F167" s="9" t="s">
        <v>1298</v>
      </c>
    </row>
    <row r="168" spans="2:6">
      <c r="B168" s="8">
        <v>166</v>
      </c>
      <c r="C168" s="10">
        <v>85943</v>
      </c>
      <c r="D168" s="6" t="str">
        <f t="shared" si="2"/>
        <v>Seoul</v>
      </c>
      <c r="E168" s="9" t="s">
        <v>432</v>
      </c>
      <c r="F168" s="9" t="s">
        <v>1299</v>
      </c>
    </row>
    <row r="169" spans="2:6">
      <c r="B169" s="8">
        <v>167</v>
      </c>
      <c r="C169" s="10">
        <v>85722</v>
      </c>
      <c r="D169" s="6" t="str">
        <f t="shared" si="2"/>
        <v>Seoul</v>
      </c>
      <c r="E169" s="9" t="s">
        <v>432</v>
      </c>
      <c r="F169" s="9" t="s">
        <v>1300</v>
      </c>
    </row>
    <row r="170" spans="2:6">
      <c r="B170" s="8">
        <v>168</v>
      </c>
      <c r="C170" s="10">
        <v>84196</v>
      </c>
      <c r="D170" s="6" t="str">
        <f t="shared" si="2"/>
        <v>Seoul</v>
      </c>
      <c r="E170" s="9" t="s">
        <v>432</v>
      </c>
      <c r="F170" s="9" t="s">
        <v>1301</v>
      </c>
    </row>
    <row r="171" spans="2:6">
      <c r="B171" s="8">
        <v>169</v>
      </c>
      <c r="C171" s="10">
        <v>33292</v>
      </c>
      <c r="D171" s="6" t="str">
        <f t="shared" si="2"/>
        <v>Seoul</v>
      </c>
      <c r="E171" s="9" t="s">
        <v>432</v>
      </c>
      <c r="F171" s="9" t="s">
        <v>1302</v>
      </c>
    </row>
    <row r="172" spans="2:6">
      <c r="B172" s="8">
        <v>170</v>
      </c>
      <c r="C172" s="10">
        <v>83763</v>
      </c>
      <c r="D172" s="6" t="str">
        <f t="shared" si="2"/>
        <v>Seoul</v>
      </c>
      <c r="E172" s="9" t="s">
        <v>432</v>
      </c>
      <c r="F172" s="9" t="s">
        <v>439</v>
      </c>
    </row>
    <row r="173" spans="2:6">
      <c r="B173" s="8">
        <v>171</v>
      </c>
      <c r="C173" s="10">
        <v>81873</v>
      </c>
      <c r="D173" s="6" t="str">
        <f t="shared" si="2"/>
        <v>Seoul</v>
      </c>
      <c r="E173" s="9" t="s">
        <v>993</v>
      </c>
      <c r="F173" s="9" t="s">
        <v>697</v>
      </c>
    </row>
    <row r="174" spans="2:6">
      <c r="B174" s="8">
        <v>172</v>
      </c>
      <c r="C174" s="10">
        <v>33295</v>
      </c>
      <c r="D174" s="6" t="str">
        <f t="shared" si="2"/>
        <v>Seoul</v>
      </c>
      <c r="E174" s="9" t="s">
        <v>432</v>
      </c>
      <c r="F174" s="9" t="s">
        <v>1303</v>
      </c>
    </row>
    <row r="175" spans="2:6">
      <c r="B175" s="8">
        <v>173</v>
      </c>
      <c r="C175" s="10">
        <v>33297</v>
      </c>
      <c r="D175" s="6" t="str">
        <f t="shared" si="2"/>
        <v>Seoul</v>
      </c>
      <c r="E175" s="9" t="s">
        <v>432</v>
      </c>
      <c r="F175" s="9" t="s">
        <v>1304</v>
      </c>
    </row>
    <row r="176" spans="2:6">
      <c r="B176" s="8">
        <v>174</v>
      </c>
      <c r="C176" s="10">
        <v>33299</v>
      </c>
      <c r="D176" s="6" t="str">
        <f t="shared" si="2"/>
        <v>Seoul</v>
      </c>
      <c r="E176" s="9" t="s">
        <v>432</v>
      </c>
      <c r="F176" s="9" t="s">
        <v>1305</v>
      </c>
    </row>
    <row r="177" spans="2:6">
      <c r="B177" s="8">
        <v>175</v>
      </c>
      <c r="C177" s="10">
        <v>33288</v>
      </c>
      <c r="D177" s="6" t="str">
        <f t="shared" si="2"/>
        <v>Seoul</v>
      </c>
      <c r="E177" s="9" t="s">
        <v>432</v>
      </c>
      <c r="F177" s="9" t="s">
        <v>1306</v>
      </c>
    </row>
    <row r="178" spans="2:6">
      <c r="B178" s="8">
        <v>176</v>
      </c>
      <c r="C178" s="10">
        <v>33294</v>
      </c>
      <c r="D178" s="6" t="str">
        <f t="shared" si="2"/>
        <v>Seoul</v>
      </c>
      <c r="E178" s="9" t="s">
        <v>432</v>
      </c>
      <c r="F178" s="9" t="s">
        <v>1307</v>
      </c>
    </row>
    <row r="179" spans="2:6">
      <c r="B179" s="8">
        <v>177</v>
      </c>
      <c r="C179" s="10">
        <v>33293</v>
      </c>
      <c r="D179" s="6" t="str">
        <f t="shared" si="2"/>
        <v>Seoul</v>
      </c>
      <c r="E179" s="9" t="s">
        <v>432</v>
      </c>
      <c r="F179" s="9" t="s">
        <v>1308</v>
      </c>
    </row>
    <row r="180" spans="2:6">
      <c r="B180" s="8">
        <v>178</v>
      </c>
      <c r="C180" s="10">
        <v>36630</v>
      </c>
      <c r="D180" s="6" t="str">
        <f t="shared" si="2"/>
        <v>Seoul</v>
      </c>
      <c r="E180" s="9" t="s">
        <v>432</v>
      </c>
      <c r="F180" s="9" t="s">
        <v>1309</v>
      </c>
    </row>
    <row r="181" spans="2:6">
      <c r="B181" s="8">
        <v>179</v>
      </c>
      <c r="C181" s="10">
        <v>33301</v>
      </c>
      <c r="D181" s="6" t="str">
        <f t="shared" si="2"/>
        <v>Seoul</v>
      </c>
      <c r="E181" s="9" t="s">
        <v>432</v>
      </c>
      <c r="F181" s="9" t="s">
        <v>1310</v>
      </c>
    </row>
    <row r="182" spans="2:6">
      <c r="B182" s="8">
        <v>180</v>
      </c>
      <c r="C182" s="10">
        <v>33291</v>
      </c>
      <c r="D182" s="6" t="str">
        <f t="shared" si="2"/>
        <v>Seoul</v>
      </c>
      <c r="E182" s="9" t="s">
        <v>432</v>
      </c>
      <c r="F182" s="9" t="s">
        <v>1311</v>
      </c>
    </row>
    <row r="183" spans="2:6">
      <c r="B183" s="8">
        <v>181</v>
      </c>
      <c r="C183" s="10">
        <v>33287</v>
      </c>
      <c r="D183" s="6" t="str">
        <f t="shared" si="2"/>
        <v>Seoul</v>
      </c>
      <c r="E183" s="9" t="s">
        <v>432</v>
      </c>
      <c r="F183" s="9" t="s">
        <v>1312</v>
      </c>
    </row>
    <row r="184" spans="2:6">
      <c r="B184" s="8">
        <v>182</v>
      </c>
      <c r="C184" s="10">
        <v>33302</v>
      </c>
      <c r="D184" s="6" t="str">
        <f t="shared" si="2"/>
        <v>Seoul</v>
      </c>
      <c r="E184" s="9" t="s">
        <v>432</v>
      </c>
      <c r="F184" s="9" t="s">
        <v>1313</v>
      </c>
    </row>
    <row r="185" spans="2:6">
      <c r="B185" s="8">
        <v>183</v>
      </c>
      <c r="C185" s="10">
        <v>33206</v>
      </c>
      <c r="D185" s="6" t="str">
        <f t="shared" si="2"/>
        <v>Seoul</v>
      </c>
      <c r="E185" s="9" t="s">
        <v>432</v>
      </c>
      <c r="F185" s="9" t="s">
        <v>1314</v>
      </c>
    </row>
    <row r="186" spans="2:6">
      <c r="B186" s="8">
        <v>184</v>
      </c>
      <c r="C186" s="10">
        <v>80453</v>
      </c>
      <c r="D186" s="6" t="str">
        <f t="shared" si="2"/>
        <v>Seoul</v>
      </c>
      <c r="E186" s="9" t="s">
        <v>432</v>
      </c>
      <c r="F186" s="9" t="s">
        <v>1315</v>
      </c>
    </row>
    <row r="187" spans="2:6">
      <c r="B187" s="8">
        <v>185</v>
      </c>
      <c r="C187" s="10">
        <v>86261</v>
      </c>
      <c r="D187" s="6" t="str">
        <f t="shared" si="2"/>
        <v>Seoul</v>
      </c>
      <c r="E187" s="9" t="s">
        <v>432</v>
      </c>
      <c r="F187" s="9" t="s">
        <v>1316</v>
      </c>
    </row>
    <row r="188" spans="2:6">
      <c r="B188" s="8">
        <v>186</v>
      </c>
      <c r="C188" s="10">
        <v>33406</v>
      </c>
      <c r="D188" s="6" t="str">
        <f t="shared" si="2"/>
        <v>Seoul</v>
      </c>
      <c r="E188" s="9" t="s">
        <v>91</v>
      </c>
      <c r="F188" s="9" t="s">
        <v>1046</v>
      </c>
    </row>
    <row r="189" spans="2:6">
      <c r="B189" s="8">
        <v>187</v>
      </c>
      <c r="C189" s="10">
        <v>33322</v>
      </c>
      <c r="D189" s="6" t="str">
        <f t="shared" si="2"/>
        <v>Seoul</v>
      </c>
      <c r="E189" s="9" t="s">
        <v>91</v>
      </c>
      <c r="F189" s="9" t="s">
        <v>1055</v>
      </c>
    </row>
    <row r="190" spans="2:6">
      <c r="B190" s="8">
        <v>188</v>
      </c>
      <c r="C190" s="10">
        <v>86023</v>
      </c>
      <c r="D190" s="6" t="str">
        <f t="shared" si="2"/>
        <v>Seoul</v>
      </c>
      <c r="E190" s="9" t="s">
        <v>91</v>
      </c>
      <c r="F190" s="9" t="s">
        <v>1317</v>
      </c>
    </row>
    <row r="191" spans="2:6">
      <c r="B191" s="8">
        <v>189</v>
      </c>
      <c r="C191" s="10">
        <v>35801</v>
      </c>
      <c r="D191" s="6" t="str">
        <f t="shared" si="2"/>
        <v>Seoul</v>
      </c>
      <c r="E191" s="9" t="s">
        <v>91</v>
      </c>
      <c r="F191" s="9" t="s">
        <v>1318</v>
      </c>
    </row>
    <row r="192" spans="2:6">
      <c r="B192" s="8">
        <v>190</v>
      </c>
      <c r="C192" s="10">
        <v>35673</v>
      </c>
      <c r="D192" s="6" t="str">
        <f t="shared" si="2"/>
        <v>Seoul</v>
      </c>
      <c r="E192" s="9" t="s">
        <v>91</v>
      </c>
      <c r="F192" s="9" t="s">
        <v>1319</v>
      </c>
    </row>
    <row r="193" spans="2:6">
      <c r="B193" s="8">
        <v>191</v>
      </c>
      <c r="C193" s="10">
        <v>33391</v>
      </c>
      <c r="D193" s="6" t="str">
        <f t="shared" si="2"/>
        <v>Seoul</v>
      </c>
      <c r="E193" s="9" t="s">
        <v>109</v>
      </c>
      <c r="F193" s="9" t="s">
        <v>1320</v>
      </c>
    </row>
    <row r="194" spans="2:6">
      <c r="B194" s="8">
        <v>192</v>
      </c>
      <c r="C194" s="10">
        <v>33245</v>
      </c>
      <c r="D194" s="6" t="str">
        <f t="shared" si="2"/>
        <v>Seoul</v>
      </c>
      <c r="E194" s="9" t="s">
        <v>109</v>
      </c>
      <c r="F194" s="9" t="s">
        <v>1321</v>
      </c>
    </row>
    <row r="195" spans="2:6">
      <c r="B195" s="8">
        <v>193</v>
      </c>
      <c r="C195" s="10">
        <v>33244</v>
      </c>
      <c r="D195" s="6" t="str">
        <f t="shared" si="2"/>
        <v>Seoul</v>
      </c>
      <c r="E195" s="9" t="s">
        <v>109</v>
      </c>
      <c r="F195" s="9" t="s">
        <v>1322</v>
      </c>
    </row>
    <row r="196" spans="2:6">
      <c r="B196" s="8">
        <v>194</v>
      </c>
      <c r="C196" s="10">
        <v>33398</v>
      </c>
      <c r="D196" s="6" t="str">
        <f t="shared" ref="D196:D259" si="3">IFERROR(VLOOKUP(E196,$H$3:$J$16,2,0),"")</f>
        <v>Seoul</v>
      </c>
      <c r="E196" s="9" t="s">
        <v>1218</v>
      </c>
      <c r="F196" s="9" t="s">
        <v>1323</v>
      </c>
    </row>
    <row r="197" spans="2:6">
      <c r="B197" s="8">
        <v>195</v>
      </c>
      <c r="C197" s="10">
        <v>35076</v>
      </c>
      <c r="D197" s="6" t="str">
        <f t="shared" si="3"/>
        <v>Seoul</v>
      </c>
      <c r="E197" s="9" t="s">
        <v>1218</v>
      </c>
      <c r="F197" s="9" t="s">
        <v>1324</v>
      </c>
    </row>
    <row r="198" spans="2:6">
      <c r="B198" s="8">
        <v>196</v>
      </c>
      <c r="C198" s="10">
        <v>35077</v>
      </c>
      <c r="D198" s="6" t="str">
        <f t="shared" si="3"/>
        <v>Seoul</v>
      </c>
      <c r="E198" s="9" t="s">
        <v>1218</v>
      </c>
      <c r="F198" s="9" t="s">
        <v>1325</v>
      </c>
    </row>
    <row r="199" spans="2:6">
      <c r="B199" s="8">
        <v>197</v>
      </c>
      <c r="C199" s="10">
        <v>33253</v>
      </c>
      <c r="D199" s="6" t="str">
        <f t="shared" si="3"/>
        <v>Seoul</v>
      </c>
      <c r="E199" s="9" t="s">
        <v>91</v>
      </c>
      <c r="F199" s="9" t="s">
        <v>1326</v>
      </c>
    </row>
    <row r="200" spans="2:6">
      <c r="B200" s="8">
        <v>198</v>
      </c>
      <c r="C200" s="10">
        <v>33328</v>
      </c>
      <c r="D200" s="6" t="str">
        <f t="shared" si="3"/>
        <v>Seoul</v>
      </c>
      <c r="E200" s="9" t="s">
        <v>91</v>
      </c>
      <c r="F200" s="9" t="s">
        <v>1071</v>
      </c>
    </row>
    <row r="201" spans="2:6">
      <c r="B201" s="8">
        <v>199</v>
      </c>
      <c r="C201" s="10">
        <v>33252</v>
      </c>
      <c r="D201" s="6" t="str">
        <f t="shared" si="3"/>
        <v>Seoul</v>
      </c>
      <c r="E201" s="9" t="s">
        <v>91</v>
      </c>
      <c r="F201" s="9" t="s">
        <v>1049</v>
      </c>
    </row>
    <row r="202" spans="2:6">
      <c r="B202" s="8">
        <v>200</v>
      </c>
      <c r="C202" s="10">
        <v>33323</v>
      </c>
      <c r="D202" s="6" t="str">
        <f t="shared" si="3"/>
        <v>Seoul</v>
      </c>
      <c r="E202" s="9" t="s">
        <v>91</v>
      </c>
      <c r="F202" s="9" t="s">
        <v>1327</v>
      </c>
    </row>
    <row r="203" spans="2:6">
      <c r="B203" s="8">
        <v>201</v>
      </c>
      <c r="C203" s="10">
        <v>33327</v>
      </c>
      <c r="D203" s="6" t="str">
        <f t="shared" si="3"/>
        <v>Seoul</v>
      </c>
      <c r="E203" s="9" t="s">
        <v>91</v>
      </c>
      <c r="F203" s="9" t="s">
        <v>1328</v>
      </c>
    </row>
    <row r="204" spans="2:6">
      <c r="B204" s="8">
        <v>202</v>
      </c>
      <c r="C204" s="10">
        <v>33251</v>
      </c>
      <c r="D204" s="6" t="str">
        <f t="shared" si="3"/>
        <v>Seoul</v>
      </c>
      <c r="E204" s="9" t="s">
        <v>91</v>
      </c>
      <c r="F204" s="9" t="s">
        <v>1066</v>
      </c>
    </row>
    <row r="205" spans="2:6">
      <c r="B205" s="8">
        <v>203</v>
      </c>
      <c r="C205" s="10">
        <v>33256</v>
      </c>
      <c r="D205" s="6" t="str">
        <f t="shared" si="3"/>
        <v>Seoul</v>
      </c>
      <c r="E205" s="9" t="s">
        <v>91</v>
      </c>
      <c r="F205" s="9" t="s">
        <v>1329</v>
      </c>
    </row>
    <row r="206" spans="2:6">
      <c r="B206" s="8">
        <v>204</v>
      </c>
      <c r="C206" s="10">
        <v>33331</v>
      </c>
      <c r="D206" s="6" t="str">
        <f t="shared" si="3"/>
        <v>Seoul</v>
      </c>
      <c r="E206" s="9" t="s">
        <v>91</v>
      </c>
      <c r="F206" s="9" t="s">
        <v>1330</v>
      </c>
    </row>
    <row r="207" spans="2:6">
      <c r="B207" s="8">
        <v>205</v>
      </c>
      <c r="C207" s="10">
        <v>33332</v>
      </c>
      <c r="D207" s="6" t="str">
        <f t="shared" si="3"/>
        <v>Seoul</v>
      </c>
      <c r="E207" s="9" t="s">
        <v>91</v>
      </c>
      <c r="F207" s="9" t="s">
        <v>1331</v>
      </c>
    </row>
    <row r="208" spans="2:6">
      <c r="B208" s="8">
        <v>206</v>
      </c>
      <c r="C208" s="10">
        <v>33349</v>
      </c>
      <c r="D208" s="6" t="str">
        <f t="shared" si="3"/>
        <v>Seoul</v>
      </c>
      <c r="E208" s="9" t="s">
        <v>91</v>
      </c>
      <c r="F208" s="9" t="s">
        <v>1332</v>
      </c>
    </row>
    <row r="209" spans="2:6">
      <c r="B209" s="8">
        <v>207</v>
      </c>
      <c r="C209" s="10">
        <v>33348</v>
      </c>
      <c r="D209" s="6" t="str">
        <f t="shared" si="3"/>
        <v>Seoul</v>
      </c>
      <c r="E209" s="9" t="s">
        <v>91</v>
      </c>
      <c r="F209" s="9" t="s">
        <v>1333</v>
      </c>
    </row>
    <row r="210" spans="2:6">
      <c r="B210" s="8">
        <v>208</v>
      </c>
      <c r="C210" s="10">
        <v>33346</v>
      </c>
      <c r="D210" s="6" t="str">
        <f t="shared" si="3"/>
        <v>Seoul</v>
      </c>
      <c r="E210" s="9" t="s">
        <v>91</v>
      </c>
      <c r="F210" s="9" t="s">
        <v>1334</v>
      </c>
    </row>
    <row r="211" spans="2:6">
      <c r="B211" s="8">
        <v>209</v>
      </c>
      <c r="C211" s="10">
        <v>33347</v>
      </c>
      <c r="D211" s="6" t="str">
        <f t="shared" si="3"/>
        <v>Seoul</v>
      </c>
      <c r="E211" s="9" t="s">
        <v>91</v>
      </c>
      <c r="F211" s="9" t="s">
        <v>1335</v>
      </c>
    </row>
    <row r="212" spans="2:6">
      <c r="B212" s="8">
        <v>210</v>
      </c>
      <c r="C212" s="10">
        <v>33333</v>
      </c>
      <c r="D212" s="6" t="str">
        <f t="shared" si="3"/>
        <v>Seoul</v>
      </c>
      <c r="E212" s="9" t="s">
        <v>91</v>
      </c>
      <c r="F212" s="9" t="s">
        <v>1042</v>
      </c>
    </row>
    <row r="213" spans="2:6">
      <c r="B213" s="8">
        <v>211</v>
      </c>
      <c r="C213" s="10">
        <v>33358</v>
      </c>
      <c r="D213" s="6" t="str">
        <f t="shared" si="3"/>
        <v>Seoul</v>
      </c>
      <c r="E213" s="9" t="s">
        <v>993</v>
      </c>
      <c r="F213" s="9" t="s">
        <v>1336</v>
      </c>
    </row>
    <row r="214" spans="2:6">
      <c r="B214" s="8">
        <v>212</v>
      </c>
      <c r="C214" s="10">
        <v>33337</v>
      </c>
      <c r="D214" s="6" t="str">
        <f t="shared" si="3"/>
        <v>Seoul</v>
      </c>
      <c r="E214" s="9" t="s">
        <v>432</v>
      </c>
      <c r="F214" s="9" t="s">
        <v>1337</v>
      </c>
    </row>
    <row r="215" spans="2:6">
      <c r="B215" s="8">
        <v>213</v>
      </c>
      <c r="C215" s="10">
        <v>33371</v>
      </c>
      <c r="D215" s="6" t="str">
        <f t="shared" si="3"/>
        <v>Seoul</v>
      </c>
      <c r="E215" s="9" t="s">
        <v>432</v>
      </c>
      <c r="F215" s="9" t="s">
        <v>1338</v>
      </c>
    </row>
    <row r="216" spans="2:6">
      <c r="B216" s="8">
        <v>214</v>
      </c>
      <c r="C216" s="10">
        <v>33336</v>
      </c>
      <c r="D216" s="6" t="str">
        <f t="shared" si="3"/>
        <v>Seoul</v>
      </c>
      <c r="E216" s="9" t="s">
        <v>432</v>
      </c>
      <c r="F216" s="9" t="s">
        <v>1339</v>
      </c>
    </row>
    <row r="217" spans="2:6">
      <c r="B217" s="8">
        <v>215</v>
      </c>
      <c r="C217" s="10">
        <v>33158</v>
      </c>
      <c r="D217" s="6" t="str">
        <f t="shared" si="3"/>
        <v>Seoul</v>
      </c>
      <c r="E217" s="9" t="s">
        <v>993</v>
      </c>
      <c r="F217" s="9" t="s">
        <v>1340</v>
      </c>
    </row>
    <row r="218" spans="2:6">
      <c r="B218" s="8">
        <v>216</v>
      </c>
      <c r="C218" s="10">
        <v>82010</v>
      </c>
      <c r="D218" s="6" t="str">
        <f t="shared" si="3"/>
        <v>Seoul</v>
      </c>
      <c r="E218" s="9" t="s">
        <v>432</v>
      </c>
      <c r="F218" s="9" t="s">
        <v>1341</v>
      </c>
    </row>
    <row r="219" spans="2:6">
      <c r="B219" s="8">
        <v>217</v>
      </c>
      <c r="C219" s="10">
        <v>85740</v>
      </c>
      <c r="D219" s="6" t="str">
        <f t="shared" si="3"/>
        <v>Seoul</v>
      </c>
      <c r="E219" s="9" t="s">
        <v>993</v>
      </c>
      <c r="F219" s="9" t="s">
        <v>1342</v>
      </c>
    </row>
    <row r="220" spans="2:6">
      <c r="B220" s="8">
        <v>218</v>
      </c>
      <c r="C220" s="10">
        <v>39150</v>
      </c>
      <c r="D220" s="6" t="str">
        <f t="shared" si="3"/>
        <v>Seoul</v>
      </c>
      <c r="E220" s="9" t="s">
        <v>432</v>
      </c>
      <c r="F220" s="9" t="s">
        <v>1111</v>
      </c>
    </row>
    <row r="221" spans="2:6">
      <c r="B221" s="8">
        <v>219</v>
      </c>
      <c r="C221" s="10">
        <v>39203</v>
      </c>
      <c r="D221" s="6" t="str">
        <f t="shared" si="3"/>
        <v>Seoul</v>
      </c>
      <c r="E221" s="9" t="s">
        <v>432</v>
      </c>
      <c r="F221" s="9" t="s">
        <v>1083</v>
      </c>
    </row>
    <row r="222" spans="2:6">
      <c r="B222" s="8">
        <v>220</v>
      </c>
      <c r="C222" s="10">
        <v>33370</v>
      </c>
      <c r="D222" s="6" t="str">
        <f t="shared" si="3"/>
        <v>Seoul</v>
      </c>
      <c r="E222" s="9" t="s">
        <v>993</v>
      </c>
      <c r="F222" s="9" t="s">
        <v>1343</v>
      </c>
    </row>
    <row r="223" spans="2:6">
      <c r="B223" s="8">
        <v>221</v>
      </c>
      <c r="C223" s="10">
        <v>81731</v>
      </c>
      <c r="D223" s="6" t="str">
        <f t="shared" si="3"/>
        <v>Seoul</v>
      </c>
      <c r="E223" s="9" t="s">
        <v>993</v>
      </c>
      <c r="F223" s="9" t="s">
        <v>1100</v>
      </c>
    </row>
    <row r="224" spans="2:6">
      <c r="B224" s="8">
        <v>222</v>
      </c>
      <c r="C224" s="10">
        <v>81940</v>
      </c>
      <c r="D224" s="6" t="str">
        <f t="shared" si="3"/>
        <v>Seoul</v>
      </c>
      <c r="E224" s="9" t="s">
        <v>993</v>
      </c>
      <c r="F224" s="9" t="s">
        <v>1091</v>
      </c>
    </row>
    <row r="225" spans="2:6">
      <c r="B225" s="8">
        <v>223</v>
      </c>
      <c r="C225" s="10">
        <v>33392</v>
      </c>
      <c r="D225" s="6" t="str">
        <f t="shared" si="3"/>
        <v>Seoul</v>
      </c>
      <c r="E225" s="9" t="s">
        <v>993</v>
      </c>
      <c r="F225" s="9" t="s">
        <v>1117</v>
      </c>
    </row>
    <row r="226" spans="2:6">
      <c r="B226" s="8">
        <v>224</v>
      </c>
      <c r="C226" s="10">
        <v>33356</v>
      </c>
      <c r="D226" s="6" t="str">
        <f t="shared" si="3"/>
        <v>Seoul</v>
      </c>
      <c r="E226" s="9" t="s">
        <v>993</v>
      </c>
      <c r="F226" s="9" t="s">
        <v>1344</v>
      </c>
    </row>
    <row r="227" spans="2:6">
      <c r="B227" s="8">
        <v>225</v>
      </c>
      <c r="C227" s="10">
        <v>33361</v>
      </c>
      <c r="D227" s="6" t="str">
        <f t="shared" si="3"/>
        <v>Seoul</v>
      </c>
      <c r="E227" s="9" t="s">
        <v>993</v>
      </c>
      <c r="F227" s="9" t="s">
        <v>1076</v>
      </c>
    </row>
    <row r="228" spans="2:6">
      <c r="B228" s="8">
        <v>226</v>
      </c>
      <c r="C228" s="10">
        <v>33359</v>
      </c>
      <c r="D228" s="6" t="str">
        <f t="shared" si="3"/>
        <v>Seoul</v>
      </c>
      <c r="E228" s="9" t="s">
        <v>993</v>
      </c>
      <c r="F228" s="9" t="s">
        <v>1345</v>
      </c>
    </row>
    <row r="229" spans="2:6">
      <c r="B229" s="8">
        <v>227</v>
      </c>
      <c r="C229" s="10">
        <v>33362</v>
      </c>
      <c r="D229" s="6" t="str">
        <f t="shared" si="3"/>
        <v>Seoul</v>
      </c>
      <c r="E229" s="9" t="s">
        <v>993</v>
      </c>
      <c r="F229" s="9" t="s">
        <v>1346</v>
      </c>
    </row>
    <row r="230" spans="2:6">
      <c r="B230" s="8">
        <v>228</v>
      </c>
      <c r="C230" s="10">
        <v>33319</v>
      </c>
      <c r="D230" s="6" t="str">
        <f t="shared" si="3"/>
        <v>Seoul</v>
      </c>
      <c r="E230" s="9" t="s">
        <v>993</v>
      </c>
      <c r="F230" s="9" t="s">
        <v>1347</v>
      </c>
    </row>
    <row r="231" spans="2:6">
      <c r="B231" s="8">
        <v>229</v>
      </c>
      <c r="C231" s="10">
        <v>34415</v>
      </c>
      <c r="D231" s="6" t="str">
        <f t="shared" si="3"/>
        <v>Seoul</v>
      </c>
      <c r="E231" s="9" t="s">
        <v>993</v>
      </c>
      <c r="F231" s="9" t="s">
        <v>1348</v>
      </c>
    </row>
    <row r="232" spans="2:6">
      <c r="B232" s="8">
        <v>230</v>
      </c>
      <c r="C232" s="10">
        <v>33360</v>
      </c>
      <c r="D232" s="6" t="str">
        <f t="shared" si="3"/>
        <v>Seoul</v>
      </c>
      <c r="E232" s="9" t="s">
        <v>993</v>
      </c>
      <c r="F232" s="9" t="s">
        <v>1349</v>
      </c>
    </row>
    <row r="233" spans="2:6">
      <c r="B233" s="8">
        <v>231</v>
      </c>
      <c r="C233" s="10">
        <v>33363</v>
      </c>
      <c r="D233" s="6" t="str">
        <f t="shared" si="3"/>
        <v>Seoul</v>
      </c>
      <c r="E233" s="9" t="s">
        <v>993</v>
      </c>
      <c r="F233" s="9" t="s">
        <v>1350</v>
      </c>
    </row>
    <row r="234" spans="2:6">
      <c r="B234" s="8">
        <v>232</v>
      </c>
      <c r="C234" s="10">
        <v>33357</v>
      </c>
      <c r="D234" s="6" t="str">
        <f t="shared" si="3"/>
        <v>Seoul</v>
      </c>
      <c r="E234" s="9" t="s">
        <v>993</v>
      </c>
      <c r="F234" s="9" t="s">
        <v>1351</v>
      </c>
    </row>
    <row r="235" spans="2:6">
      <c r="B235" s="8">
        <v>233</v>
      </c>
      <c r="C235" s="10">
        <v>33321</v>
      </c>
      <c r="D235" s="6" t="str">
        <f t="shared" si="3"/>
        <v>Seoul</v>
      </c>
      <c r="E235" s="9" t="s">
        <v>993</v>
      </c>
      <c r="F235" s="9" t="s">
        <v>1352</v>
      </c>
    </row>
    <row r="236" spans="2:6">
      <c r="B236" s="8">
        <v>234</v>
      </c>
      <c r="C236" s="10">
        <v>33368</v>
      </c>
      <c r="D236" s="6" t="str">
        <f t="shared" si="3"/>
        <v>Seoul</v>
      </c>
      <c r="E236" s="9" t="s">
        <v>993</v>
      </c>
      <c r="F236" s="9" t="s">
        <v>1120</v>
      </c>
    </row>
    <row r="237" spans="2:6">
      <c r="B237" s="8">
        <v>235</v>
      </c>
      <c r="C237" s="10">
        <v>33340</v>
      </c>
      <c r="D237" s="6" t="str">
        <f t="shared" si="3"/>
        <v>Seoul</v>
      </c>
      <c r="E237" s="9" t="s">
        <v>432</v>
      </c>
      <c r="F237" s="9" t="s">
        <v>1353</v>
      </c>
    </row>
    <row r="238" spans="2:6">
      <c r="B238" s="8">
        <v>236</v>
      </c>
      <c r="C238" s="10">
        <v>33396</v>
      </c>
      <c r="D238" s="6" t="str">
        <f t="shared" si="3"/>
        <v>Seoul</v>
      </c>
      <c r="E238" s="9" t="s">
        <v>993</v>
      </c>
      <c r="F238" s="9" t="s">
        <v>1354</v>
      </c>
    </row>
    <row r="239" spans="2:6">
      <c r="B239" s="8">
        <v>237</v>
      </c>
      <c r="C239" s="10">
        <v>33410</v>
      </c>
      <c r="D239" s="6" t="str">
        <f t="shared" si="3"/>
        <v>Seoul</v>
      </c>
      <c r="E239" s="9" t="s">
        <v>993</v>
      </c>
      <c r="F239" s="9" t="s">
        <v>1355</v>
      </c>
    </row>
    <row r="240" spans="2:6">
      <c r="B240" s="8">
        <v>238</v>
      </c>
      <c r="C240" s="10">
        <v>85921</v>
      </c>
      <c r="D240" s="6" t="str">
        <f t="shared" si="3"/>
        <v>Seoul</v>
      </c>
      <c r="E240" s="9" t="s">
        <v>993</v>
      </c>
      <c r="F240" s="9" t="s">
        <v>1141</v>
      </c>
    </row>
    <row r="241" spans="2:6">
      <c r="B241" s="8">
        <v>239</v>
      </c>
      <c r="C241" s="10">
        <v>86088</v>
      </c>
      <c r="D241" s="6" t="str">
        <f t="shared" si="3"/>
        <v>Seoul</v>
      </c>
      <c r="E241" s="9" t="s">
        <v>993</v>
      </c>
      <c r="F241" s="9" t="s">
        <v>1087</v>
      </c>
    </row>
    <row r="242" spans="2:6">
      <c r="B242" s="8">
        <v>240</v>
      </c>
      <c r="C242" s="10">
        <v>33056</v>
      </c>
      <c r="D242" s="6" t="str">
        <f t="shared" si="3"/>
        <v>Seoul</v>
      </c>
      <c r="E242" s="9" t="s">
        <v>993</v>
      </c>
      <c r="F242" s="9" t="s">
        <v>1356</v>
      </c>
    </row>
    <row r="243" spans="2:6">
      <c r="B243" s="8">
        <v>241</v>
      </c>
      <c r="C243" s="10">
        <v>33222</v>
      </c>
      <c r="D243" s="6" t="str">
        <f t="shared" si="3"/>
        <v>Seoul</v>
      </c>
      <c r="E243" s="9" t="s">
        <v>993</v>
      </c>
      <c r="F243" s="9" t="s">
        <v>1114</v>
      </c>
    </row>
    <row r="244" spans="2:6">
      <c r="B244" s="8">
        <v>242</v>
      </c>
      <c r="C244" s="10">
        <v>33216</v>
      </c>
      <c r="D244" s="6" t="str">
        <f t="shared" si="3"/>
        <v>Seoul</v>
      </c>
      <c r="E244" s="9" t="s">
        <v>993</v>
      </c>
      <c r="F244" s="9" t="s">
        <v>1357</v>
      </c>
    </row>
    <row r="245" spans="2:6">
      <c r="B245" s="8">
        <v>243</v>
      </c>
      <c r="C245" s="10">
        <v>33219</v>
      </c>
      <c r="D245" s="6" t="str">
        <f t="shared" si="3"/>
        <v>Seoul</v>
      </c>
      <c r="E245" s="9" t="s">
        <v>993</v>
      </c>
      <c r="F245" s="9" t="s">
        <v>1358</v>
      </c>
    </row>
    <row r="246" spans="2:6">
      <c r="B246" s="8">
        <v>244</v>
      </c>
      <c r="C246" s="10">
        <v>84042</v>
      </c>
      <c r="D246" s="6" t="str">
        <f t="shared" si="3"/>
        <v>Seoul</v>
      </c>
      <c r="E246" s="9" t="s">
        <v>993</v>
      </c>
      <c r="F246" s="9" t="s">
        <v>1106</v>
      </c>
    </row>
    <row r="247" spans="2:6">
      <c r="B247" s="8">
        <v>245</v>
      </c>
      <c r="C247" s="10">
        <v>84192</v>
      </c>
      <c r="D247" s="6" t="str">
        <f t="shared" si="3"/>
        <v>Seoul</v>
      </c>
      <c r="E247" s="9" t="s">
        <v>993</v>
      </c>
      <c r="F247" s="9" t="s">
        <v>1359</v>
      </c>
    </row>
    <row r="248" spans="2:6">
      <c r="B248" s="8">
        <v>246</v>
      </c>
      <c r="C248" s="10">
        <v>85735</v>
      </c>
      <c r="D248" s="6" t="str">
        <f t="shared" si="3"/>
        <v>Seoul</v>
      </c>
      <c r="E248" s="9" t="s">
        <v>993</v>
      </c>
      <c r="F248" s="9" t="s">
        <v>1360</v>
      </c>
    </row>
    <row r="249" spans="2:6">
      <c r="B249" s="8">
        <v>247</v>
      </c>
      <c r="C249" s="10">
        <v>86016</v>
      </c>
      <c r="D249" s="6" t="str">
        <f t="shared" si="3"/>
        <v>Seoul</v>
      </c>
      <c r="E249" s="9" t="s">
        <v>993</v>
      </c>
      <c r="F249" s="9" t="s">
        <v>1361</v>
      </c>
    </row>
    <row r="250" spans="2:6">
      <c r="B250" s="8">
        <v>248</v>
      </c>
      <c r="C250" s="10">
        <v>33342</v>
      </c>
      <c r="D250" s="6" t="str">
        <f t="shared" si="3"/>
        <v>Seoul</v>
      </c>
      <c r="E250" s="9" t="s">
        <v>432</v>
      </c>
      <c r="F250" s="9" t="s">
        <v>994</v>
      </c>
    </row>
    <row r="251" spans="2:6">
      <c r="B251" s="8">
        <v>249</v>
      </c>
      <c r="C251" s="10">
        <v>33387</v>
      </c>
      <c r="D251" s="6" t="str">
        <f t="shared" si="3"/>
        <v>Seoul</v>
      </c>
      <c r="E251" s="9" t="s">
        <v>993</v>
      </c>
      <c r="F251" s="9" t="s">
        <v>1015</v>
      </c>
    </row>
    <row r="252" spans="2:6">
      <c r="B252" s="8">
        <v>250</v>
      </c>
      <c r="C252" s="10">
        <v>33155</v>
      </c>
      <c r="D252" s="6" t="str">
        <f t="shared" si="3"/>
        <v>Seoul</v>
      </c>
      <c r="E252" s="9" t="s">
        <v>993</v>
      </c>
      <c r="F252" s="9" t="s">
        <v>997</v>
      </c>
    </row>
    <row r="253" spans="2:6">
      <c r="B253" s="8">
        <v>251</v>
      </c>
      <c r="C253" s="10">
        <v>34271</v>
      </c>
      <c r="D253" s="6" t="str">
        <f t="shared" si="3"/>
        <v>Seoul</v>
      </c>
      <c r="E253" s="9" t="s">
        <v>993</v>
      </c>
      <c r="F253" s="9" t="s">
        <v>1012</v>
      </c>
    </row>
    <row r="254" spans="2:6">
      <c r="B254" s="8">
        <v>252</v>
      </c>
      <c r="C254" s="10">
        <v>35683</v>
      </c>
      <c r="D254" s="6" t="str">
        <f t="shared" si="3"/>
        <v>Seoul</v>
      </c>
      <c r="E254" s="9" t="s">
        <v>993</v>
      </c>
      <c r="F254" s="9" t="s">
        <v>1362</v>
      </c>
    </row>
    <row r="255" spans="2:6">
      <c r="B255" s="8">
        <v>253</v>
      </c>
      <c r="C255" s="10">
        <v>83958</v>
      </c>
      <c r="D255" s="6" t="str">
        <f t="shared" si="3"/>
        <v>Seoul</v>
      </c>
      <c r="E255" s="9" t="s">
        <v>432</v>
      </c>
      <c r="F255" s="9" t="s">
        <v>1363</v>
      </c>
    </row>
    <row r="256" spans="2:6">
      <c r="B256" s="8">
        <v>254</v>
      </c>
      <c r="C256" s="10">
        <v>85827</v>
      </c>
      <c r="D256" s="6" t="str">
        <f t="shared" si="3"/>
        <v>Seoul</v>
      </c>
      <c r="E256" s="9" t="s">
        <v>993</v>
      </c>
      <c r="F256" s="9" t="s">
        <v>1364</v>
      </c>
    </row>
    <row r="257" spans="2:6">
      <c r="B257" s="8">
        <v>255</v>
      </c>
      <c r="C257" s="10">
        <v>85896</v>
      </c>
      <c r="D257" s="6" t="str">
        <f t="shared" si="3"/>
        <v>Seoul</v>
      </c>
      <c r="E257" s="9" t="s">
        <v>993</v>
      </c>
      <c r="F257" s="9" t="s">
        <v>1365</v>
      </c>
    </row>
    <row r="258" spans="2:6">
      <c r="B258" s="8">
        <v>256</v>
      </c>
      <c r="C258" s="10">
        <v>33255</v>
      </c>
      <c r="D258" s="6" t="str">
        <f t="shared" si="3"/>
        <v>Seoul</v>
      </c>
      <c r="E258" s="9" t="s">
        <v>432</v>
      </c>
      <c r="F258" s="9" t="s">
        <v>1366</v>
      </c>
    </row>
    <row r="259" spans="2:6">
      <c r="B259" s="8">
        <v>257</v>
      </c>
      <c r="C259" s="10">
        <v>80983</v>
      </c>
      <c r="D259" s="6" t="str">
        <f t="shared" si="3"/>
        <v>Seoul</v>
      </c>
      <c r="E259" s="9" t="s">
        <v>993</v>
      </c>
      <c r="F259" s="9" t="s">
        <v>1367</v>
      </c>
    </row>
    <row r="260" spans="2:6">
      <c r="B260" s="8">
        <v>258</v>
      </c>
      <c r="C260" s="10">
        <v>33047</v>
      </c>
      <c r="D260" s="6" t="str">
        <f t="shared" ref="D260:D323" si="4">IFERROR(VLOOKUP(E260,$H$3:$J$16,2,0),"")</f>
        <v>Seoul</v>
      </c>
      <c r="E260" s="9" t="s">
        <v>993</v>
      </c>
      <c r="F260" s="9" t="s">
        <v>1368</v>
      </c>
    </row>
    <row r="261" spans="2:6">
      <c r="B261" s="8">
        <v>259</v>
      </c>
      <c r="C261" s="10">
        <v>33142</v>
      </c>
      <c r="D261" s="6" t="str">
        <f t="shared" si="4"/>
        <v>Seoul</v>
      </c>
      <c r="E261" s="9" t="s">
        <v>993</v>
      </c>
      <c r="F261" s="9" t="s">
        <v>1369</v>
      </c>
    </row>
    <row r="262" spans="2:6">
      <c r="B262" s="8">
        <v>260</v>
      </c>
      <c r="C262" s="10">
        <v>81337</v>
      </c>
      <c r="D262" s="6" t="str">
        <f t="shared" si="4"/>
        <v>Seoul</v>
      </c>
      <c r="E262" s="9" t="s">
        <v>993</v>
      </c>
      <c r="F262" s="9" t="s">
        <v>1370</v>
      </c>
    </row>
    <row r="263" spans="2:6">
      <c r="B263" s="8">
        <v>261</v>
      </c>
      <c r="C263" s="10">
        <v>33103</v>
      </c>
      <c r="D263" s="6" t="str">
        <f t="shared" si="4"/>
        <v>Seoul</v>
      </c>
      <c r="E263" s="9" t="s">
        <v>993</v>
      </c>
      <c r="F263" s="9" t="s">
        <v>1371</v>
      </c>
    </row>
    <row r="264" spans="2:6">
      <c r="B264" s="8">
        <v>262</v>
      </c>
      <c r="C264" s="10">
        <v>33143</v>
      </c>
      <c r="D264" s="6" t="str">
        <f t="shared" si="4"/>
        <v>Seoul</v>
      </c>
      <c r="E264" s="9" t="s">
        <v>993</v>
      </c>
      <c r="F264" s="9" t="s">
        <v>1372</v>
      </c>
    </row>
    <row r="265" spans="2:6">
      <c r="B265" s="8">
        <v>263</v>
      </c>
      <c r="C265" s="10">
        <v>33176</v>
      </c>
      <c r="D265" s="6" t="str">
        <f t="shared" si="4"/>
        <v>Seoul</v>
      </c>
      <c r="E265" s="9" t="s">
        <v>993</v>
      </c>
      <c r="F265" s="9" t="s">
        <v>1373</v>
      </c>
    </row>
    <row r="266" spans="2:6">
      <c r="B266" s="8">
        <v>264</v>
      </c>
      <c r="C266" s="10">
        <v>33138</v>
      </c>
      <c r="D266" s="6" t="str">
        <f t="shared" si="4"/>
        <v>Seoul</v>
      </c>
      <c r="E266" s="9" t="s">
        <v>993</v>
      </c>
      <c r="F266" s="9" t="s">
        <v>1374</v>
      </c>
    </row>
    <row r="267" spans="2:6">
      <c r="B267" s="8">
        <v>265</v>
      </c>
      <c r="C267" s="10">
        <v>33048</v>
      </c>
      <c r="D267" s="6" t="str">
        <f t="shared" si="4"/>
        <v>Seoul</v>
      </c>
      <c r="E267" s="9" t="s">
        <v>993</v>
      </c>
      <c r="F267" s="9" t="s">
        <v>1375</v>
      </c>
    </row>
    <row r="268" spans="2:6">
      <c r="B268" s="8">
        <v>266</v>
      </c>
      <c r="C268" s="10">
        <v>33122</v>
      </c>
      <c r="D268" s="6" t="str">
        <f t="shared" si="4"/>
        <v>Seoul</v>
      </c>
      <c r="E268" s="9" t="s">
        <v>993</v>
      </c>
      <c r="F268" s="9" t="s">
        <v>1376</v>
      </c>
    </row>
    <row r="269" spans="2:6">
      <c r="B269" s="8">
        <v>267</v>
      </c>
      <c r="C269" s="10">
        <v>33145</v>
      </c>
      <c r="D269" s="6" t="str">
        <f t="shared" si="4"/>
        <v>Seoul</v>
      </c>
      <c r="E269" s="9" t="s">
        <v>993</v>
      </c>
      <c r="F269" s="9" t="s">
        <v>1377</v>
      </c>
    </row>
    <row r="270" spans="2:6">
      <c r="B270" s="8">
        <v>268</v>
      </c>
      <c r="C270" s="10">
        <v>33134</v>
      </c>
      <c r="D270" s="6" t="str">
        <f t="shared" si="4"/>
        <v>Seoul</v>
      </c>
      <c r="E270" s="9" t="s">
        <v>993</v>
      </c>
      <c r="F270" s="9" t="s">
        <v>1378</v>
      </c>
    </row>
    <row r="271" spans="2:6">
      <c r="B271" s="8">
        <v>269</v>
      </c>
      <c r="C271" s="10">
        <v>33135</v>
      </c>
      <c r="D271" s="6" t="str">
        <f t="shared" si="4"/>
        <v>Seoul</v>
      </c>
      <c r="E271" s="9" t="s">
        <v>993</v>
      </c>
      <c r="F271" s="9" t="s">
        <v>1379</v>
      </c>
    </row>
    <row r="272" spans="2:6">
      <c r="B272" s="8">
        <v>270</v>
      </c>
      <c r="C272" s="10">
        <v>33474</v>
      </c>
      <c r="D272" s="6" t="str">
        <f t="shared" si="4"/>
        <v>Seoul</v>
      </c>
      <c r="E272" s="9" t="s">
        <v>1218</v>
      </c>
      <c r="F272" s="9" t="s">
        <v>472</v>
      </c>
    </row>
    <row r="273" spans="2:6">
      <c r="B273" s="8">
        <v>271</v>
      </c>
      <c r="C273" s="10">
        <v>33281</v>
      </c>
      <c r="D273" s="6" t="str">
        <f t="shared" si="4"/>
        <v>Seoul</v>
      </c>
      <c r="E273" s="9" t="s">
        <v>993</v>
      </c>
      <c r="F273" s="9" t="s">
        <v>1380</v>
      </c>
    </row>
    <row r="274" spans="2:6">
      <c r="B274" s="8">
        <v>272</v>
      </c>
      <c r="C274" s="10">
        <v>35800</v>
      </c>
      <c r="D274" s="6" t="str">
        <f t="shared" si="4"/>
        <v>Seoul</v>
      </c>
      <c r="E274" s="9" t="s">
        <v>993</v>
      </c>
      <c r="F274" s="9" t="s">
        <v>1381</v>
      </c>
    </row>
    <row r="275" spans="2:6">
      <c r="B275" s="8">
        <v>273</v>
      </c>
      <c r="C275" s="10">
        <v>33282</v>
      </c>
      <c r="D275" s="6" t="str">
        <f t="shared" si="4"/>
        <v>Seoul</v>
      </c>
      <c r="E275" s="9" t="s">
        <v>993</v>
      </c>
      <c r="F275" s="9" t="s">
        <v>1382</v>
      </c>
    </row>
    <row r="276" spans="2:6">
      <c r="B276" s="8">
        <v>274</v>
      </c>
      <c r="C276" s="10">
        <v>33275</v>
      </c>
      <c r="D276" s="6" t="str">
        <f t="shared" si="4"/>
        <v>Seoul</v>
      </c>
      <c r="E276" s="9" t="s">
        <v>993</v>
      </c>
      <c r="F276" s="9" t="s">
        <v>1383</v>
      </c>
    </row>
    <row r="277" spans="2:6">
      <c r="B277" s="8">
        <v>275</v>
      </c>
      <c r="C277" s="10">
        <v>33409</v>
      </c>
      <c r="D277" s="6" t="str">
        <f t="shared" si="4"/>
        <v>Seoul</v>
      </c>
      <c r="E277" s="9" t="s">
        <v>993</v>
      </c>
      <c r="F277" s="9" t="s">
        <v>1384</v>
      </c>
    </row>
    <row r="278" spans="2:6">
      <c r="B278" s="8">
        <v>276</v>
      </c>
      <c r="C278" s="10">
        <v>33276</v>
      </c>
      <c r="D278" s="6" t="str">
        <f t="shared" si="4"/>
        <v>Seoul</v>
      </c>
      <c r="E278" s="9" t="s">
        <v>993</v>
      </c>
      <c r="F278" s="9" t="s">
        <v>1385</v>
      </c>
    </row>
    <row r="279" spans="2:6">
      <c r="B279" s="8">
        <v>277</v>
      </c>
      <c r="C279" s="10">
        <v>33133</v>
      </c>
      <c r="D279" s="6" t="str">
        <f t="shared" si="4"/>
        <v>Seoul</v>
      </c>
      <c r="E279" s="9" t="s">
        <v>993</v>
      </c>
      <c r="F279" s="9" t="s">
        <v>1386</v>
      </c>
    </row>
    <row r="280" spans="2:6">
      <c r="B280" s="8">
        <v>278</v>
      </c>
      <c r="C280" s="10">
        <v>33415</v>
      </c>
      <c r="D280" s="6" t="str">
        <f t="shared" si="4"/>
        <v>Seoul</v>
      </c>
      <c r="E280" s="9" t="s">
        <v>993</v>
      </c>
      <c r="F280" s="9" t="s">
        <v>1387</v>
      </c>
    </row>
    <row r="281" spans="2:6">
      <c r="B281" s="8">
        <v>279</v>
      </c>
      <c r="C281" s="10">
        <v>33280</v>
      </c>
      <c r="D281" s="6" t="str">
        <f t="shared" si="4"/>
        <v>Seoul</v>
      </c>
      <c r="E281" s="9" t="s">
        <v>993</v>
      </c>
      <c r="F281" s="9" t="s">
        <v>1388</v>
      </c>
    </row>
    <row r="282" spans="2:6">
      <c r="B282" s="8">
        <v>280</v>
      </c>
      <c r="C282" s="10">
        <v>84024</v>
      </c>
      <c r="D282" s="6" t="str">
        <f t="shared" si="4"/>
        <v>Seoul</v>
      </c>
      <c r="E282" s="9" t="s">
        <v>993</v>
      </c>
      <c r="F282" s="9" t="s">
        <v>1389</v>
      </c>
    </row>
    <row r="283" spans="2:6">
      <c r="B283" s="8">
        <v>281</v>
      </c>
      <c r="C283" s="10">
        <v>84153</v>
      </c>
      <c r="D283" s="6" t="str">
        <f t="shared" si="4"/>
        <v>Seoul</v>
      </c>
      <c r="E283" s="9" t="s">
        <v>993</v>
      </c>
      <c r="F283" s="9" t="s">
        <v>1390</v>
      </c>
    </row>
    <row r="284" spans="2:6">
      <c r="B284" s="8">
        <v>282</v>
      </c>
      <c r="C284" s="10">
        <v>33283</v>
      </c>
      <c r="D284" s="6" t="str">
        <f t="shared" si="4"/>
        <v>Seoul</v>
      </c>
      <c r="E284" s="9" t="s">
        <v>993</v>
      </c>
      <c r="F284" s="9" t="s">
        <v>1391</v>
      </c>
    </row>
    <row r="285" spans="2:6">
      <c r="B285" s="8">
        <v>283</v>
      </c>
      <c r="C285" s="10">
        <v>85496</v>
      </c>
      <c r="D285" s="6" t="str">
        <f t="shared" si="4"/>
        <v>Seoul</v>
      </c>
      <c r="E285" s="9" t="s">
        <v>993</v>
      </c>
      <c r="F285" s="9" t="s">
        <v>1392</v>
      </c>
    </row>
    <row r="286" spans="2:6">
      <c r="B286" s="8">
        <v>284</v>
      </c>
      <c r="C286" s="10">
        <v>33174</v>
      </c>
      <c r="D286" s="6" t="str">
        <f t="shared" si="4"/>
        <v>Seoul</v>
      </c>
      <c r="E286" s="9" t="s">
        <v>91</v>
      </c>
      <c r="F286" s="9" t="s">
        <v>1393</v>
      </c>
    </row>
    <row r="287" spans="2:6">
      <c r="B287" s="8">
        <v>285</v>
      </c>
      <c r="C287" s="10">
        <v>33059</v>
      </c>
      <c r="D287" s="6" t="str">
        <f t="shared" si="4"/>
        <v>Seoul</v>
      </c>
      <c r="E287" s="9" t="s">
        <v>109</v>
      </c>
      <c r="F287" s="9" t="s">
        <v>200</v>
      </c>
    </row>
    <row r="288" spans="2:6">
      <c r="B288" s="8">
        <v>286</v>
      </c>
      <c r="C288" s="10">
        <v>33132</v>
      </c>
      <c r="D288" s="6" t="str">
        <f t="shared" si="4"/>
        <v>Seoul</v>
      </c>
      <c r="E288" s="9" t="s">
        <v>109</v>
      </c>
      <c r="F288" s="9" t="s">
        <v>144</v>
      </c>
    </row>
    <row r="289" spans="2:6">
      <c r="B289" s="8">
        <v>287</v>
      </c>
      <c r="C289" s="10">
        <v>39101</v>
      </c>
      <c r="D289" s="6" t="str">
        <f t="shared" si="4"/>
        <v>Seoul</v>
      </c>
      <c r="E289" s="9" t="s">
        <v>109</v>
      </c>
      <c r="F289" s="9" t="s">
        <v>150</v>
      </c>
    </row>
    <row r="290" spans="2:6">
      <c r="B290" s="8">
        <v>288</v>
      </c>
      <c r="C290" s="10">
        <v>38167</v>
      </c>
      <c r="D290" s="6" t="str">
        <f t="shared" si="4"/>
        <v>Seoul</v>
      </c>
      <c r="E290" s="9" t="s">
        <v>259</v>
      </c>
      <c r="F290" s="9" t="s">
        <v>1394</v>
      </c>
    </row>
    <row r="291" spans="2:6">
      <c r="B291" s="8">
        <v>289</v>
      </c>
      <c r="C291" s="10">
        <v>33270</v>
      </c>
      <c r="D291" s="6" t="str">
        <f t="shared" si="4"/>
        <v>Seoul</v>
      </c>
      <c r="E291" s="9" t="s">
        <v>109</v>
      </c>
      <c r="F291" s="9" t="s">
        <v>469</v>
      </c>
    </row>
    <row r="292" spans="2:6">
      <c r="B292" s="8">
        <v>290</v>
      </c>
      <c r="C292" s="10">
        <v>85989</v>
      </c>
      <c r="D292" s="6" t="str">
        <f t="shared" si="4"/>
        <v>Seoul</v>
      </c>
      <c r="E292" s="9" t="s">
        <v>109</v>
      </c>
      <c r="F292" s="9" t="s">
        <v>1395</v>
      </c>
    </row>
    <row r="293" spans="2:6">
      <c r="B293" s="8">
        <v>291</v>
      </c>
      <c r="C293" s="10">
        <v>33128</v>
      </c>
      <c r="D293" s="6" t="str">
        <f t="shared" si="4"/>
        <v>Seoul</v>
      </c>
      <c r="E293" s="9" t="s">
        <v>109</v>
      </c>
      <c r="F293" s="9" t="s">
        <v>102</v>
      </c>
    </row>
    <row r="294" spans="2:6">
      <c r="B294" s="8">
        <v>292</v>
      </c>
      <c r="C294" s="10">
        <v>33072</v>
      </c>
      <c r="D294" s="6" t="str">
        <f t="shared" si="4"/>
        <v>Seoul</v>
      </c>
      <c r="E294" s="9" t="s">
        <v>109</v>
      </c>
      <c r="F294" s="9" t="s">
        <v>161</v>
      </c>
    </row>
    <row r="295" spans="2:6">
      <c r="B295" s="8">
        <v>293</v>
      </c>
      <c r="C295" s="10">
        <v>80468</v>
      </c>
      <c r="D295" s="6" t="str">
        <f t="shared" si="4"/>
        <v>Seoul</v>
      </c>
      <c r="E295" s="9" t="s">
        <v>432</v>
      </c>
      <c r="F295" s="9" t="s">
        <v>1396</v>
      </c>
    </row>
    <row r="296" spans="2:6">
      <c r="B296" s="8">
        <v>294</v>
      </c>
      <c r="C296" s="10">
        <v>33076</v>
      </c>
      <c r="D296" s="6" t="str">
        <f t="shared" si="4"/>
        <v>Seoul</v>
      </c>
      <c r="E296" s="9" t="s">
        <v>109</v>
      </c>
      <c r="F296" s="9" t="s">
        <v>1397</v>
      </c>
    </row>
    <row r="297" spans="2:6">
      <c r="B297" s="8">
        <v>295</v>
      </c>
      <c r="C297" s="10">
        <v>33166</v>
      </c>
      <c r="D297" s="6" t="str">
        <f t="shared" si="4"/>
        <v>Seoul</v>
      </c>
      <c r="E297" s="9" t="s">
        <v>109</v>
      </c>
      <c r="F297" s="9" t="s">
        <v>1398</v>
      </c>
    </row>
    <row r="298" spans="2:6">
      <c r="B298" s="8">
        <v>296</v>
      </c>
      <c r="C298" s="10">
        <v>39587</v>
      </c>
      <c r="D298" s="6" t="str">
        <f t="shared" si="4"/>
        <v>Seoul</v>
      </c>
      <c r="E298" s="9" t="s">
        <v>109</v>
      </c>
      <c r="F298" s="9" t="s">
        <v>1399</v>
      </c>
    </row>
    <row r="299" spans="2:6">
      <c r="B299" s="8">
        <v>297</v>
      </c>
      <c r="C299" s="10">
        <v>81651</v>
      </c>
      <c r="D299" s="6" t="str">
        <f t="shared" si="4"/>
        <v>Seoul</v>
      </c>
      <c r="E299" s="9" t="s">
        <v>109</v>
      </c>
      <c r="F299" s="9" t="s">
        <v>155</v>
      </c>
    </row>
    <row r="300" spans="2:6">
      <c r="B300" s="8">
        <v>298</v>
      </c>
      <c r="C300" s="10">
        <v>33419</v>
      </c>
      <c r="D300" s="6" t="str">
        <f t="shared" si="4"/>
        <v>Seoul</v>
      </c>
      <c r="E300" s="9" t="s">
        <v>109</v>
      </c>
      <c r="F300" s="9" t="s">
        <v>1400</v>
      </c>
    </row>
    <row r="301" spans="2:6">
      <c r="B301" s="8">
        <v>299</v>
      </c>
      <c r="C301" s="10">
        <v>33268</v>
      </c>
      <c r="D301" s="6" t="str">
        <f t="shared" si="4"/>
        <v>Seoul</v>
      </c>
      <c r="E301" s="9" t="s">
        <v>109</v>
      </c>
      <c r="F301" s="9" t="s">
        <v>1401</v>
      </c>
    </row>
    <row r="302" spans="2:6">
      <c r="B302" s="8">
        <v>300</v>
      </c>
      <c r="C302" s="10">
        <v>33378</v>
      </c>
      <c r="D302" s="6" t="str">
        <f t="shared" si="4"/>
        <v>Seoul</v>
      </c>
      <c r="E302" s="9" t="s">
        <v>109</v>
      </c>
      <c r="F302" s="9" t="s">
        <v>1402</v>
      </c>
    </row>
    <row r="303" spans="2:6">
      <c r="B303" s="8">
        <v>301</v>
      </c>
      <c r="C303" s="10">
        <v>33073</v>
      </c>
      <c r="D303" s="6" t="str">
        <f t="shared" si="4"/>
        <v>Seoul</v>
      </c>
      <c r="E303" s="9" t="s">
        <v>259</v>
      </c>
      <c r="F303" s="9" t="s">
        <v>113</v>
      </c>
    </row>
    <row r="304" spans="2:6">
      <c r="B304" s="8">
        <v>302</v>
      </c>
      <c r="C304" s="10">
        <v>33194</v>
      </c>
      <c r="D304" s="6" t="str">
        <f t="shared" si="4"/>
        <v>Seoul</v>
      </c>
      <c r="E304" s="9" t="s">
        <v>259</v>
      </c>
      <c r="F304" s="9" t="s">
        <v>130</v>
      </c>
    </row>
    <row r="305" spans="2:6">
      <c r="B305" s="8">
        <v>303</v>
      </c>
      <c r="C305" s="10">
        <v>85588</v>
      </c>
      <c r="D305" s="6" t="str">
        <f t="shared" si="4"/>
        <v>Seoul</v>
      </c>
      <c r="E305" s="9" t="s">
        <v>432</v>
      </c>
      <c r="F305" s="9" t="s">
        <v>1403</v>
      </c>
    </row>
    <row r="306" spans="2:6">
      <c r="B306" s="8">
        <v>304</v>
      </c>
      <c r="C306" s="10">
        <v>33259</v>
      </c>
      <c r="D306" s="6" t="str">
        <f t="shared" si="4"/>
        <v>Seoul</v>
      </c>
      <c r="E306" s="9" t="s">
        <v>109</v>
      </c>
      <c r="F306" s="9" t="s">
        <v>1404</v>
      </c>
    </row>
    <row r="307" spans="2:6">
      <c r="B307" s="8">
        <v>305</v>
      </c>
      <c r="C307" s="10">
        <v>37347</v>
      </c>
      <c r="D307" s="6" t="str">
        <f t="shared" si="4"/>
        <v>Seoul</v>
      </c>
      <c r="E307" s="9" t="s">
        <v>109</v>
      </c>
      <c r="F307" s="9" t="s">
        <v>1405</v>
      </c>
    </row>
    <row r="308" spans="2:6">
      <c r="B308" s="8">
        <v>306</v>
      </c>
      <c r="C308" s="10">
        <v>33377</v>
      </c>
      <c r="D308" s="6" t="str">
        <f t="shared" si="4"/>
        <v>Seoul</v>
      </c>
      <c r="E308" s="9" t="s">
        <v>109</v>
      </c>
      <c r="F308" s="9" t="s">
        <v>1406</v>
      </c>
    </row>
    <row r="309" spans="2:6">
      <c r="B309" s="8">
        <v>307</v>
      </c>
      <c r="C309" s="10">
        <v>33272</v>
      </c>
      <c r="D309" s="6" t="str">
        <f t="shared" si="4"/>
        <v>Seoul</v>
      </c>
      <c r="E309" s="9" t="s">
        <v>259</v>
      </c>
      <c r="F309" s="9" t="s">
        <v>207</v>
      </c>
    </row>
    <row r="310" spans="2:6">
      <c r="B310" s="8">
        <v>308</v>
      </c>
      <c r="C310" s="10">
        <v>34417</v>
      </c>
      <c r="D310" s="6" t="str">
        <f t="shared" si="4"/>
        <v>Seoul</v>
      </c>
      <c r="E310" s="9" t="s">
        <v>259</v>
      </c>
      <c r="F310" s="9" t="s">
        <v>1407</v>
      </c>
    </row>
    <row r="311" spans="2:6">
      <c r="B311" s="8">
        <v>309</v>
      </c>
      <c r="C311" s="10">
        <v>33379</v>
      </c>
      <c r="D311" s="6" t="str">
        <f t="shared" si="4"/>
        <v>Seoul</v>
      </c>
      <c r="E311" s="9" t="s">
        <v>259</v>
      </c>
      <c r="F311" s="9" t="s">
        <v>1408</v>
      </c>
    </row>
    <row r="312" spans="2:6">
      <c r="B312" s="8">
        <v>310</v>
      </c>
      <c r="C312" s="10">
        <v>33260</v>
      </c>
      <c r="D312" s="6" t="str">
        <f t="shared" si="4"/>
        <v>Seoul</v>
      </c>
      <c r="E312" s="9" t="s">
        <v>109</v>
      </c>
      <c r="F312" s="9" t="s">
        <v>1409</v>
      </c>
    </row>
    <row r="313" spans="2:6">
      <c r="B313" s="8">
        <v>311</v>
      </c>
      <c r="C313" s="10">
        <v>33273</v>
      </c>
      <c r="D313" s="6" t="str">
        <f t="shared" si="4"/>
        <v>Seoul</v>
      </c>
      <c r="E313" s="9" t="s">
        <v>259</v>
      </c>
      <c r="F313" s="9" t="s">
        <v>1410</v>
      </c>
    </row>
    <row r="314" spans="2:6">
      <c r="B314" s="8">
        <v>312</v>
      </c>
      <c r="C314" s="10">
        <v>33258</v>
      </c>
      <c r="D314" s="6" t="str">
        <f t="shared" si="4"/>
        <v>Seoul</v>
      </c>
      <c r="E314" s="9" t="s">
        <v>109</v>
      </c>
      <c r="F314" s="9" t="s">
        <v>1411</v>
      </c>
    </row>
    <row r="315" spans="2:6">
      <c r="B315" s="8">
        <v>313</v>
      </c>
      <c r="C315" s="10">
        <v>33271</v>
      </c>
      <c r="D315" s="6" t="str">
        <f t="shared" si="4"/>
        <v>Seoul</v>
      </c>
      <c r="E315" s="9" t="s">
        <v>109</v>
      </c>
      <c r="F315" s="9" t="s">
        <v>1412</v>
      </c>
    </row>
    <row r="316" spans="2:6">
      <c r="B316" s="8">
        <v>314</v>
      </c>
      <c r="C316" s="10">
        <v>33380</v>
      </c>
      <c r="D316" s="6" t="str">
        <f t="shared" si="4"/>
        <v>Seoul</v>
      </c>
      <c r="E316" s="9" t="s">
        <v>259</v>
      </c>
      <c r="F316" s="9" t="s">
        <v>1413</v>
      </c>
    </row>
    <row r="317" spans="2:6">
      <c r="B317" s="8">
        <v>315</v>
      </c>
      <c r="C317" s="10">
        <v>35660</v>
      </c>
      <c r="D317" s="6" t="str">
        <f t="shared" si="4"/>
        <v>Seoul</v>
      </c>
      <c r="E317" s="9" t="s">
        <v>109</v>
      </c>
      <c r="F317" s="9" t="s">
        <v>1414</v>
      </c>
    </row>
    <row r="318" spans="2:6">
      <c r="B318" s="8">
        <v>316</v>
      </c>
      <c r="C318" s="10">
        <v>86009</v>
      </c>
      <c r="D318" s="6" t="str">
        <f t="shared" si="4"/>
        <v>Seoul</v>
      </c>
      <c r="E318" s="9" t="s">
        <v>109</v>
      </c>
      <c r="F318" s="9" t="s">
        <v>1415</v>
      </c>
    </row>
    <row r="319" spans="2:6">
      <c r="B319" s="8">
        <v>317</v>
      </c>
      <c r="C319" s="10">
        <v>33081</v>
      </c>
      <c r="D319" s="6" t="str">
        <f t="shared" si="4"/>
        <v>Seoul</v>
      </c>
      <c r="E319" s="9" t="s">
        <v>91</v>
      </c>
      <c r="F319" s="9" t="s">
        <v>1416</v>
      </c>
    </row>
    <row r="320" spans="2:6">
      <c r="B320" s="8">
        <v>318</v>
      </c>
      <c r="C320" s="10">
        <v>33080</v>
      </c>
      <c r="D320" s="6" t="str">
        <f t="shared" si="4"/>
        <v>Seoul</v>
      </c>
      <c r="E320" s="9" t="s">
        <v>109</v>
      </c>
      <c r="F320" s="9" t="s">
        <v>210</v>
      </c>
    </row>
    <row r="321" spans="2:6">
      <c r="B321" s="8">
        <v>319</v>
      </c>
      <c r="C321" s="10">
        <v>33382</v>
      </c>
      <c r="D321" s="6" t="str">
        <f t="shared" si="4"/>
        <v>Seoul</v>
      </c>
      <c r="E321" s="9" t="s">
        <v>109</v>
      </c>
      <c r="F321" s="9" t="s">
        <v>1417</v>
      </c>
    </row>
    <row r="322" spans="2:6">
      <c r="B322" s="8">
        <v>320</v>
      </c>
      <c r="C322" s="10">
        <v>35826</v>
      </c>
      <c r="D322" s="6" t="str">
        <f t="shared" si="4"/>
        <v>Seoul</v>
      </c>
      <c r="E322" s="9" t="s">
        <v>109</v>
      </c>
      <c r="F322" s="9" t="s">
        <v>1418</v>
      </c>
    </row>
    <row r="323" spans="2:6">
      <c r="B323" s="8">
        <v>321</v>
      </c>
      <c r="C323" s="10">
        <v>33167</v>
      </c>
      <c r="D323" s="6" t="str">
        <f t="shared" si="4"/>
        <v>Seoul</v>
      </c>
      <c r="E323" s="9" t="s">
        <v>109</v>
      </c>
      <c r="F323" s="9" t="s">
        <v>213</v>
      </c>
    </row>
    <row r="324" spans="2:6">
      <c r="B324" s="8">
        <v>322</v>
      </c>
      <c r="C324" s="10">
        <v>84171</v>
      </c>
      <c r="D324" s="6" t="str">
        <f t="shared" ref="D324:D387" si="5">IFERROR(VLOOKUP(E324,$H$3:$J$16,2,0),"")</f>
        <v>Seoul</v>
      </c>
      <c r="E324" s="9" t="s">
        <v>109</v>
      </c>
      <c r="F324" s="9" t="s">
        <v>255</v>
      </c>
    </row>
    <row r="325" spans="2:6">
      <c r="B325" s="8">
        <v>323</v>
      </c>
      <c r="C325" s="10">
        <v>85751</v>
      </c>
      <c r="D325" s="6" t="str">
        <f t="shared" si="5"/>
        <v>Seoul</v>
      </c>
      <c r="E325" s="9" t="s">
        <v>109</v>
      </c>
      <c r="F325" s="9" t="s">
        <v>1419</v>
      </c>
    </row>
    <row r="326" spans="2:6">
      <c r="B326" s="8">
        <v>324</v>
      </c>
      <c r="C326" s="10">
        <v>85720</v>
      </c>
      <c r="D326" s="6" t="str">
        <f t="shared" si="5"/>
        <v>Seoul</v>
      </c>
      <c r="E326" s="9" t="s">
        <v>109</v>
      </c>
      <c r="F326" s="9" t="s">
        <v>1420</v>
      </c>
    </row>
    <row r="327" spans="2:6">
      <c r="B327" s="8">
        <v>325</v>
      </c>
      <c r="C327" s="10">
        <v>33306</v>
      </c>
      <c r="D327" s="6" t="str">
        <f t="shared" si="5"/>
        <v>Seoul</v>
      </c>
      <c r="E327" s="9" t="s">
        <v>109</v>
      </c>
      <c r="F327" s="9" t="s">
        <v>1421</v>
      </c>
    </row>
    <row r="328" spans="2:6">
      <c r="B328" s="8">
        <v>326</v>
      </c>
      <c r="C328" s="10">
        <v>33165</v>
      </c>
      <c r="D328" s="6" t="str">
        <f t="shared" si="5"/>
        <v>Seoul</v>
      </c>
      <c r="E328" s="9" t="s">
        <v>109</v>
      </c>
      <c r="F328" s="9" t="s">
        <v>230</v>
      </c>
    </row>
    <row r="329" spans="2:6">
      <c r="B329" s="8">
        <v>327</v>
      </c>
      <c r="C329" s="10">
        <v>33307</v>
      </c>
      <c r="D329" s="6" t="str">
        <f t="shared" si="5"/>
        <v>Seoul</v>
      </c>
      <c r="E329" s="9" t="s">
        <v>109</v>
      </c>
      <c r="F329" s="9" t="s">
        <v>1422</v>
      </c>
    </row>
    <row r="330" spans="2:6">
      <c r="B330" s="8">
        <v>328</v>
      </c>
      <c r="C330" s="10">
        <v>33309</v>
      </c>
      <c r="D330" s="6" t="str">
        <f t="shared" si="5"/>
        <v>Seoul</v>
      </c>
      <c r="E330" s="9" t="s">
        <v>109</v>
      </c>
      <c r="F330" s="9" t="s">
        <v>1423</v>
      </c>
    </row>
    <row r="331" spans="2:6">
      <c r="B331" s="8">
        <v>329</v>
      </c>
      <c r="C331" s="10">
        <v>33305</v>
      </c>
      <c r="D331" s="6" t="str">
        <f t="shared" si="5"/>
        <v>Seoul</v>
      </c>
      <c r="E331" s="9" t="s">
        <v>109</v>
      </c>
      <c r="F331" s="9" t="s">
        <v>1424</v>
      </c>
    </row>
    <row r="332" spans="2:6">
      <c r="B332" s="8">
        <v>330</v>
      </c>
      <c r="C332" s="10">
        <v>33381</v>
      </c>
      <c r="D332" s="6" t="str">
        <f t="shared" si="5"/>
        <v>Seoul</v>
      </c>
      <c r="E332" s="9" t="s">
        <v>109</v>
      </c>
      <c r="F332" s="9" t="s">
        <v>217</v>
      </c>
    </row>
    <row r="333" spans="2:6">
      <c r="B333" s="8">
        <v>331</v>
      </c>
      <c r="C333" s="10">
        <v>33395</v>
      </c>
      <c r="D333" s="6" t="str">
        <f t="shared" si="5"/>
        <v>Seoul</v>
      </c>
      <c r="E333" s="9" t="s">
        <v>109</v>
      </c>
      <c r="F333" s="9" t="s">
        <v>1425</v>
      </c>
    </row>
    <row r="334" spans="2:6">
      <c r="B334" s="8">
        <v>332</v>
      </c>
      <c r="C334" s="10">
        <v>33097</v>
      </c>
      <c r="D334" s="6" t="str">
        <f t="shared" si="5"/>
        <v>Seoul</v>
      </c>
      <c r="E334" s="9" t="s">
        <v>109</v>
      </c>
      <c r="F334" s="9" t="s">
        <v>1426</v>
      </c>
    </row>
    <row r="335" spans="2:6">
      <c r="B335" s="8">
        <v>333</v>
      </c>
      <c r="C335" s="10">
        <v>33315</v>
      </c>
      <c r="D335" s="6" t="str">
        <f t="shared" si="5"/>
        <v>Seoul</v>
      </c>
      <c r="E335" s="9" t="s">
        <v>109</v>
      </c>
      <c r="F335" s="9" t="s">
        <v>1427</v>
      </c>
    </row>
    <row r="336" spans="2:6">
      <c r="B336" s="8">
        <v>334</v>
      </c>
      <c r="C336" s="10">
        <v>33313</v>
      </c>
      <c r="D336" s="6" t="str">
        <f t="shared" si="5"/>
        <v>Seoul</v>
      </c>
      <c r="E336" s="9" t="s">
        <v>109</v>
      </c>
      <c r="F336" s="9" t="s">
        <v>233</v>
      </c>
    </row>
    <row r="337" spans="2:6">
      <c r="B337" s="8">
        <v>335</v>
      </c>
      <c r="C337" s="10">
        <v>33317</v>
      </c>
      <c r="D337" s="6" t="str">
        <f t="shared" si="5"/>
        <v>Seoul</v>
      </c>
      <c r="E337" s="9" t="s">
        <v>109</v>
      </c>
      <c r="F337" s="9" t="s">
        <v>1428</v>
      </c>
    </row>
    <row r="338" spans="2:6">
      <c r="B338" s="8">
        <v>336</v>
      </c>
      <c r="C338" s="10">
        <v>33311</v>
      </c>
      <c r="D338" s="6" t="str">
        <f t="shared" si="5"/>
        <v>Seoul</v>
      </c>
      <c r="E338" s="9" t="s">
        <v>109</v>
      </c>
      <c r="F338" s="9" t="s">
        <v>1429</v>
      </c>
    </row>
    <row r="339" spans="2:6">
      <c r="B339" s="8">
        <v>337</v>
      </c>
      <c r="C339" s="10">
        <v>33316</v>
      </c>
      <c r="D339" s="6" t="str">
        <f t="shared" si="5"/>
        <v>Seoul</v>
      </c>
      <c r="E339" s="9" t="s">
        <v>109</v>
      </c>
      <c r="F339" s="9" t="s">
        <v>1430</v>
      </c>
    </row>
    <row r="340" spans="2:6">
      <c r="B340" s="8">
        <v>338</v>
      </c>
      <c r="C340" s="10">
        <v>83653</v>
      </c>
      <c r="D340" s="6" t="str">
        <f t="shared" si="5"/>
        <v>Seoul</v>
      </c>
      <c r="E340" s="9" t="s">
        <v>109</v>
      </c>
      <c r="F340" s="9" t="s">
        <v>1431</v>
      </c>
    </row>
    <row r="341" spans="2:6">
      <c r="B341" s="8">
        <v>339</v>
      </c>
      <c r="C341" s="10">
        <v>86317</v>
      </c>
      <c r="D341" s="6" t="str">
        <f t="shared" si="5"/>
        <v>Seoul</v>
      </c>
      <c r="E341" s="9" t="s">
        <v>259</v>
      </c>
      <c r="F341" s="9" t="s">
        <v>1432</v>
      </c>
    </row>
    <row r="342" spans="2:6">
      <c r="B342" s="8">
        <v>340</v>
      </c>
      <c r="C342" s="10">
        <v>33089</v>
      </c>
      <c r="D342" s="6" t="str">
        <f t="shared" si="5"/>
        <v>Seoul</v>
      </c>
      <c r="E342" s="9" t="s">
        <v>259</v>
      </c>
      <c r="F342" s="9" t="s">
        <v>1433</v>
      </c>
    </row>
    <row r="343" spans="2:6">
      <c r="B343" s="8">
        <v>341</v>
      </c>
      <c r="C343" s="10">
        <v>33173</v>
      </c>
      <c r="D343" s="6" t="str">
        <f t="shared" si="5"/>
        <v>Seoul</v>
      </c>
      <c r="E343" s="9" t="s">
        <v>109</v>
      </c>
      <c r="F343" s="9" t="s">
        <v>1434</v>
      </c>
    </row>
    <row r="344" spans="2:6">
      <c r="B344" s="8">
        <v>342</v>
      </c>
      <c r="C344" s="10">
        <v>33141</v>
      </c>
      <c r="D344" s="6" t="str">
        <f t="shared" si="5"/>
        <v>Seoul</v>
      </c>
      <c r="E344" s="9" t="s">
        <v>109</v>
      </c>
      <c r="F344" s="9" t="s">
        <v>236</v>
      </c>
    </row>
    <row r="345" spans="2:6">
      <c r="B345" s="8">
        <v>343</v>
      </c>
      <c r="C345" s="10">
        <v>33070</v>
      </c>
      <c r="D345" s="6" t="str">
        <f t="shared" si="5"/>
        <v>Seoul</v>
      </c>
      <c r="E345" s="9" t="s">
        <v>109</v>
      </c>
      <c r="F345" s="9" t="s">
        <v>1435</v>
      </c>
    </row>
    <row r="346" spans="2:6">
      <c r="B346" s="8">
        <v>344</v>
      </c>
      <c r="C346" s="10">
        <v>33114</v>
      </c>
      <c r="D346" s="6" t="str">
        <f t="shared" si="5"/>
        <v>Seoul</v>
      </c>
      <c r="E346" s="9" t="s">
        <v>109</v>
      </c>
      <c r="F346" s="9" t="s">
        <v>1436</v>
      </c>
    </row>
    <row r="347" spans="2:6">
      <c r="B347" s="8">
        <v>345</v>
      </c>
      <c r="C347" s="10">
        <v>33140</v>
      </c>
      <c r="D347" s="6" t="str">
        <f t="shared" si="5"/>
        <v>Seoul</v>
      </c>
      <c r="E347" s="9" t="s">
        <v>109</v>
      </c>
      <c r="F347" s="9" t="s">
        <v>1437</v>
      </c>
    </row>
    <row r="348" spans="2:6">
      <c r="B348" s="8">
        <v>346</v>
      </c>
      <c r="C348" s="10">
        <v>33098</v>
      </c>
      <c r="D348" s="6" t="str">
        <f t="shared" si="5"/>
        <v>Seoul</v>
      </c>
      <c r="E348" s="9" t="s">
        <v>109</v>
      </c>
      <c r="F348" s="9" t="s">
        <v>1438</v>
      </c>
    </row>
    <row r="349" spans="2:6">
      <c r="B349" s="8">
        <v>347</v>
      </c>
      <c r="C349" s="10">
        <v>33091</v>
      </c>
      <c r="D349" s="6" t="str">
        <f t="shared" si="5"/>
        <v>Seoul</v>
      </c>
      <c r="E349" s="9" t="s">
        <v>109</v>
      </c>
      <c r="F349" s="9" t="s">
        <v>247</v>
      </c>
    </row>
    <row r="350" spans="2:6">
      <c r="B350" s="8">
        <v>348</v>
      </c>
      <c r="C350" s="10">
        <v>33088</v>
      </c>
      <c r="D350" s="6" t="str">
        <f t="shared" si="5"/>
        <v>Seoul</v>
      </c>
      <c r="E350" s="9" t="s">
        <v>109</v>
      </c>
      <c r="F350" s="9" t="s">
        <v>1439</v>
      </c>
    </row>
    <row r="351" spans="2:6">
      <c r="B351" s="8">
        <v>349</v>
      </c>
      <c r="C351" s="10">
        <v>33094</v>
      </c>
      <c r="D351" s="6" t="str">
        <f t="shared" si="5"/>
        <v>Seoul</v>
      </c>
      <c r="E351" s="9" t="s">
        <v>109</v>
      </c>
      <c r="F351" s="9" t="s">
        <v>110</v>
      </c>
    </row>
    <row r="352" spans="2:6">
      <c r="B352" s="8">
        <v>350</v>
      </c>
      <c r="C352" s="10">
        <v>33095</v>
      </c>
      <c r="D352" s="6" t="str">
        <f t="shared" si="5"/>
        <v>Seoul</v>
      </c>
      <c r="E352" s="9" t="s">
        <v>109</v>
      </c>
      <c r="F352" s="9" t="s">
        <v>1440</v>
      </c>
    </row>
    <row r="353" spans="2:6">
      <c r="B353" s="8">
        <v>351</v>
      </c>
      <c r="C353" s="10">
        <v>33214</v>
      </c>
      <c r="D353" s="6" t="str">
        <f t="shared" si="5"/>
        <v>Seoul</v>
      </c>
      <c r="E353" s="9" t="s">
        <v>109</v>
      </c>
      <c r="F353" s="9" t="s">
        <v>1441</v>
      </c>
    </row>
    <row r="354" spans="2:6">
      <c r="B354" s="8">
        <v>352</v>
      </c>
      <c r="C354" s="10">
        <v>33090</v>
      </c>
      <c r="D354" s="6" t="str">
        <f t="shared" si="5"/>
        <v>Seoul</v>
      </c>
      <c r="E354" s="9" t="s">
        <v>109</v>
      </c>
      <c r="F354" s="9" t="s">
        <v>1442</v>
      </c>
    </row>
    <row r="355" spans="2:6">
      <c r="B355" s="8">
        <v>353</v>
      </c>
      <c r="C355" s="10">
        <v>33402</v>
      </c>
      <c r="D355" s="6" t="str">
        <f t="shared" si="5"/>
        <v>Seoul</v>
      </c>
      <c r="E355" s="9" t="s">
        <v>432</v>
      </c>
      <c r="F355" s="9" t="s">
        <v>1443</v>
      </c>
    </row>
    <row r="356" spans="2:6">
      <c r="B356" s="8">
        <v>354</v>
      </c>
      <c r="C356" s="10">
        <v>33411</v>
      </c>
      <c r="D356" s="6" t="str">
        <f t="shared" si="5"/>
        <v>Seoul</v>
      </c>
      <c r="E356" s="9" t="s">
        <v>432</v>
      </c>
      <c r="F356" s="9" t="s">
        <v>1444</v>
      </c>
    </row>
    <row r="357" spans="2:6">
      <c r="B357" s="8">
        <v>355</v>
      </c>
      <c r="C357" s="10">
        <v>33179</v>
      </c>
      <c r="D357" s="6" t="str">
        <f t="shared" si="5"/>
        <v>Seoul</v>
      </c>
      <c r="E357" s="9" t="s">
        <v>109</v>
      </c>
      <c r="F357" s="9" t="s">
        <v>429</v>
      </c>
    </row>
    <row r="358" spans="2:6">
      <c r="B358" s="8">
        <v>356</v>
      </c>
      <c r="C358" s="10">
        <v>86024</v>
      </c>
      <c r="D358" s="6" t="str">
        <f t="shared" si="5"/>
        <v>Seoul</v>
      </c>
      <c r="E358" s="9" t="s">
        <v>109</v>
      </c>
      <c r="F358" s="9" t="s">
        <v>1445</v>
      </c>
    </row>
    <row r="359" spans="2:6">
      <c r="B359" s="8">
        <v>357</v>
      </c>
      <c r="C359" s="10">
        <v>33178</v>
      </c>
      <c r="D359" s="6" t="str">
        <f t="shared" si="5"/>
        <v>Seoul</v>
      </c>
      <c r="E359" s="9" t="s">
        <v>993</v>
      </c>
      <c r="F359" s="9" t="s">
        <v>1446</v>
      </c>
    </row>
    <row r="360" spans="2:6">
      <c r="B360" s="8">
        <v>358</v>
      </c>
      <c r="C360" s="10">
        <v>33175</v>
      </c>
      <c r="D360" s="6" t="str">
        <f t="shared" si="5"/>
        <v>Seoul</v>
      </c>
      <c r="E360" s="9" t="s">
        <v>109</v>
      </c>
      <c r="F360" s="9" t="s">
        <v>1447</v>
      </c>
    </row>
    <row r="361" spans="2:6">
      <c r="B361" s="8">
        <v>359</v>
      </c>
      <c r="C361" s="10">
        <v>33177</v>
      </c>
      <c r="D361" s="6" t="str">
        <f t="shared" si="5"/>
        <v>Seoul</v>
      </c>
      <c r="E361" s="9" t="s">
        <v>109</v>
      </c>
      <c r="F361" s="9" t="s">
        <v>1448</v>
      </c>
    </row>
    <row r="362" spans="2:6">
      <c r="B362" s="8">
        <v>360</v>
      </c>
      <c r="C362" s="10">
        <v>33079</v>
      </c>
      <c r="D362" s="6" t="str">
        <f t="shared" si="5"/>
        <v>Seoul</v>
      </c>
      <c r="E362" s="9" t="s">
        <v>259</v>
      </c>
      <c r="F362" s="9" t="s">
        <v>260</v>
      </c>
    </row>
    <row r="363" spans="2:6">
      <c r="B363" s="8">
        <v>361</v>
      </c>
      <c r="C363" s="10">
        <v>33092</v>
      </c>
      <c r="D363" s="6" t="str">
        <f t="shared" si="5"/>
        <v>Seoul</v>
      </c>
      <c r="E363" s="9" t="s">
        <v>259</v>
      </c>
      <c r="F363" s="9" t="s">
        <v>348</v>
      </c>
    </row>
    <row r="364" spans="2:6">
      <c r="B364" s="8">
        <v>362</v>
      </c>
      <c r="C364" s="10">
        <v>85753</v>
      </c>
      <c r="D364" s="6" t="str">
        <f t="shared" si="5"/>
        <v>Seoul</v>
      </c>
      <c r="E364" s="9" t="s">
        <v>259</v>
      </c>
      <c r="F364" s="9" t="s">
        <v>1449</v>
      </c>
    </row>
    <row r="365" spans="2:6">
      <c r="B365" s="8">
        <v>363</v>
      </c>
      <c r="C365" s="10">
        <v>85832</v>
      </c>
      <c r="D365" s="6" t="str">
        <f t="shared" si="5"/>
        <v>Seoul</v>
      </c>
      <c r="E365" s="9" t="s">
        <v>259</v>
      </c>
      <c r="F365" s="9" t="s">
        <v>1450</v>
      </c>
    </row>
    <row r="366" spans="2:6">
      <c r="B366" s="8">
        <v>364</v>
      </c>
      <c r="C366" s="10">
        <v>33421</v>
      </c>
      <c r="D366" s="6" t="str">
        <f t="shared" si="5"/>
        <v>Seoul</v>
      </c>
      <c r="E366" s="9" t="s">
        <v>259</v>
      </c>
      <c r="F366" s="9" t="s">
        <v>1451</v>
      </c>
    </row>
    <row r="367" spans="2:6">
      <c r="B367" s="8">
        <v>365</v>
      </c>
      <c r="C367" s="10">
        <v>33236</v>
      </c>
      <c r="D367" s="6" t="str">
        <f t="shared" si="5"/>
        <v>Seoul</v>
      </c>
      <c r="E367" s="9" t="s">
        <v>259</v>
      </c>
      <c r="F367" s="9" t="s">
        <v>1452</v>
      </c>
    </row>
    <row r="368" spans="2:6">
      <c r="B368" s="8">
        <v>366</v>
      </c>
      <c r="C368" s="10">
        <v>38947</v>
      </c>
      <c r="D368" s="6" t="str">
        <f t="shared" si="5"/>
        <v>Seoul</v>
      </c>
      <c r="E368" s="9" t="s">
        <v>259</v>
      </c>
      <c r="F368" s="9" t="s">
        <v>1453</v>
      </c>
    </row>
    <row r="369" spans="2:6">
      <c r="B369" s="8">
        <v>367</v>
      </c>
      <c r="C369" s="10">
        <v>33131</v>
      </c>
      <c r="D369" s="6" t="str">
        <f t="shared" si="5"/>
        <v>Seoul</v>
      </c>
      <c r="E369" s="9" t="s">
        <v>259</v>
      </c>
      <c r="F369" s="9" t="s">
        <v>1454</v>
      </c>
    </row>
    <row r="370" spans="2:6">
      <c r="B370" s="8">
        <v>368</v>
      </c>
      <c r="C370" s="10">
        <v>33235</v>
      </c>
      <c r="D370" s="6" t="str">
        <f t="shared" si="5"/>
        <v>Seoul</v>
      </c>
      <c r="E370" s="9" t="s">
        <v>259</v>
      </c>
      <c r="F370" s="9" t="s">
        <v>1455</v>
      </c>
    </row>
    <row r="371" spans="2:6">
      <c r="B371" s="8">
        <v>369</v>
      </c>
      <c r="C371" s="10">
        <v>33241</v>
      </c>
      <c r="D371" s="6" t="str">
        <f t="shared" si="5"/>
        <v>Seoul</v>
      </c>
      <c r="E371" s="9" t="s">
        <v>259</v>
      </c>
      <c r="F371" s="9" t="s">
        <v>1456</v>
      </c>
    </row>
    <row r="372" spans="2:6">
      <c r="B372" s="8">
        <v>370</v>
      </c>
      <c r="C372" s="10">
        <v>33234</v>
      </c>
      <c r="D372" s="6" t="str">
        <f t="shared" si="5"/>
        <v>Seoul</v>
      </c>
      <c r="E372" s="9" t="s">
        <v>259</v>
      </c>
      <c r="F372" s="9" t="s">
        <v>1457</v>
      </c>
    </row>
    <row r="373" spans="2:6">
      <c r="B373" s="8">
        <v>371</v>
      </c>
      <c r="C373" s="10">
        <v>86226</v>
      </c>
      <c r="D373" s="6" t="str">
        <f t="shared" si="5"/>
        <v>Seoul</v>
      </c>
      <c r="E373" s="9" t="s">
        <v>259</v>
      </c>
      <c r="F373" s="9" t="s">
        <v>1458</v>
      </c>
    </row>
    <row r="374" spans="2:6">
      <c r="B374" s="8">
        <v>372</v>
      </c>
      <c r="C374" s="10">
        <v>86225</v>
      </c>
      <c r="D374" s="6" t="str">
        <f t="shared" si="5"/>
        <v>Seoul</v>
      </c>
      <c r="E374" s="9" t="s">
        <v>259</v>
      </c>
      <c r="F374" s="9" t="s">
        <v>1459</v>
      </c>
    </row>
    <row r="375" spans="2:6">
      <c r="B375" s="8">
        <v>373</v>
      </c>
      <c r="C375" s="10">
        <v>33121</v>
      </c>
      <c r="D375" s="6" t="str">
        <f t="shared" si="5"/>
        <v>Seoul</v>
      </c>
      <c r="E375" s="9" t="s">
        <v>259</v>
      </c>
      <c r="F375" s="9" t="s">
        <v>1460</v>
      </c>
    </row>
    <row r="376" spans="2:6">
      <c r="B376" s="8">
        <v>374</v>
      </c>
      <c r="C376" s="10">
        <v>33403</v>
      </c>
      <c r="D376" s="6" t="str">
        <f t="shared" si="5"/>
        <v>Seoul</v>
      </c>
      <c r="E376" s="9" t="s">
        <v>259</v>
      </c>
      <c r="F376" s="9" t="s">
        <v>1461</v>
      </c>
    </row>
    <row r="377" spans="2:6">
      <c r="B377" s="8">
        <v>375</v>
      </c>
      <c r="C377" s="10">
        <v>36713</v>
      </c>
      <c r="D377" s="6" t="str">
        <f t="shared" si="5"/>
        <v>Seoul</v>
      </c>
      <c r="E377" s="9" t="s">
        <v>259</v>
      </c>
      <c r="F377" s="9" t="s">
        <v>1462</v>
      </c>
    </row>
    <row r="378" spans="2:6">
      <c r="B378" s="8">
        <v>376</v>
      </c>
      <c r="C378" s="10">
        <v>33422</v>
      </c>
      <c r="D378" s="6" t="str">
        <f t="shared" si="5"/>
        <v>Seoul</v>
      </c>
      <c r="E378" s="9" t="s">
        <v>259</v>
      </c>
      <c r="F378" s="9" t="s">
        <v>1463</v>
      </c>
    </row>
    <row r="379" spans="2:6">
      <c r="B379" s="8">
        <v>377</v>
      </c>
      <c r="C379" s="10">
        <v>36205</v>
      </c>
      <c r="D379" s="6" t="str">
        <f t="shared" si="5"/>
        <v>Seoul</v>
      </c>
      <c r="E379" s="9" t="s">
        <v>259</v>
      </c>
      <c r="F379" s="9" t="s">
        <v>1464</v>
      </c>
    </row>
    <row r="380" spans="2:6">
      <c r="B380" s="8">
        <v>378</v>
      </c>
      <c r="C380" s="10">
        <v>33435</v>
      </c>
      <c r="D380" s="6" t="str">
        <f t="shared" si="5"/>
        <v>Seoul</v>
      </c>
      <c r="E380" s="9" t="s">
        <v>259</v>
      </c>
      <c r="F380" s="9" t="s">
        <v>1465</v>
      </c>
    </row>
    <row r="381" spans="2:6">
      <c r="B381" s="8">
        <v>379</v>
      </c>
      <c r="C381" s="10">
        <v>33420</v>
      </c>
      <c r="D381" s="6" t="str">
        <f t="shared" si="5"/>
        <v>Seoul</v>
      </c>
      <c r="E381" s="9" t="s">
        <v>259</v>
      </c>
      <c r="F381" s="9" t="s">
        <v>1466</v>
      </c>
    </row>
    <row r="382" spans="2:6">
      <c r="B382" s="8">
        <v>380</v>
      </c>
      <c r="C382" s="10">
        <v>37601</v>
      </c>
      <c r="D382" s="6" t="str">
        <f t="shared" si="5"/>
        <v>Seoul</v>
      </c>
      <c r="E382" s="9" t="s">
        <v>259</v>
      </c>
      <c r="F382" s="9" t="s">
        <v>1467</v>
      </c>
    </row>
    <row r="383" spans="2:6">
      <c r="B383" s="8">
        <v>381</v>
      </c>
      <c r="C383" s="10">
        <v>33423</v>
      </c>
      <c r="D383" s="6" t="str">
        <f t="shared" si="5"/>
        <v>Seoul</v>
      </c>
      <c r="E383" s="9" t="s">
        <v>259</v>
      </c>
      <c r="F383" s="9" t="s">
        <v>1468</v>
      </c>
    </row>
    <row r="384" spans="2:6">
      <c r="B384" s="8">
        <v>382</v>
      </c>
      <c r="C384" s="10">
        <v>33119</v>
      </c>
      <c r="D384" s="6" t="str">
        <f t="shared" si="5"/>
        <v>Seoul</v>
      </c>
      <c r="E384" s="9" t="s">
        <v>259</v>
      </c>
      <c r="F384" s="9" t="s">
        <v>1469</v>
      </c>
    </row>
    <row r="385" spans="2:6">
      <c r="B385" s="8">
        <v>383</v>
      </c>
      <c r="C385" s="10">
        <v>33230</v>
      </c>
      <c r="D385" s="6" t="str">
        <f t="shared" si="5"/>
        <v>Seoul</v>
      </c>
      <c r="E385" s="9" t="s">
        <v>259</v>
      </c>
      <c r="F385" s="9" t="s">
        <v>1470</v>
      </c>
    </row>
    <row r="386" spans="2:6">
      <c r="B386" s="8">
        <v>384</v>
      </c>
      <c r="C386" s="10">
        <v>33229</v>
      </c>
      <c r="D386" s="6" t="str">
        <f t="shared" si="5"/>
        <v>Seoul</v>
      </c>
      <c r="E386" s="9" t="s">
        <v>259</v>
      </c>
      <c r="F386" s="9" t="s">
        <v>1471</v>
      </c>
    </row>
    <row r="387" spans="2:6">
      <c r="B387" s="8">
        <v>385</v>
      </c>
      <c r="C387" s="10">
        <v>33172</v>
      </c>
      <c r="D387" s="6" t="str">
        <f t="shared" si="5"/>
        <v>Seoul</v>
      </c>
      <c r="E387" s="9" t="s">
        <v>259</v>
      </c>
      <c r="F387" s="9" t="s">
        <v>1472</v>
      </c>
    </row>
    <row r="388" spans="2:6">
      <c r="B388" s="8">
        <v>386</v>
      </c>
      <c r="C388" s="10">
        <v>33233</v>
      </c>
      <c r="D388" s="6" t="str">
        <f t="shared" ref="D388:D451" si="6">IFERROR(VLOOKUP(E388,$H$3:$J$16,2,0),"")</f>
        <v>Seoul</v>
      </c>
      <c r="E388" s="9" t="s">
        <v>259</v>
      </c>
      <c r="F388" s="9" t="s">
        <v>1473</v>
      </c>
    </row>
    <row r="389" spans="2:6">
      <c r="B389" s="8">
        <v>387</v>
      </c>
      <c r="C389" s="10">
        <v>33180</v>
      </c>
      <c r="D389" s="6" t="str">
        <f t="shared" si="6"/>
        <v>Seoul</v>
      </c>
      <c r="E389" s="9" t="s">
        <v>259</v>
      </c>
      <c r="F389" s="9" t="s">
        <v>1474</v>
      </c>
    </row>
    <row r="390" spans="2:6">
      <c r="B390" s="8">
        <v>388</v>
      </c>
      <c r="C390" s="10">
        <v>33232</v>
      </c>
      <c r="D390" s="6" t="str">
        <f t="shared" si="6"/>
        <v>Seoul</v>
      </c>
      <c r="E390" s="9" t="s">
        <v>259</v>
      </c>
      <c r="F390" s="9" t="s">
        <v>1475</v>
      </c>
    </row>
    <row r="391" spans="2:6">
      <c r="B391" s="8">
        <v>389</v>
      </c>
      <c r="C391" s="10">
        <v>33237</v>
      </c>
      <c r="D391" s="6" t="str">
        <f t="shared" si="6"/>
        <v>Seoul</v>
      </c>
      <c r="E391" s="9" t="s">
        <v>259</v>
      </c>
      <c r="F391" s="9" t="s">
        <v>1476</v>
      </c>
    </row>
    <row r="392" spans="2:6">
      <c r="B392" s="8">
        <v>390</v>
      </c>
      <c r="C392" s="10">
        <v>33184</v>
      </c>
      <c r="D392" s="6" t="str">
        <f t="shared" si="6"/>
        <v>Seoul</v>
      </c>
      <c r="E392" s="9" t="s">
        <v>259</v>
      </c>
      <c r="F392" s="9" t="s">
        <v>1477</v>
      </c>
    </row>
    <row r="393" spans="2:6">
      <c r="B393" s="8">
        <v>391</v>
      </c>
      <c r="C393" s="10">
        <v>33082</v>
      </c>
      <c r="D393" s="6" t="str">
        <f t="shared" si="6"/>
        <v>Seoul</v>
      </c>
      <c r="E393" s="9" t="s">
        <v>91</v>
      </c>
      <c r="F393" s="9" t="s">
        <v>1478</v>
      </c>
    </row>
    <row r="394" spans="2:6">
      <c r="B394" s="8">
        <v>392</v>
      </c>
      <c r="C394" s="10">
        <v>33107</v>
      </c>
      <c r="D394" s="6" t="str">
        <f t="shared" si="6"/>
        <v>Seoul</v>
      </c>
      <c r="E394" s="9" t="s">
        <v>91</v>
      </c>
      <c r="F394" s="9" t="s">
        <v>1479</v>
      </c>
    </row>
    <row r="395" spans="2:6">
      <c r="B395" s="8">
        <v>393</v>
      </c>
      <c r="C395" s="10">
        <v>86340</v>
      </c>
      <c r="D395" s="6" t="str">
        <f t="shared" si="6"/>
        <v>Seoul</v>
      </c>
      <c r="E395" s="9" t="s">
        <v>259</v>
      </c>
      <c r="F395" s="9" t="s">
        <v>1480</v>
      </c>
    </row>
    <row r="396" spans="2:6">
      <c r="B396" s="8">
        <v>394</v>
      </c>
      <c r="C396" s="10">
        <v>86347</v>
      </c>
      <c r="D396" s="6" t="str">
        <f t="shared" si="6"/>
        <v>Seoul</v>
      </c>
      <c r="E396" s="9" t="s">
        <v>432</v>
      </c>
      <c r="F396" s="9" t="s">
        <v>1481</v>
      </c>
    </row>
    <row r="397" spans="2:6">
      <c r="B397" s="8">
        <v>395</v>
      </c>
      <c r="C397" s="10">
        <v>33434</v>
      </c>
      <c r="D397" s="6" t="str">
        <f t="shared" si="6"/>
        <v>Seoul</v>
      </c>
      <c r="E397" s="9" t="s">
        <v>259</v>
      </c>
      <c r="F397" s="9" t="s">
        <v>1482</v>
      </c>
    </row>
    <row r="398" spans="2:6">
      <c r="B398" s="8">
        <v>396</v>
      </c>
      <c r="C398" s="10">
        <v>86305</v>
      </c>
      <c r="D398" s="6" t="str">
        <f t="shared" si="6"/>
        <v>Seoul</v>
      </c>
      <c r="E398" s="9" t="s">
        <v>259</v>
      </c>
      <c r="F398" s="9" t="s">
        <v>1483</v>
      </c>
    </row>
    <row r="399" spans="2:6">
      <c r="B399" s="8">
        <v>397</v>
      </c>
      <c r="C399" s="10">
        <v>35173</v>
      </c>
      <c r="D399" s="6" t="str">
        <f t="shared" si="6"/>
        <v>Seoul</v>
      </c>
      <c r="E399" s="9" t="s">
        <v>259</v>
      </c>
      <c r="F399" s="9" t="s">
        <v>1484</v>
      </c>
    </row>
    <row r="400" spans="2:6">
      <c r="B400" s="8">
        <v>398</v>
      </c>
      <c r="C400" s="10">
        <v>36672</v>
      </c>
      <c r="D400" s="6" t="str">
        <f t="shared" si="6"/>
        <v>Seoul</v>
      </c>
      <c r="E400" s="9" t="s">
        <v>259</v>
      </c>
      <c r="F400" s="9" t="s">
        <v>1485</v>
      </c>
    </row>
    <row r="401" spans="2:6">
      <c r="B401" s="8">
        <v>399</v>
      </c>
      <c r="C401" s="10">
        <v>33426</v>
      </c>
      <c r="D401" s="6" t="str">
        <f t="shared" si="6"/>
        <v>Seoul</v>
      </c>
      <c r="E401" s="9" t="s">
        <v>259</v>
      </c>
      <c r="F401" s="9" t="s">
        <v>450</v>
      </c>
    </row>
    <row r="402" spans="2:6">
      <c r="B402" s="8">
        <v>400</v>
      </c>
      <c r="C402" s="10">
        <v>33424</v>
      </c>
      <c r="D402" s="6" t="str">
        <f t="shared" si="6"/>
        <v>Seoul</v>
      </c>
      <c r="E402" s="9" t="s">
        <v>259</v>
      </c>
      <c r="F402" s="9" t="s">
        <v>1486</v>
      </c>
    </row>
    <row r="403" spans="2:6">
      <c r="B403" s="8">
        <v>401</v>
      </c>
      <c r="C403" s="10">
        <v>33441</v>
      </c>
      <c r="D403" s="6" t="str">
        <f t="shared" si="6"/>
        <v>Seoul</v>
      </c>
      <c r="E403" s="9" t="s">
        <v>259</v>
      </c>
      <c r="F403" s="9" t="s">
        <v>1487</v>
      </c>
    </row>
    <row r="404" spans="2:6">
      <c r="B404" s="8">
        <v>402</v>
      </c>
      <c r="C404" s="10">
        <v>35622</v>
      </c>
      <c r="D404" s="6" t="str">
        <f t="shared" si="6"/>
        <v>Seoul</v>
      </c>
      <c r="E404" s="9" t="s">
        <v>259</v>
      </c>
      <c r="F404" s="9" t="s">
        <v>1488</v>
      </c>
    </row>
    <row r="405" spans="2:6">
      <c r="B405" s="8">
        <v>403</v>
      </c>
      <c r="C405" s="10">
        <v>33427</v>
      </c>
      <c r="D405" s="6" t="str">
        <f t="shared" si="6"/>
        <v>Seoul</v>
      </c>
      <c r="E405" s="9" t="s">
        <v>259</v>
      </c>
      <c r="F405" s="9" t="s">
        <v>1489</v>
      </c>
    </row>
    <row r="406" spans="2:6">
      <c r="B406" s="8">
        <v>404</v>
      </c>
      <c r="C406" s="10">
        <v>35964</v>
      </c>
      <c r="D406" s="6" t="str">
        <f t="shared" si="6"/>
        <v>Seoul</v>
      </c>
      <c r="E406" s="9" t="s">
        <v>259</v>
      </c>
      <c r="F406" s="9" t="s">
        <v>1490</v>
      </c>
    </row>
    <row r="407" spans="2:6">
      <c r="B407" s="8">
        <v>405</v>
      </c>
      <c r="C407" s="10">
        <v>33432</v>
      </c>
      <c r="D407" s="6" t="str">
        <f t="shared" si="6"/>
        <v>Seoul</v>
      </c>
      <c r="E407" s="9" t="s">
        <v>259</v>
      </c>
      <c r="F407" s="9" t="s">
        <v>1491</v>
      </c>
    </row>
    <row r="408" spans="2:6">
      <c r="B408" s="8">
        <v>406</v>
      </c>
      <c r="C408" s="10">
        <v>33438</v>
      </c>
      <c r="D408" s="6" t="str">
        <f t="shared" si="6"/>
        <v>Seoul</v>
      </c>
      <c r="E408" s="9" t="s">
        <v>259</v>
      </c>
      <c r="F408" s="9" t="s">
        <v>445</v>
      </c>
    </row>
    <row r="409" spans="2:6">
      <c r="B409" s="8">
        <v>407</v>
      </c>
      <c r="C409" s="10">
        <v>33437</v>
      </c>
      <c r="D409" s="6" t="str">
        <f t="shared" si="6"/>
        <v>Seoul</v>
      </c>
      <c r="E409" s="9" t="s">
        <v>259</v>
      </c>
      <c r="F409" s="9" t="s">
        <v>1492</v>
      </c>
    </row>
    <row r="410" spans="2:6">
      <c r="B410" s="8">
        <v>408</v>
      </c>
      <c r="C410" s="10">
        <v>33436</v>
      </c>
      <c r="D410" s="6" t="str">
        <f t="shared" si="6"/>
        <v>Seoul</v>
      </c>
      <c r="E410" s="9" t="s">
        <v>259</v>
      </c>
      <c r="F410" s="9" t="s">
        <v>1493</v>
      </c>
    </row>
    <row r="411" spans="2:6">
      <c r="B411" s="8">
        <v>409</v>
      </c>
      <c r="C411" s="10">
        <v>33431</v>
      </c>
      <c r="D411" s="6" t="str">
        <f t="shared" si="6"/>
        <v>Seoul</v>
      </c>
      <c r="E411" s="9" t="s">
        <v>259</v>
      </c>
      <c r="F411" s="9" t="s">
        <v>455</v>
      </c>
    </row>
    <row r="412" spans="2:6">
      <c r="B412" s="8">
        <v>410</v>
      </c>
      <c r="C412" s="10">
        <v>33439</v>
      </c>
      <c r="D412" s="6" t="str">
        <f t="shared" si="6"/>
        <v>Seoul</v>
      </c>
      <c r="E412" s="9" t="s">
        <v>259</v>
      </c>
      <c r="F412" s="9" t="s">
        <v>1494</v>
      </c>
    </row>
    <row r="413" spans="2:6">
      <c r="B413" s="8">
        <v>411</v>
      </c>
      <c r="C413" s="10">
        <v>33428</v>
      </c>
      <c r="D413" s="6" t="str">
        <f t="shared" si="6"/>
        <v>Seoul</v>
      </c>
      <c r="E413" s="9" t="s">
        <v>259</v>
      </c>
      <c r="F413" s="9" t="s">
        <v>1495</v>
      </c>
    </row>
    <row r="414" spans="2:6">
      <c r="B414" s="8">
        <v>412</v>
      </c>
      <c r="C414" s="10">
        <v>34416</v>
      </c>
      <c r="D414" s="6" t="str">
        <f t="shared" si="6"/>
        <v>Seoul</v>
      </c>
      <c r="E414" s="9" t="s">
        <v>259</v>
      </c>
      <c r="F414" s="9" t="s">
        <v>1496</v>
      </c>
    </row>
    <row r="415" spans="2:6">
      <c r="B415" s="8">
        <v>413</v>
      </c>
      <c r="C415" s="10">
        <v>33433</v>
      </c>
      <c r="D415" s="6" t="str">
        <f t="shared" si="6"/>
        <v>Seoul</v>
      </c>
      <c r="E415" s="9" t="s">
        <v>259</v>
      </c>
      <c r="F415" s="9" t="s">
        <v>458</v>
      </c>
    </row>
    <row r="416" spans="2:6">
      <c r="B416" s="8">
        <v>414</v>
      </c>
      <c r="C416" s="10">
        <v>33442</v>
      </c>
      <c r="D416" s="6" t="str">
        <f t="shared" si="6"/>
        <v>Seoul</v>
      </c>
      <c r="E416" s="9" t="s">
        <v>259</v>
      </c>
      <c r="F416" s="9" t="s">
        <v>1497</v>
      </c>
    </row>
    <row r="417" spans="2:6">
      <c r="B417" s="8">
        <v>415</v>
      </c>
      <c r="C417" s="10">
        <v>37904</v>
      </c>
      <c r="D417" s="6" t="str">
        <f t="shared" si="6"/>
        <v>Seoul</v>
      </c>
      <c r="E417" s="9" t="s">
        <v>259</v>
      </c>
      <c r="F417" s="9" t="s">
        <v>1498</v>
      </c>
    </row>
    <row r="418" spans="2:6">
      <c r="B418" s="8">
        <v>416</v>
      </c>
      <c r="C418" s="10">
        <v>33429</v>
      </c>
      <c r="D418" s="6" t="str">
        <f t="shared" si="6"/>
        <v>Seoul</v>
      </c>
      <c r="E418" s="9" t="s">
        <v>259</v>
      </c>
      <c r="F418" s="9" t="s">
        <v>1499</v>
      </c>
    </row>
    <row r="419" spans="2:6">
      <c r="B419" s="8">
        <v>417</v>
      </c>
      <c r="C419" s="10">
        <v>33065</v>
      </c>
      <c r="D419" s="6" t="str">
        <f t="shared" si="6"/>
        <v>Seoul</v>
      </c>
      <c r="E419" s="9" t="s">
        <v>993</v>
      </c>
      <c r="F419" s="9" t="s">
        <v>74</v>
      </c>
    </row>
    <row r="420" spans="2:6">
      <c r="B420" s="8">
        <v>418</v>
      </c>
      <c r="C420" s="10">
        <v>84130</v>
      </c>
      <c r="D420" s="6" t="str">
        <f t="shared" si="6"/>
        <v>Seoul</v>
      </c>
      <c r="E420" s="9" t="s">
        <v>993</v>
      </c>
      <c r="F420" s="9" t="s">
        <v>1500</v>
      </c>
    </row>
    <row r="421" spans="2:6">
      <c r="B421" s="8">
        <v>419</v>
      </c>
      <c r="C421" s="10">
        <v>33126</v>
      </c>
      <c r="D421" s="6" t="str">
        <f t="shared" si="6"/>
        <v>Seoul</v>
      </c>
      <c r="E421" s="9" t="s">
        <v>993</v>
      </c>
      <c r="F421" s="9" t="s">
        <v>33</v>
      </c>
    </row>
    <row r="422" spans="2:6">
      <c r="B422" s="8">
        <v>420</v>
      </c>
      <c r="C422" s="10">
        <v>33239</v>
      </c>
      <c r="D422" s="6" t="str">
        <f t="shared" si="6"/>
        <v>Seoul</v>
      </c>
      <c r="E422" s="9" t="s">
        <v>109</v>
      </c>
      <c r="F422" s="9" t="s">
        <v>28</v>
      </c>
    </row>
    <row r="423" spans="2:6">
      <c r="B423" s="8">
        <v>421</v>
      </c>
      <c r="C423" s="10">
        <v>33161</v>
      </c>
      <c r="D423" s="6" t="str">
        <f t="shared" si="6"/>
        <v>Seoul</v>
      </c>
      <c r="E423" s="9" t="s">
        <v>109</v>
      </c>
      <c r="F423" s="9" t="s">
        <v>24</v>
      </c>
    </row>
    <row r="424" spans="2:6">
      <c r="B424" s="8">
        <v>422</v>
      </c>
      <c r="C424" s="10">
        <v>33164</v>
      </c>
      <c r="D424" s="6" t="str">
        <f t="shared" si="6"/>
        <v>Seoul</v>
      </c>
      <c r="E424" s="9" t="s">
        <v>109</v>
      </c>
      <c r="F424" s="9" t="s">
        <v>1501</v>
      </c>
    </row>
    <row r="425" spans="2:6">
      <c r="B425" s="8">
        <v>423</v>
      </c>
      <c r="C425" s="10">
        <v>33169</v>
      </c>
      <c r="D425" s="6" t="str">
        <f t="shared" si="6"/>
        <v>Seoul</v>
      </c>
      <c r="E425" s="9" t="s">
        <v>109</v>
      </c>
      <c r="F425" s="9" t="s">
        <v>1502</v>
      </c>
    </row>
    <row r="426" spans="2:6">
      <c r="B426" s="8">
        <v>424</v>
      </c>
      <c r="C426" s="10">
        <v>33162</v>
      </c>
      <c r="D426" s="6" t="str">
        <f t="shared" si="6"/>
        <v>Seoul</v>
      </c>
      <c r="E426" s="9" t="s">
        <v>109</v>
      </c>
      <c r="F426" s="9" t="s">
        <v>1503</v>
      </c>
    </row>
    <row r="427" spans="2:6">
      <c r="B427" s="8">
        <v>425</v>
      </c>
      <c r="C427" s="10">
        <v>33118</v>
      </c>
      <c r="D427" s="6" t="str">
        <f t="shared" si="6"/>
        <v>Seoul</v>
      </c>
      <c r="E427" s="9" t="s">
        <v>109</v>
      </c>
      <c r="F427" s="9" t="s">
        <v>1504</v>
      </c>
    </row>
    <row r="428" spans="2:6">
      <c r="B428" s="8">
        <v>426</v>
      </c>
      <c r="C428" s="10">
        <v>80475</v>
      </c>
      <c r="D428" s="6" t="str">
        <f t="shared" si="6"/>
        <v>Seoul</v>
      </c>
      <c r="E428" s="9" t="s">
        <v>109</v>
      </c>
      <c r="F428" s="9" t="s">
        <v>19</v>
      </c>
    </row>
    <row r="429" spans="2:6">
      <c r="B429" s="8">
        <v>427</v>
      </c>
      <c r="C429" s="10">
        <v>39846</v>
      </c>
      <c r="D429" s="6" t="str">
        <f t="shared" si="6"/>
        <v>Seoul</v>
      </c>
      <c r="E429" s="9" t="s">
        <v>109</v>
      </c>
      <c r="F429" s="9" t="s">
        <v>1505</v>
      </c>
    </row>
    <row r="430" spans="2:6">
      <c r="B430" s="8">
        <v>428</v>
      </c>
      <c r="C430" s="10">
        <v>33116</v>
      </c>
      <c r="D430" s="6" t="str">
        <f t="shared" si="6"/>
        <v>Seoul</v>
      </c>
      <c r="E430" s="9" t="s">
        <v>109</v>
      </c>
      <c r="F430" s="9" t="s">
        <v>99</v>
      </c>
    </row>
    <row r="431" spans="2:6">
      <c r="B431" s="8">
        <v>429</v>
      </c>
      <c r="C431" s="10">
        <v>86322</v>
      </c>
      <c r="D431" s="6" t="str">
        <f t="shared" si="6"/>
        <v>Seoul</v>
      </c>
      <c r="E431" s="9" t="s">
        <v>993</v>
      </c>
      <c r="F431" s="9" t="s">
        <v>1506</v>
      </c>
    </row>
    <row r="432" spans="2:6">
      <c r="B432" s="8">
        <v>430</v>
      </c>
      <c r="C432" s="10">
        <v>33603</v>
      </c>
      <c r="D432" s="6" t="str">
        <f t="shared" si="6"/>
        <v>Busan</v>
      </c>
      <c r="E432" s="9" t="s">
        <v>1507</v>
      </c>
      <c r="F432" s="9" t="s">
        <v>1508</v>
      </c>
    </row>
    <row r="433" spans="2:6">
      <c r="B433" s="8">
        <v>431</v>
      </c>
      <c r="C433" s="10">
        <v>33615</v>
      </c>
      <c r="D433" s="6" t="str">
        <f t="shared" si="6"/>
        <v>Busan</v>
      </c>
      <c r="E433" s="9" t="s">
        <v>1507</v>
      </c>
      <c r="F433" s="9" t="s">
        <v>1509</v>
      </c>
    </row>
    <row r="434" spans="2:6">
      <c r="B434" s="8">
        <v>432</v>
      </c>
      <c r="C434" s="10">
        <v>33621</v>
      </c>
      <c r="D434" s="6" t="str">
        <f t="shared" si="6"/>
        <v>Busan</v>
      </c>
      <c r="E434" s="9" t="s">
        <v>1507</v>
      </c>
      <c r="F434" s="9" t="s">
        <v>1510</v>
      </c>
    </row>
    <row r="435" spans="2:6">
      <c r="B435" s="8">
        <v>433</v>
      </c>
      <c r="C435" s="10">
        <v>33628</v>
      </c>
      <c r="D435" s="6" t="str">
        <f t="shared" si="6"/>
        <v>Busan</v>
      </c>
      <c r="E435" s="9" t="s">
        <v>1507</v>
      </c>
      <c r="F435" s="9" t="s">
        <v>1511</v>
      </c>
    </row>
    <row r="436" spans="2:6">
      <c r="B436" s="8">
        <v>434</v>
      </c>
      <c r="C436" s="10">
        <v>33627</v>
      </c>
      <c r="D436" s="6" t="str">
        <f t="shared" si="6"/>
        <v>Busan</v>
      </c>
      <c r="E436" s="9" t="s">
        <v>1507</v>
      </c>
      <c r="F436" s="9" t="s">
        <v>1512</v>
      </c>
    </row>
    <row r="437" spans="2:6">
      <c r="B437" s="8">
        <v>435</v>
      </c>
      <c r="C437" s="10">
        <v>33634</v>
      </c>
      <c r="D437" s="6" t="str">
        <f t="shared" si="6"/>
        <v>Busan</v>
      </c>
      <c r="E437" s="9" t="s">
        <v>1507</v>
      </c>
      <c r="F437" s="9" t="s">
        <v>1513</v>
      </c>
    </row>
    <row r="438" spans="2:6">
      <c r="B438" s="8">
        <v>436</v>
      </c>
      <c r="C438" s="10">
        <v>33595</v>
      </c>
      <c r="D438" s="6" t="str">
        <f t="shared" si="6"/>
        <v>Busan</v>
      </c>
      <c r="E438" s="9" t="s">
        <v>1507</v>
      </c>
      <c r="F438" s="9" t="s">
        <v>1514</v>
      </c>
    </row>
    <row r="439" spans="2:6">
      <c r="B439" s="8">
        <v>437</v>
      </c>
      <c r="C439" s="10">
        <v>34284</v>
      </c>
      <c r="D439" s="6" t="str">
        <f t="shared" si="6"/>
        <v>Busan</v>
      </c>
      <c r="E439" s="9" t="s">
        <v>1507</v>
      </c>
      <c r="F439" s="9" t="s">
        <v>1515</v>
      </c>
    </row>
    <row r="440" spans="2:6">
      <c r="B440" s="8">
        <v>438</v>
      </c>
      <c r="C440" s="10">
        <v>33596</v>
      </c>
      <c r="D440" s="6" t="str">
        <f t="shared" si="6"/>
        <v>Busan</v>
      </c>
      <c r="E440" s="9" t="s">
        <v>1507</v>
      </c>
      <c r="F440" s="9" t="s">
        <v>1516</v>
      </c>
    </row>
    <row r="441" spans="2:6">
      <c r="B441" s="8">
        <v>439</v>
      </c>
      <c r="C441" s="10">
        <v>33802</v>
      </c>
      <c r="D441" s="6" t="str">
        <f t="shared" si="6"/>
        <v>Busan</v>
      </c>
      <c r="E441" s="9" t="s">
        <v>1507</v>
      </c>
      <c r="F441" s="9" t="s">
        <v>1517</v>
      </c>
    </row>
    <row r="442" spans="2:6">
      <c r="B442" s="8">
        <v>440</v>
      </c>
      <c r="C442" s="10">
        <v>33646</v>
      </c>
      <c r="D442" s="6" t="str">
        <f t="shared" si="6"/>
        <v>Busan</v>
      </c>
      <c r="E442" s="9" t="s">
        <v>1507</v>
      </c>
      <c r="F442" s="9" t="s">
        <v>1518</v>
      </c>
    </row>
    <row r="443" spans="2:6">
      <c r="B443" s="8">
        <v>441</v>
      </c>
      <c r="C443" s="10">
        <v>33608</v>
      </c>
      <c r="D443" s="6" t="str">
        <f t="shared" si="6"/>
        <v>Busan</v>
      </c>
      <c r="E443" s="9" t="s">
        <v>1507</v>
      </c>
      <c r="F443" s="9" t="s">
        <v>1519</v>
      </c>
    </row>
    <row r="444" spans="2:6">
      <c r="B444" s="8">
        <v>442</v>
      </c>
      <c r="C444" s="10">
        <v>33851</v>
      </c>
      <c r="D444" s="6" t="str">
        <f t="shared" si="6"/>
        <v>Busan</v>
      </c>
      <c r="E444" s="9" t="s">
        <v>1507</v>
      </c>
      <c r="F444" s="9" t="s">
        <v>1520</v>
      </c>
    </row>
    <row r="445" spans="2:6">
      <c r="B445" s="8">
        <v>443</v>
      </c>
      <c r="C445" s="10">
        <v>81896</v>
      </c>
      <c r="D445" s="6" t="str">
        <f t="shared" si="6"/>
        <v>Busan</v>
      </c>
      <c r="E445" s="9" t="s">
        <v>1507</v>
      </c>
      <c r="F445" s="9" t="s">
        <v>1521</v>
      </c>
    </row>
    <row r="446" spans="2:6">
      <c r="B446" s="8">
        <v>444</v>
      </c>
      <c r="C446" s="10">
        <v>33831</v>
      </c>
      <c r="D446" s="6" t="str">
        <f t="shared" si="6"/>
        <v>Busan</v>
      </c>
      <c r="E446" s="9" t="s">
        <v>1507</v>
      </c>
      <c r="F446" s="9" t="s">
        <v>1522</v>
      </c>
    </row>
    <row r="447" spans="2:6">
      <c r="B447" s="8">
        <v>445</v>
      </c>
      <c r="C447" s="10">
        <v>33872</v>
      </c>
      <c r="D447" s="6" t="str">
        <f t="shared" si="6"/>
        <v>Busan</v>
      </c>
      <c r="E447" s="9" t="s">
        <v>1507</v>
      </c>
      <c r="F447" s="9" t="s">
        <v>1523</v>
      </c>
    </row>
    <row r="448" spans="2:6">
      <c r="B448" s="8">
        <v>446</v>
      </c>
      <c r="C448" s="10">
        <v>33625</v>
      </c>
      <c r="D448" s="6" t="str">
        <f t="shared" si="6"/>
        <v>Busan</v>
      </c>
      <c r="E448" s="9" t="s">
        <v>1507</v>
      </c>
      <c r="F448" s="9" t="s">
        <v>1524</v>
      </c>
    </row>
    <row r="449" spans="2:6">
      <c r="B449" s="8">
        <v>447</v>
      </c>
      <c r="C449" s="10">
        <v>33632</v>
      </c>
      <c r="D449" s="6" t="str">
        <f t="shared" si="6"/>
        <v>Busan</v>
      </c>
      <c r="E449" s="9" t="s">
        <v>1507</v>
      </c>
      <c r="F449" s="9" t="s">
        <v>1525</v>
      </c>
    </row>
    <row r="450" spans="2:6">
      <c r="B450" s="8">
        <v>448</v>
      </c>
      <c r="C450" s="10">
        <v>33597</v>
      </c>
      <c r="D450" s="6" t="str">
        <f t="shared" si="6"/>
        <v>Busan</v>
      </c>
      <c r="E450" s="9" t="s">
        <v>1507</v>
      </c>
      <c r="F450" s="9" t="s">
        <v>1526</v>
      </c>
    </row>
    <row r="451" spans="2:6">
      <c r="B451" s="8">
        <v>449</v>
      </c>
      <c r="C451" s="10">
        <v>33658</v>
      </c>
      <c r="D451" s="6" t="str">
        <f t="shared" si="6"/>
        <v>Busan</v>
      </c>
      <c r="E451" s="9" t="s">
        <v>1507</v>
      </c>
      <c r="F451" s="9" t="s">
        <v>1527</v>
      </c>
    </row>
    <row r="452" spans="2:6">
      <c r="B452" s="8">
        <v>450</v>
      </c>
      <c r="C452" s="10">
        <v>33804</v>
      </c>
      <c r="D452" s="6" t="str">
        <f t="shared" ref="D452:D515" si="7">IFERROR(VLOOKUP(E452,$H$3:$J$16,2,0),"")</f>
        <v>Busan</v>
      </c>
      <c r="E452" s="9" t="s">
        <v>1507</v>
      </c>
      <c r="F452" s="9" t="s">
        <v>1528</v>
      </c>
    </row>
    <row r="453" spans="2:6">
      <c r="B453" s="8">
        <v>451</v>
      </c>
      <c r="C453" s="10">
        <v>33832</v>
      </c>
      <c r="D453" s="6" t="str">
        <f t="shared" si="7"/>
        <v>Busan</v>
      </c>
      <c r="E453" s="9" t="s">
        <v>1507</v>
      </c>
      <c r="F453" s="9" t="s">
        <v>1529</v>
      </c>
    </row>
    <row r="454" spans="2:6">
      <c r="B454" s="8">
        <v>452</v>
      </c>
      <c r="C454" s="10">
        <v>33651</v>
      </c>
      <c r="D454" s="6" t="str">
        <f t="shared" si="7"/>
        <v>Busan</v>
      </c>
      <c r="E454" s="9" t="s">
        <v>1507</v>
      </c>
      <c r="F454" s="9" t="s">
        <v>1530</v>
      </c>
    </row>
    <row r="455" spans="2:6">
      <c r="B455" s="8">
        <v>453</v>
      </c>
      <c r="C455" s="10">
        <v>33601</v>
      </c>
      <c r="D455" s="6" t="str">
        <f t="shared" si="7"/>
        <v>Busan</v>
      </c>
      <c r="E455" s="9" t="s">
        <v>1507</v>
      </c>
      <c r="F455" s="9" t="s">
        <v>1531</v>
      </c>
    </row>
    <row r="456" spans="2:6">
      <c r="B456" s="8">
        <v>454</v>
      </c>
      <c r="C456" s="10">
        <v>33622</v>
      </c>
      <c r="D456" s="6" t="str">
        <f t="shared" si="7"/>
        <v>Busan</v>
      </c>
      <c r="E456" s="9" t="s">
        <v>1507</v>
      </c>
      <c r="F456" s="9" t="s">
        <v>1532</v>
      </c>
    </row>
    <row r="457" spans="2:6">
      <c r="B457" s="8">
        <v>455</v>
      </c>
      <c r="C457" s="10">
        <v>33803</v>
      </c>
      <c r="D457" s="6" t="str">
        <f t="shared" si="7"/>
        <v>Busan</v>
      </c>
      <c r="E457" s="9" t="s">
        <v>1507</v>
      </c>
      <c r="F457" s="9" t="s">
        <v>1533</v>
      </c>
    </row>
    <row r="458" spans="2:6">
      <c r="B458" s="8">
        <v>456</v>
      </c>
      <c r="C458" s="10">
        <v>33635</v>
      </c>
      <c r="D458" s="6" t="str">
        <f t="shared" si="7"/>
        <v>Busan</v>
      </c>
      <c r="E458" s="9" t="s">
        <v>1507</v>
      </c>
      <c r="F458" s="9" t="s">
        <v>1534</v>
      </c>
    </row>
    <row r="459" spans="2:6">
      <c r="B459" s="8">
        <v>457</v>
      </c>
      <c r="C459" s="10">
        <v>33626</v>
      </c>
      <c r="D459" s="6" t="str">
        <f t="shared" si="7"/>
        <v>Busan</v>
      </c>
      <c r="E459" s="9" t="s">
        <v>1507</v>
      </c>
      <c r="F459" s="9" t="s">
        <v>1535</v>
      </c>
    </row>
    <row r="460" spans="2:6">
      <c r="B460" s="8">
        <v>458</v>
      </c>
      <c r="C460" s="10">
        <v>33642</v>
      </c>
      <c r="D460" s="6" t="str">
        <f t="shared" si="7"/>
        <v>Busan</v>
      </c>
      <c r="E460" s="9" t="s">
        <v>1507</v>
      </c>
      <c r="F460" s="9" t="s">
        <v>1536</v>
      </c>
    </row>
    <row r="461" spans="2:6">
      <c r="B461" s="8">
        <v>459</v>
      </c>
      <c r="C461" s="10">
        <v>33618</v>
      </c>
      <c r="D461" s="6" t="str">
        <f t="shared" si="7"/>
        <v>Busan</v>
      </c>
      <c r="E461" s="9" t="s">
        <v>1507</v>
      </c>
      <c r="F461" s="9" t="s">
        <v>1537</v>
      </c>
    </row>
    <row r="462" spans="2:6">
      <c r="B462" s="8">
        <v>460</v>
      </c>
      <c r="C462" s="10">
        <v>33600</v>
      </c>
      <c r="D462" s="6" t="str">
        <f t="shared" si="7"/>
        <v>Busan</v>
      </c>
      <c r="E462" s="9" t="s">
        <v>1507</v>
      </c>
      <c r="F462" s="9" t="s">
        <v>1538</v>
      </c>
    </row>
    <row r="463" spans="2:6">
      <c r="B463" s="8">
        <v>461</v>
      </c>
      <c r="C463" s="10">
        <v>33852</v>
      </c>
      <c r="D463" s="6" t="str">
        <f t="shared" si="7"/>
        <v>Busan</v>
      </c>
      <c r="E463" s="9" t="s">
        <v>1507</v>
      </c>
      <c r="F463" s="9" t="s">
        <v>1539</v>
      </c>
    </row>
    <row r="464" spans="2:6">
      <c r="B464" s="8">
        <v>462</v>
      </c>
      <c r="C464" s="10">
        <v>33849</v>
      </c>
      <c r="D464" s="6" t="str">
        <f t="shared" si="7"/>
        <v>Busan</v>
      </c>
      <c r="E464" s="9" t="s">
        <v>1507</v>
      </c>
      <c r="F464" s="9" t="s">
        <v>1540</v>
      </c>
    </row>
    <row r="465" spans="2:6">
      <c r="B465" s="8">
        <v>463</v>
      </c>
      <c r="C465" s="10">
        <v>33645</v>
      </c>
      <c r="D465" s="6" t="str">
        <f t="shared" si="7"/>
        <v>Busan</v>
      </c>
      <c r="E465" s="9" t="s">
        <v>1507</v>
      </c>
      <c r="F465" s="9" t="s">
        <v>1541</v>
      </c>
    </row>
    <row r="466" spans="2:6">
      <c r="B466" s="8">
        <v>464</v>
      </c>
      <c r="C466" s="10">
        <v>33613</v>
      </c>
      <c r="D466" s="6" t="str">
        <f t="shared" si="7"/>
        <v>Busan</v>
      </c>
      <c r="E466" s="9" t="s">
        <v>1507</v>
      </c>
      <c r="F466" s="9" t="s">
        <v>1542</v>
      </c>
    </row>
    <row r="467" spans="2:6">
      <c r="B467" s="8">
        <v>465</v>
      </c>
      <c r="C467" s="10">
        <v>33610</v>
      </c>
      <c r="D467" s="6" t="str">
        <f t="shared" si="7"/>
        <v>Busan</v>
      </c>
      <c r="E467" s="9" t="s">
        <v>1507</v>
      </c>
      <c r="F467" s="9" t="s">
        <v>1543</v>
      </c>
    </row>
    <row r="468" spans="2:6">
      <c r="B468" s="8">
        <v>466</v>
      </c>
      <c r="C468" s="10">
        <v>33853</v>
      </c>
      <c r="D468" s="6" t="str">
        <f t="shared" si="7"/>
        <v>Busan</v>
      </c>
      <c r="E468" s="9" t="s">
        <v>1507</v>
      </c>
      <c r="F468" s="9" t="s">
        <v>1544</v>
      </c>
    </row>
    <row r="469" spans="2:6">
      <c r="B469" s="8">
        <v>467</v>
      </c>
      <c r="C469" s="10">
        <v>33856</v>
      </c>
      <c r="D469" s="6" t="str">
        <f t="shared" si="7"/>
        <v>Busan</v>
      </c>
      <c r="E469" s="9" t="s">
        <v>1507</v>
      </c>
      <c r="F469" s="9" t="s">
        <v>1545</v>
      </c>
    </row>
    <row r="470" spans="2:6">
      <c r="B470" s="8">
        <v>468</v>
      </c>
      <c r="C470" s="10">
        <v>33871</v>
      </c>
      <c r="D470" s="6" t="str">
        <f t="shared" si="7"/>
        <v>Busan</v>
      </c>
      <c r="E470" s="9" t="s">
        <v>1507</v>
      </c>
      <c r="F470" s="9" t="s">
        <v>1546</v>
      </c>
    </row>
    <row r="471" spans="2:6">
      <c r="B471" s="8">
        <v>469</v>
      </c>
      <c r="C471" s="10">
        <v>33641</v>
      </c>
      <c r="D471" s="6" t="str">
        <f t="shared" si="7"/>
        <v>Busan</v>
      </c>
      <c r="E471" s="9" t="s">
        <v>1507</v>
      </c>
      <c r="F471" s="9" t="s">
        <v>1547</v>
      </c>
    </row>
    <row r="472" spans="2:6">
      <c r="B472" s="8">
        <v>470</v>
      </c>
      <c r="C472" s="10">
        <v>33598</v>
      </c>
      <c r="D472" s="6" t="str">
        <f t="shared" si="7"/>
        <v>Busan</v>
      </c>
      <c r="E472" s="9" t="s">
        <v>1507</v>
      </c>
      <c r="F472" s="9" t="s">
        <v>1548</v>
      </c>
    </row>
    <row r="473" spans="2:6">
      <c r="B473" s="8">
        <v>471</v>
      </c>
      <c r="C473" s="10">
        <v>33870</v>
      </c>
      <c r="D473" s="6" t="str">
        <f t="shared" si="7"/>
        <v>Busan</v>
      </c>
      <c r="E473" s="9" t="s">
        <v>1507</v>
      </c>
      <c r="F473" s="9" t="s">
        <v>1549</v>
      </c>
    </row>
    <row r="474" spans="2:6">
      <c r="B474" s="8">
        <v>472</v>
      </c>
      <c r="C474" s="10">
        <v>33655</v>
      </c>
      <c r="D474" s="6" t="str">
        <f t="shared" si="7"/>
        <v>Busan</v>
      </c>
      <c r="E474" s="9" t="s">
        <v>1507</v>
      </c>
      <c r="F474" s="9" t="s">
        <v>1550</v>
      </c>
    </row>
    <row r="475" spans="2:6">
      <c r="B475" s="8">
        <v>473</v>
      </c>
      <c r="C475" s="10">
        <v>33854</v>
      </c>
      <c r="D475" s="6" t="str">
        <f t="shared" si="7"/>
        <v>Busan</v>
      </c>
      <c r="E475" s="9" t="s">
        <v>1507</v>
      </c>
      <c r="F475" s="9" t="s">
        <v>1551</v>
      </c>
    </row>
    <row r="476" spans="2:6">
      <c r="B476" s="8">
        <v>474</v>
      </c>
      <c r="C476" s="10">
        <v>33612</v>
      </c>
      <c r="D476" s="6" t="str">
        <f t="shared" si="7"/>
        <v>Busan</v>
      </c>
      <c r="E476" s="9" t="s">
        <v>1507</v>
      </c>
      <c r="F476" s="9" t="s">
        <v>1552</v>
      </c>
    </row>
    <row r="477" spans="2:6">
      <c r="B477" s="8">
        <v>475</v>
      </c>
      <c r="C477" s="10">
        <v>33840</v>
      </c>
      <c r="D477" s="6" t="str">
        <f t="shared" si="7"/>
        <v>Busan</v>
      </c>
      <c r="E477" s="9" t="s">
        <v>1507</v>
      </c>
      <c r="F477" s="9" t="s">
        <v>1553</v>
      </c>
    </row>
    <row r="478" spans="2:6">
      <c r="B478" s="8">
        <v>476</v>
      </c>
      <c r="C478" s="10">
        <v>33860</v>
      </c>
      <c r="D478" s="6" t="str">
        <f t="shared" si="7"/>
        <v>Busan</v>
      </c>
      <c r="E478" s="9" t="s">
        <v>1507</v>
      </c>
      <c r="F478" s="9" t="s">
        <v>1554</v>
      </c>
    </row>
    <row r="479" spans="2:6">
      <c r="B479" s="8">
        <v>477</v>
      </c>
      <c r="C479" s="10">
        <v>33834</v>
      </c>
      <c r="D479" s="6" t="str">
        <f t="shared" si="7"/>
        <v>Busan</v>
      </c>
      <c r="E479" s="9" t="s">
        <v>1507</v>
      </c>
      <c r="F479" s="9" t="s">
        <v>1555</v>
      </c>
    </row>
    <row r="480" spans="2:6">
      <c r="B480" s="8">
        <v>478</v>
      </c>
      <c r="C480" s="10">
        <v>35142</v>
      </c>
      <c r="D480" s="6" t="str">
        <f t="shared" si="7"/>
        <v>Busan</v>
      </c>
      <c r="E480" s="9" t="s">
        <v>1507</v>
      </c>
      <c r="F480" s="9" t="s">
        <v>1556</v>
      </c>
    </row>
    <row r="481" spans="2:6">
      <c r="B481" s="8">
        <v>479</v>
      </c>
      <c r="C481" s="10">
        <v>34948</v>
      </c>
      <c r="D481" s="6" t="str">
        <f t="shared" si="7"/>
        <v>Busan</v>
      </c>
      <c r="E481" s="9" t="s">
        <v>1507</v>
      </c>
      <c r="F481" s="9" t="s">
        <v>1557</v>
      </c>
    </row>
    <row r="482" spans="2:6">
      <c r="B482" s="8">
        <v>480</v>
      </c>
      <c r="C482" s="10">
        <v>35310</v>
      </c>
      <c r="D482" s="6" t="str">
        <f t="shared" si="7"/>
        <v>Busan</v>
      </c>
      <c r="E482" s="9" t="s">
        <v>1507</v>
      </c>
      <c r="F482" s="9" t="s">
        <v>1558</v>
      </c>
    </row>
    <row r="483" spans="2:6">
      <c r="B483" s="8">
        <v>481</v>
      </c>
      <c r="C483" s="10">
        <v>35639</v>
      </c>
      <c r="D483" s="6" t="str">
        <f t="shared" si="7"/>
        <v>Busan</v>
      </c>
      <c r="E483" s="9" t="s">
        <v>1507</v>
      </c>
      <c r="F483" s="9" t="s">
        <v>1559</v>
      </c>
    </row>
    <row r="484" spans="2:6">
      <c r="B484" s="8">
        <v>482</v>
      </c>
      <c r="C484" s="10">
        <v>33869</v>
      </c>
      <c r="D484" s="6" t="str">
        <f t="shared" si="7"/>
        <v>Busan</v>
      </c>
      <c r="E484" s="9" t="s">
        <v>1507</v>
      </c>
      <c r="F484" s="9" t="s">
        <v>1560</v>
      </c>
    </row>
    <row r="485" spans="2:6">
      <c r="B485" s="8">
        <v>483</v>
      </c>
      <c r="C485" s="10">
        <v>33836</v>
      </c>
      <c r="D485" s="6" t="str">
        <f t="shared" si="7"/>
        <v>Busan</v>
      </c>
      <c r="E485" s="9" t="s">
        <v>1507</v>
      </c>
      <c r="F485" s="9" t="s">
        <v>1561</v>
      </c>
    </row>
    <row r="486" spans="2:6">
      <c r="B486" s="8">
        <v>484</v>
      </c>
      <c r="C486" s="10">
        <v>33855</v>
      </c>
      <c r="D486" s="6" t="str">
        <f t="shared" si="7"/>
        <v>Busan</v>
      </c>
      <c r="E486" s="9" t="s">
        <v>1507</v>
      </c>
      <c r="F486" s="9" t="s">
        <v>1562</v>
      </c>
    </row>
    <row r="487" spans="2:6">
      <c r="B487" s="8">
        <v>485</v>
      </c>
      <c r="C487" s="10">
        <v>33637</v>
      </c>
      <c r="D487" s="6" t="str">
        <f t="shared" si="7"/>
        <v>Busan</v>
      </c>
      <c r="E487" s="9" t="s">
        <v>1507</v>
      </c>
      <c r="F487" s="9" t="s">
        <v>1563</v>
      </c>
    </row>
    <row r="488" spans="2:6">
      <c r="B488" s="8">
        <v>486</v>
      </c>
      <c r="C488" s="10">
        <v>33866</v>
      </c>
      <c r="D488" s="6" t="str">
        <f t="shared" si="7"/>
        <v>Busan</v>
      </c>
      <c r="E488" s="9" t="s">
        <v>1507</v>
      </c>
      <c r="F488" s="9" t="s">
        <v>1564</v>
      </c>
    </row>
    <row r="489" spans="2:6">
      <c r="B489" s="8">
        <v>487</v>
      </c>
      <c r="C489" s="10">
        <v>33805</v>
      </c>
      <c r="D489" s="6" t="str">
        <f t="shared" si="7"/>
        <v>Busan</v>
      </c>
      <c r="E489" s="9" t="s">
        <v>1507</v>
      </c>
      <c r="F489" s="9" t="s">
        <v>1565</v>
      </c>
    </row>
    <row r="490" spans="2:6">
      <c r="B490" s="8">
        <v>488</v>
      </c>
      <c r="C490" s="10">
        <v>35476</v>
      </c>
      <c r="D490" s="6" t="str">
        <f t="shared" si="7"/>
        <v>Busan</v>
      </c>
      <c r="E490" s="9" t="s">
        <v>1507</v>
      </c>
      <c r="F490" s="9" t="s">
        <v>1566</v>
      </c>
    </row>
    <row r="491" spans="2:6">
      <c r="B491" s="8">
        <v>489</v>
      </c>
      <c r="C491" s="10">
        <v>34817</v>
      </c>
      <c r="D491" s="6" t="str">
        <f t="shared" si="7"/>
        <v>Busan</v>
      </c>
      <c r="E491" s="9" t="s">
        <v>1507</v>
      </c>
      <c r="F491" s="9" t="s">
        <v>1567</v>
      </c>
    </row>
    <row r="492" spans="2:6">
      <c r="B492" s="8">
        <v>490</v>
      </c>
      <c r="C492" s="10">
        <v>33609</v>
      </c>
      <c r="D492" s="6" t="str">
        <f t="shared" si="7"/>
        <v>Busan</v>
      </c>
      <c r="E492" s="9" t="s">
        <v>1507</v>
      </c>
      <c r="F492" s="9" t="s">
        <v>1568</v>
      </c>
    </row>
    <row r="493" spans="2:6">
      <c r="B493" s="8">
        <v>491</v>
      </c>
      <c r="C493" s="10">
        <v>33816</v>
      </c>
      <c r="D493" s="6" t="str">
        <f t="shared" si="7"/>
        <v>Busan</v>
      </c>
      <c r="E493" s="9" t="s">
        <v>1507</v>
      </c>
      <c r="F493" s="9" t="s">
        <v>1569</v>
      </c>
    </row>
    <row r="494" spans="2:6">
      <c r="B494" s="8">
        <v>492</v>
      </c>
      <c r="C494" s="10">
        <v>39099</v>
      </c>
      <c r="D494" s="6" t="str">
        <f t="shared" si="7"/>
        <v>Busan</v>
      </c>
      <c r="E494" s="9" t="s">
        <v>1507</v>
      </c>
      <c r="F494" s="9" t="s">
        <v>1570</v>
      </c>
    </row>
    <row r="495" spans="2:6">
      <c r="B495" s="8">
        <v>493</v>
      </c>
      <c r="C495" s="10">
        <v>36328</v>
      </c>
      <c r="D495" s="6" t="str">
        <f t="shared" si="7"/>
        <v>Busan</v>
      </c>
      <c r="E495" s="9" t="s">
        <v>1507</v>
      </c>
      <c r="F495" s="9" t="s">
        <v>1571</v>
      </c>
    </row>
    <row r="496" spans="2:6">
      <c r="B496" s="8">
        <v>494</v>
      </c>
      <c r="C496" s="10">
        <v>33602</v>
      </c>
      <c r="D496" s="6" t="str">
        <f t="shared" si="7"/>
        <v>Busan</v>
      </c>
      <c r="E496" s="9" t="s">
        <v>1507</v>
      </c>
      <c r="F496" s="9" t="s">
        <v>1572</v>
      </c>
    </row>
    <row r="497" spans="2:6">
      <c r="B497" s="8">
        <v>495</v>
      </c>
      <c r="C497" s="10">
        <v>35564</v>
      </c>
      <c r="D497" s="6" t="str">
        <f t="shared" si="7"/>
        <v>Busan</v>
      </c>
      <c r="E497" s="9" t="s">
        <v>1507</v>
      </c>
      <c r="F497" s="9" t="s">
        <v>1573</v>
      </c>
    </row>
    <row r="498" spans="2:6">
      <c r="B498" s="8">
        <v>496</v>
      </c>
      <c r="C498" s="10">
        <v>33599</v>
      </c>
      <c r="D498" s="6" t="str">
        <f t="shared" si="7"/>
        <v>Busan</v>
      </c>
      <c r="E498" s="9" t="s">
        <v>1507</v>
      </c>
      <c r="F498" s="9" t="s">
        <v>1574</v>
      </c>
    </row>
    <row r="499" spans="2:6">
      <c r="B499" s="8">
        <v>497</v>
      </c>
      <c r="C499" s="10">
        <v>33648</v>
      </c>
      <c r="D499" s="6" t="str">
        <f t="shared" si="7"/>
        <v>Busan</v>
      </c>
      <c r="E499" s="9" t="s">
        <v>1507</v>
      </c>
      <c r="F499" s="9" t="s">
        <v>1575</v>
      </c>
    </row>
    <row r="500" spans="2:6">
      <c r="B500" s="8">
        <v>498</v>
      </c>
      <c r="C500" s="10">
        <v>38187</v>
      </c>
      <c r="D500" s="6" t="str">
        <f t="shared" si="7"/>
        <v>Busan</v>
      </c>
      <c r="E500" s="9" t="s">
        <v>1507</v>
      </c>
      <c r="F500" s="9" t="s">
        <v>1576</v>
      </c>
    </row>
    <row r="501" spans="2:6">
      <c r="B501" s="8">
        <v>499</v>
      </c>
      <c r="C501" s="10">
        <v>33652</v>
      </c>
      <c r="D501" s="6" t="str">
        <f t="shared" si="7"/>
        <v>Busan</v>
      </c>
      <c r="E501" s="9" t="s">
        <v>1507</v>
      </c>
      <c r="F501" s="9" t="s">
        <v>1577</v>
      </c>
    </row>
    <row r="502" spans="2:6">
      <c r="B502" s="8">
        <v>500</v>
      </c>
      <c r="C502" s="10">
        <v>33636</v>
      </c>
      <c r="D502" s="6" t="str">
        <f t="shared" si="7"/>
        <v>Busan</v>
      </c>
      <c r="E502" s="9" t="s">
        <v>1507</v>
      </c>
      <c r="F502" s="9" t="s">
        <v>1578</v>
      </c>
    </row>
    <row r="503" spans="2:6">
      <c r="B503" s="8">
        <v>501</v>
      </c>
      <c r="C503" s="10">
        <v>39586</v>
      </c>
      <c r="D503" s="6" t="str">
        <f t="shared" si="7"/>
        <v>Busan</v>
      </c>
      <c r="E503" s="9" t="s">
        <v>1507</v>
      </c>
      <c r="F503" s="9" t="s">
        <v>1579</v>
      </c>
    </row>
    <row r="504" spans="2:6">
      <c r="B504" s="8">
        <v>502</v>
      </c>
      <c r="C504" s="10">
        <v>33830</v>
      </c>
      <c r="D504" s="6" t="str">
        <f t="shared" si="7"/>
        <v>Busan</v>
      </c>
      <c r="E504" s="9" t="s">
        <v>1507</v>
      </c>
      <c r="F504" s="9" t="s">
        <v>1580</v>
      </c>
    </row>
    <row r="505" spans="2:6">
      <c r="B505" s="8">
        <v>503</v>
      </c>
      <c r="C505" s="10">
        <v>33630</v>
      </c>
      <c r="D505" s="6" t="str">
        <f t="shared" si="7"/>
        <v>Busan</v>
      </c>
      <c r="E505" s="9" t="s">
        <v>1507</v>
      </c>
      <c r="F505" s="9" t="s">
        <v>1581</v>
      </c>
    </row>
    <row r="506" spans="2:6">
      <c r="B506" s="8">
        <v>504</v>
      </c>
      <c r="C506" s="10">
        <v>33607</v>
      </c>
      <c r="D506" s="6" t="str">
        <f t="shared" si="7"/>
        <v>Busan</v>
      </c>
      <c r="E506" s="9" t="s">
        <v>1507</v>
      </c>
      <c r="F506" s="9" t="s">
        <v>1582</v>
      </c>
    </row>
    <row r="507" spans="2:6">
      <c r="B507" s="8">
        <v>505</v>
      </c>
      <c r="C507" s="10">
        <v>33661</v>
      </c>
      <c r="D507" s="6" t="str">
        <f t="shared" si="7"/>
        <v>Busan</v>
      </c>
      <c r="E507" s="9" t="s">
        <v>1507</v>
      </c>
      <c r="F507" s="9" t="s">
        <v>1583</v>
      </c>
    </row>
    <row r="508" spans="2:6">
      <c r="B508" s="8">
        <v>506</v>
      </c>
      <c r="C508" s="10">
        <v>33631</v>
      </c>
      <c r="D508" s="6" t="str">
        <f t="shared" si="7"/>
        <v>Busan</v>
      </c>
      <c r="E508" s="9" t="s">
        <v>1507</v>
      </c>
      <c r="F508" s="9" t="s">
        <v>1584</v>
      </c>
    </row>
    <row r="509" spans="2:6">
      <c r="B509" s="8">
        <v>507</v>
      </c>
      <c r="C509" s="10">
        <v>81996</v>
      </c>
      <c r="D509" s="6" t="str">
        <f t="shared" si="7"/>
        <v>Busan</v>
      </c>
      <c r="E509" s="9" t="s">
        <v>1507</v>
      </c>
      <c r="F509" s="9" t="s">
        <v>1585</v>
      </c>
    </row>
    <row r="510" spans="2:6">
      <c r="B510" s="8">
        <v>508</v>
      </c>
      <c r="C510" s="10">
        <v>85628</v>
      </c>
      <c r="D510" s="6" t="str">
        <f t="shared" si="7"/>
        <v>Busan</v>
      </c>
      <c r="E510" s="9" t="s">
        <v>1507</v>
      </c>
      <c r="F510" s="9" t="s">
        <v>1586</v>
      </c>
    </row>
    <row r="511" spans="2:6">
      <c r="B511" s="8">
        <v>509</v>
      </c>
      <c r="C511" s="10">
        <v>85830</v>
      </c>
      <c r="D511" s="6" t="str">
        <f t="shared" si="7"/>
        <v>Busan</v>
      </c>
      <c r="E511" s="9" t="s">
        <v>1507</v>
      </c>
      <c r="F511" s="9" t="s">
        <v>1587</v>
      </c>
    </row>
    <row r="512" spans="2:6">
      <c r="B512" s="8">
        <v>510</v>
      </c>
      <c r="C512" s="10">
        <v>37227</v>
      </c>
      <c r="D512" s="6" t="str">
        <f t="shared" si="7"/>
        <v>Busan</v>
      </c>
      <c r="E512" s="9" t="s">
        <v>1507</v>
      </c>
      <c r="F512" s="9" t="s">
        <v>1588</v>
      </c>
    </row>
    <row r="513" spans="2:6">
      <c r="B513" s="8">
        <v>511</v>
      </c>
      <c r="C513" s="10">
        <v>80970</v>
      </c>
      <c r="D513" s="6" t="str">
        <f t="shared" si="7"/>
        <v>Busan</v>
      </c>
      <c r="E513" s="9" t="s">
        <v>1507</v>
      </c>
      <c r="F513" s="9" t="s">
        <v>1589</v>
      </c>
    </row>
    <row r="514" spans="2:6">
      <c r="B514" s="8">
        <v>512</v>
      </c>
      <c r="C514" s="10">
        <v>80328</v>
      </c>
      <c r="D514" s="6" t="str">
        <f t="shared" si="7"/>
        <v>Busan</v>
      </c>
      <c r="E514" s="9" t="s">
        <v>1507</v>
      </c>
      <c r="F514" s="9" t="s">
        <v>1590</v>
      </c>
    </row>
    <row r="515" spans="2:6">
      <c r="B515" s="8">
        <v>513</v>
      </c>
      <c r="C515" s="10">
        <v>80291</v>
      </c>
      <c r="D515" s="6" t="str">
        <f t="shared" si="7"/>
        <v>Busan</v>
      </c>
      <c r="E515" s="9" t="s">
        <v>1507</v>
      </c>
      <c r="F515" s="9" t="s">
        <v>1591</v>
      </c>
    </row>
    <row r="516" spans="2:6">
      <c r="B516" s="8">
        <v>514</v>
      </c>
      <c r="C516" s="10">
        <v>80248</v>
      </c>
      <c r="D516" s="6" t="str">
        <f t="shared" ref="D516:D579" si="8">IFERROR(VLOOKUP(E516,$H$3:$J$16,2,0),"")</f>
        <v>Busan</v>
      </c>
      <c r="E516" s="9" t="s">
        <v>1507</v>
      </c>
      <c r="F516" s="9" t="s">
        <v>1592</v>
      </c>
    </row>
    <row r="517" spans="2:6">
      <c r="B517" s="8">
        <v>515</v>
      </c>
      <c r="C517" s="10">
        <v>36360</v>
      </c>
      <c r="D517" s="6" t="str">
        <f t="shared" si="8"/>
        <v>Busan</v>
      </c>
      <c r="E517" s="9" t="s">
        <v>1507</v>
      </c>
      <c r="F517" s="9" t="s">
        <v>1593</v>
      </c>
    </row>
    <row r="518" spans="2:6">
      <c r="B518" s="8">
        <v>516</v>
      </c>
      <c r="C518" s="10">
        <v>33591</v>
      </c>
      <c r="D518" s="6" t="str">
        <f t="shared" si="8"/>
        <v>Busan</v>
      </c>
      <c r="E518" s="9" t="s">
        <v>1507</v>
      </c>
      <c r="F518" s="9" t="s">
        <v>1594</v>
      </c>
    </row>
    <row r="519" spans="2:6">
      <c r="B519" s="8">
        <v>517</v>
      </c>
      <c r="C519" s="10">
        <v>33850</v>
      </c>
      <c r="D519" s="6" t="str">
        <f t="shared" si="8"/>
        <v>Busan</v>
      </c>
      <c r="E519" s="9" t="s">
        <v>1507</v>
      </c>
      <c r="F519" s="9" t="s">
        <v>1595</v>
      </c>
    </row>
    <row r="520" spans="2:6">
      <c r="B520" s="8">
        <v>518</v>
      </c>
      <c r="C520" s="10">
        <v>33659</v>
      </c>
      <c r="D520" s="6" t="str">
        <f t="shared" si="8"/>
        <v>Busan</v>
      </c>
      <c r="E520" s="9" t="s">
        <v>1596</v>
      </c>
      <c r="F520" s="9" t="s">
        <v>1597</v>
      </c>
    </row>
    <row r="521" spans="2:6">
      <c r="B521" s="8">
        <v>519</v>
      </c>
      <c r="C521" s="10">
        <v>33587</v>
      </c>
      <c r="D521" s="6" t="str">
        <f t="shared" si="8"/>
        <v>Busan</v>
      </c>
      <c r="E521" s="9" t="s">
        <v>1596</v>
      </c>
      <c r="F521" s="9" t="s">
        <v>1598</v>
      </c>
    </row>
    <row r="522" spans="2:6">
      <c r="B522" s="8">
        <v>520</v>
      </c>
      <c r="C522" s="10">
        <v>33797</v>
      </c>
      <c r="D522" s="6" t="str">
        <f t="shared" si="8"/>
        <v>Busan</v>
      </c>
      <c r="E522" s="9" t="s">
        <v>1596</v>
      </c>
      <c r="F522" s="9" t="s">
        <v>1599</v>
      </c>
    </row>
    <row r="523" spans="2:6">
      <c r="B523" s="8">
        <v>521</v>
      </c>
      <c r="C523" s="10">
        <v>33619</v>
      </c>
      <c r="D523" s="6" t="str">
        <f t="shared" si="8"/>
        <v>Busan</v>
      </c>
      <c r="E523" s="9" t="s">
        <v>1596</v>
      </c>
      <c r="F523" s="9" t="s">
        <v>1600</v>
      </c>
    </row>
    <row r="524" spans="2:6">
      <c r="B524" s="8">
        <v>522</v>
      </c>
      <c r="C524" s="10">
        <v>33657</v>
      </c>
      <c r="D524" s="6" t="str">
        <f t="shared" si="8"/>
        <v>Busan</v>
      </c>
      <c r="E524" s="9" t="s">
        <v>1596</v>
      </c>
      <c r="F524" s="9" t="s">
        <v>1601</v>
      </c>
    </row>
    <row r="525" spans="2:6">
      <c r="B525" s="8">
        <v>523</v>
      </c>
      <c r="C525" s="10">
        <v>33825</v>
      </c>
      <c r="D525" s="6" t="str">
        <f t="shared" si="8"/>
        <v>Busan</v>
      </c>
      <c r="E525" s="9" t="s">
        <v>1596</v>
      </c>
      <c r="F525" s="9" t="s">
        <v>1602</v>
      </c>
    </row>
    <row r="526" spans="2:6">
      <c r="B526" s="8">
        <v>524</v>
      </c>
      <c r="C526" s="10">
        <v>33822</v>
      </c>
      <c r="D526" s="6" t="str">
        <f t="shared" si="8"/>
        <v>Busan</v>
      </c>
      <c r="E526" s="9" t="s">
        <v>1596</v>
      </c>
      <c r="F526" s="9" t="s">
        <v>1603</v>
      </c>
    </row>
    <row r="527" spans="2:6">
      <c r="B527" s="8">
        <v>525</v>
      </c>
      <c r="C527" s="10">
        <v>33593</v>
      </c>
      <c r="D527" s="6" t="str">
        <f t="shared" si="8"/>
        <v>Busan</v>
      </c>
      <c r="E527" s="9" t="s">
        <v>1596</v>
      </c>
      <c r="F527" s="9" t="s">
        <v>1604</v>
      </c>
    </row>
    <row r="528" spans="2:6">
      <c r="B528" s="8">
        <v>526</v>
      </c>
      <c r="C528" s="10">
        <v>33654</v>
      </c>
      <c r="D528" s="6" t="str">
        <f t="shared" si="8"/>
        <v>Busan</v>
      </c>
      <c r="E528" s="9" t="s">
        <v>1596</v>
      </c>
      <c r="F528" s="9" t="s">
        <v>1605</v>
      </c>
    </row>
    <row r="529" spans="2:6">
      <c r="B529" s="8">
        <v>527</v>
      </c>
      <c r="C529" s="10">
        <v>33638</v>
      </c>
      <c r="D529" s="6" t="str">
        <f t="shared" si="8"/>
        <v>Busan</v>
      </c>
      <c r="E529" s="9" t="s">
        <v>1596</v>
      </c>
      <c r="F529" s="9" t="s">
        <v>1606</v>
      </c>
    </row>
    <row r="530" spans="2:6">
      <c r="B530" s="8">
        <v>528</v>
      </c>
      <c r="C530" s="10">
        <v>33845</v>
      </c>
      <c r="D530" s="6" t="str">
        <f t="shared" si="8"/>
        <v>Busan</v>
      </c>
      <c r="E530" s="9" t="s">
        <v>1596</v>
      </c>
      <c r="F530" s="9" t="s">
        <v>1607</v>
      </c>
    </row>
    <row r="531" spans="2:6">
      <c r="B531" s="8">
        <v>529</v>
      </c>
      <c r="C531" s="10">
        <v>33814</v>
      </c>
      <c r="D531" s="6" t="str">
        <f t="shared" si="8"/>
        <v>Busan</v>
      </c>
      <c r="E531" s="9" t="s">
        <v>1596</v>
      </c>
      <c r="F531" s="9" t="s">
        <v>1608</v>
      </c>
    </row>
    <row r="532" spans="2:6">
      <c r="B532" s="8">
        <v>530</v>
      </c>
      <c r="C532" s="10">
        <v>38162</v>
      </c>
      <c r="D532" s="6" t="str">
        <f t="shared" si="8"/>
        <v>Busan</v>
      </c>
      <c r="E532" s="9" t="s">
        <v>1596</v>
      </c>
      <c r="F532" s="9" t="s">
        <v>1609</v>
      </c>
    </row>
    <row r="533" spans="2:6">
      <c r="B533" s="8">
        <v>531</v>
      </c>
      <c r="C533" s="10">
        <v>33793</v>
      </c>
      <c r="D533" s="6" t="str">
        <f t="shared" si="8"/>
        <v>Busan</v>
      </c>
      <c r="E533" s="9" t="s">
        <v>1596</v>
      </c>
      <c r="F533" s="9" t="s">
        <v>1610</v>
      </c>
    </row>
    <row r="534" spans="2:6">
      <c r="B534" s="8">
        <v>532</v>
      </c>
      <c r="C534" s="10">
        <v>33662</v>
      </c>
      <c r="D534" s="6" t="str">
        <f t="shared" si="8"/>
        <v>Busan</v>
      </c>
      <c r="E534" s="9" t="s">
        <v>1596</v>
      </c>
      <c r="F534" s="9" t="s">
        <v>1611</v>
      </c>
    </row>
    <row r="535" spans="2:6">
      <c r="B535" s="8">
        <v>533</v>
      </c>
      <c r="C535" s="10">
        <v>80693</v>
      </c>
      <c r="D535" s="6" t="str">
        <f t="shared" si="8"/>
        <v>Busan</v>
      </c>
      <c r="E535" s="9" t="s">
        <v>1596</v>
      </c>
      <c r="F535" s="9" t="s">
        <v>1612</v>
      </c>
    </row>
    <row r="536" spans="2:6">
      <c r="B536" s="8">
        <v>534</v>
      </c>
      <c r="C536" s="10">
        <v>33824</v>
      </c>
      <c r="D536" s="6" t="str">
        <f t="shared" si="8"/>
        <v>Busan</v>
      </c>
      <c r="E536" s="9" t="s">
        <v>1596</v>
      </c>
      <c r="F536" s="9" t="s">
        <v>1613</v>
      </c>
    </row>
    <row r="537" spans="2:6">
      <c r="B537" s="8">
        <v>535</v>
      </c>
      <c r="C537" s="10">
        <v>34727</v>
      </c>
      <c r="D537" s="6" t="str">
        <f t="shared" si="8"/>
        <v>Busan</v>
      </c>
      <c r="E537" s="9" t="s">
        <v>1596</v>
      </c>
      <c r="F537" s="9" t="s">
        <v>1614</v>
      </c>
    </row>
    <row r="538" spans="2:6">
      <c r="B538" s="8">
        <v>536</v>
      </c>
      <c r="C538" s="10">
        <v>33795</v>
      </c>
      <c r="D538" s="6" t="str">
        <f t="shared" si="8"/>
        <v>Busan</v>
      </c>
      <c r="E538" s="9" t="s">
        <v>1596</v>
      </c>
      <c r="F538" s="9" t="s">
        <v>1615</v>
      </c>
    </row>
    <row r="539" spans="2:6">
      <c r="B539" s="8">
        <v>537</v>
      </c>
      <c r="C539" s="10">
        <v>80931</v>
      </c>
      <c r="D539" s="6" t="str">
        <f t="shared" si="8"/>
        <v>Busan</v>
      </c>
      <c r="E539" s="9" t="s">
        <v>1596</v>
      </c>
      <c r="F539" s="9" t="s">
        <v>1616</v>
      </c>
    </row>
    <row r="540" spans="2:6">
      <c r="B540" s="8">
        <v>538</v>
      </c>
      <c r="C540" s="10">
        <v>34431</v>
      </c>
      <c r="D540" s="6" t="str">
        <f t="shared" si="8"/>
        <v>Busan</v>
      </c>
      <c r="E540" s="9" t="s">
        <v>1596</v>
      </c>
      <c r="F540" s="9" t="s">
        <v>1617</v>
      </c>
    </row>
    <row r="541" spans="2:6">
      <c r="B541" s="8">
        <v>539</v>
      </c>
      <c r="C541" s="10">
        <v>33861</v>
      </c>
      <c r="D541" s="6" t="str">
        <f t="shared" si="8"/>
        <v>Busan</v>
      </c>
      <c r="E541" s="9" t="s">
        <v>1596</v>
      </c>
      <c r="F541" s="9" t="s">
        <v>1618</v>
      </c>
    </row>
    <row r="542" spans="2:6">
      <c r="B542" s="8">
        <v>540</v>
      </c>
      <c r="C542" s="10">
        <v>33813</v>
      </c>
      <c r="D542" s="6" t="str">
        <f t="shared" si="8"/>
        <v>Busan</v>
      </c>
      <c r="E542" s="9" t="s">
        <v>1596</v>
      </c>
      <c r="F542" s="9" t="s">
        <v>1619</v>
      </c>
    </row>
    <row r="543" spans="2:6">
      <c r="B543" s="8">
        <v>541</v>
      </c>
      <c r="C543" s="10">
        <v>33842</v>
      </c>
      <c r="D543" s="6" t="str">
        <f t="shared" si="8"/>
        <v>Busan</v>
      </c>
      <c r="E543" s="9" t="s">
        <v>1596</v>
      </c>
      <c r="F543" s="9" t="s">
        <v>1620</v>
      </c>
    </row>
    <row r="544" spans="2:6">
      <c r="B544" s="8">
        <v>542</v>
      </c>
      <c r="C544" s="10">
        <v>33857</v>
      </c>
      <c r="D544" s="6" t="str">
        <f t="shared" si="8"/>
        <v>Busan</v>
      </c>
      <c r="E544" s="9" t="s">
        <v>1596</v>
      </c>
      <c r="F544" s="9" t="s">
        <v>1621</v>
      </c>
    </row>
    <row r="545" spans="2:6">
      <c r="B545" s="8">
        <v>543</v>
      </c>
      <c r="C545" s="10">
        <v>33605</v>
      </c>
      <c r="D545" s="6" t="str">
        <f t="shared" si="8"/>
        <v>Busan</v>
      </c>
      <c r="E545" s="9" t="s">
        <v>1596</v>
      </c>
      <c r="F545" s="9" t="s">
        <v>1622</v>
      </c>
    </row>
    <row r="546" spans="2:6">
      <c r="B546" s="8">
        <v>544</v>
      </c>
      <c r="C546" s="10">
        <v>33833</v>
      </c>
      <c r="D546" s="6" t="str">
        <f t="shared" si="8"/>
        <v>Busan</v>
      </c>
      <c r="E546" s="9" t="s">
        <v>1596</v>
      </c>
      <c r="F546" s="9" t="s">
        <v>1623</v>
      </c>
    </row>
    <row r="547" spans="2:6">
      <c r="B547" s="8">
        <v>545</v>
      </c>
      <c r="C547" s="10">
        <v>33811</v>
      </c>
      <c r="D547" s="6" t="str">
        <f t="shared" si="8"/>
        <v>Busan</v>
      </c>
      <c r="E547" s="9" t="s">
        <v>1596</v>
      </c>
      <c r="F547" s="9" t="s">
        <v>1624</v>
      </c>
    </row>
    <row r="548" spans="2:6">
      <c r="B548" s="8">
        <v>546</v>
      </c>
      <c r="C548" s="10">
        <v>33841</v>
      </c>
      <c r="D548" s="6" t="str">
        <f t="shared" si="8"/>
        <v>Busan</v>
      </c>
      <c r="E548" s="9" t="s">
        <v>1596</v>
      </c>
      <c r="F548" s="9" t="s">
        <v>1625</v>
      </c>
    </row>
    <row r="549" spans="2:6">
      <c r="B549" s="8">
        <v>547</v>
      </c>
      <c r="C549" s="10">
        <v>34429</v>
      </c>
      <c r="D549" s="6" t="str">
        <f t="shared" si="8"/>
        <v>Busan</v>
      </c>
      <c r="E549" s="9" t="s">
        <v>1596</v>
      </c>
      <c r="F549" s="9" t="s">
        <v>1626</v>
      </c>
    </row>
    <row r="550" spans="2:6">
      <c r="B550" s="8">
        <v>548</v>
      </c>
      <c r="C550" s="10">
        <v>33799</v>
      </c>
      <c r="D550" s="6" t="str">
        <f t="shared" si="8"/>
        <v>Busan</v>
      </c>
      <c r="E550" s="9" t="s">
        <v>1596</v>
      </c>
      <c r="F550" s="9" t="s">
        <v>1627</v>
      </c>
    </row>
    <row r="551" spans="2:6">
      <c r="B551" s="8">
        <v>549</v>
      </c>
      <c r="C551" s="10">
        <v>33862</v>
      </c>
      <c r="D551" s="6" t="str">
        <f t="shared" si="8"/>
        <v>Busan</v>
      </c>
      <c r="E551" s="9" t="s">
        <v>1596</v>
      </c>
      <c r="F551" s="9" t="s">
        <v>1628</v>
      </c>
    </row>
    <row r="552" spans="2:6">
      <c r="B552" s="8">
        <v>550</v>
      </c>
      <c r="C552" s="10">
        <v>33812</v>
      </c>
      <c r="D552" s="6" t="str">
        <f t="shared" si="8"/>
        <v>Busan</v>
      </c>
      <c r="E552" s="9" t="s">
        <v>1596</v>
      </c>
      <c r="F552" s="9" t="s">
        <v>1629</v>
      </c>
    </row>
    <row r="553" spans="2:6">
      <c r="B553" s="8">
        <v>551</v>
      </c>
      <c r="C553" s="10">
        <v>33588</v>
      </c>
      <c r="D553" s="6" t="str">
        <f t="shared" si="8"/>
        <v>Busan</v>
      </c>
      <c r="E553" s="9" t="s">
        <v>1596</v>
      </c>
      <c r="F553" s="9" t="s">
        <v>1630</v>
      </c>
    </row>
    <row r="554" spans="2:6">
      <c r="B554" s="8">
        <v>552</v>
      </c>
      <c r="C554" s="10">
        <v>33796</v>
      </c>
      <c r="D554" s="6" t="str">
        <f t="shared" si="8"/>
        <v>Busan</v>
      </c>
      <c r="E554" s="9" t="s">
        <v>1596</v>
      </c>
      <c r="F554" s="9" t="s">
        <v>1631</v>
      </c>
    </row>
    <row r="555" spans="2:6">
      <c r="B555" s="8">
        <v>553</v>
      </c>
      <c r="C555" s="10">
        <v>35976</v>
      </c>
      <c r="D555" s="6" t="str">
        <f t="shared" si="8"/>
        <v>Busan</v>
      </c>
      <c r="E555" s="9" t="s">
        <v>1596</v>
      </c>
      <c r="F555" s="9" t="s">
        <v>1632</v>
      </c>
    </row>
    <row r="556" spans="2:6">
      <c r="B556" s="8">
        <v>554</v>
      </c>
      <c r="C556" s="10">
        <v>33858</v>
      </c>
      <c r="D556" s="6" t="str">
        <f t="shared" si="8"/>
        <v>Busan</v>
      </c>
      <c r="E556" s="9" t="s">
        <v>1596</v>
      </c>
      <c r="F556" s="9" t="s">
        <v>1633</v>
      </c>
    </row>
    <row r="557" spans="2:6">
      <c r="B557" s="8">
        <v>555</v>
      </c>
      <c r="C557" s="10">
        <v>34741</v>
      </c>
      <c r="D557" s="6" t="str">
        <f t="shared" si="8"/>
        <v>Busan</v>
      </c>
      <c r="E557" s="9" t="s">
        <v>1596</v>
      </c>
      <c r="F557" s="9" t="s">
        <v>1634</v>
      </c>
    </row>
    <row r="558" spans="2:6">
      <c r="B558" s="8">
        <v>556</v>
      </c>
      <c r="C558" s="10">
        <v>33800</v>
      </c>
      <c r="D558" s="6" t="str">
        <f t="shared" si="8"/>
        <v>Busan</v>
      </c>
      <c r="E558" s="9" t="s">
        <v>1596</v>
      </c>
      <c r="F558" s="9" t="s">
        <v>1635</v>
      </c>
    </row>
    <row r="559" spans="2:6">
      <c r="B559" s="8">
        <v>557</v>
      </c>
      <c r="C559" s="10">
        <v>35957</v>
      </c>
      <c r="D559" s="6" t="str">
        <f t="shared" si="8"/>
        <v>Busan</v>
      </c>
      <c r="E559" s="9" t="s">
        <v>1596</v>
      </c>
      <c r="F559" s="9" t="s">
        <v>1636</v>
      </c>
    </row>
    <row r="560" spans="2:6">
      <c r="B560" s="8">
        <v>558</v>
      </c>
      <c r="C560" s="10">
        <v>33846</v>
      </c>
      <c r="D560" s="6" t="str">
        <f t="shared" si="8"/>
        <v>Busan</v>
      </c>
      <c r="E560" s="9" t="s">
        <v>1596</v>
      </c>
      <c r="F560" s="9" t="s">
        <v>1637</v>
      </c>
    </row>
    <row r="561" spans="2:6">
      <c r="B561" s="8">
        <v>559</v>
      </c>
      <c r="C561" s="10">
        <v>33818</v>
      </c>
      <c r="D561" s="6" t="str">
        <f t="shared" si="8"/>
        <v>Busan</v>
      </c>
      <c r="E561" s="9" t="s">
        <v>1596</v>
      </c>
      <c r="F561" s="9" t="s">
        <v>1638</v>
      </c>
    </row>
    <row r="562" spans="2:6">
      <c r="B562" s="8">
        <v>560</v>
      </c>
      <c r="C562" s="10">
        <v>33798</v>
      </c>
      <c r="D562" s="6" t="str">
        <f t="shared" si="8"/>
        <v>Busan</v>
      </c>
      <c r="E562" s="9" t="s">
        <v>1596</v>
      </c>
      <c r="F562" s="9" t="s">
        <v>1639</v>
      </c>
    </row>
    <row r="563" spans="2:6">
      <c r="B563" s="8">
        <v>561</v>
      </c>
      <c r="C563" s="10">
        <v>35201</v>
      </c>
      <c r="D563" s="6" t="str">
        <f t="shared" si="8"/>
        <v>Busan</v>
      </c>
      <c r="E563" s="9" t="s">
        <v>1596</v>
      </c>
      <c r="F563" s="9" t="s">
        <v>1640</v>
      </c>
    </row>
    <row r="564" spans="2:6">
      <c r="B564" s="8">
        <v>562</v>
      </c>
      <c r="C564" s="10">
        <v>33586</v>
      </c>
      <c r="D564" s="6" t="str">
        <f t="shared" si="8"/>
        <v>Busan</v>
      </c>
      <c r="E564" s="9" t="s">
        <v>1596</v>
      </c>
      <c r="F564" s="9" t="s">
        <v>1641</v>
      </c>
    </row>
    <row r="565" spans="2:6">
      <c r="B565" s="8">
        <v>563</v>
      </c>
      <c r="C565" s="10">
        <v>33623</v>
      </c>
      <c r="D565" s="6" t="str">
        <f t="shared" si="8"/>
        <v>Busan</v>
      </c>
      <c r="E565" s="9" t="s">
        <v>1596</v>
      </c>
      <c r="F565" s="9" t="s">
        <v>1642</v>
      </c>
    </row>
    <row r="566" spans="2:6">
      <c r="B566" s="8">
        <v>564</v>
      </c>
      <c r="C566" s="10">
        <v>33640</v>
      </c>
      <c r="D566" s="6" t="str">
        <f t="shared" si="8"/>
        <v>Busan</v>
      </c>
      <c r="E566" s="9" t="s">
        <v>1596</v>
      </c>
      <c r="F566" s="9" t="s">
        <v>1643</v>
      </c>
    </row>
    <row r="567" spans="2:6">
      <c r="B567" s="8">
        <v>565</v>
      </c>
      <c r="C567" s="10">
        <v>33585</v>
      </c>
      <c r="D567" s="6" t="str">
        <f t="shared" si="8"/>
        <v>Busan</v>
      </c>
      <c r="E567" s="9" t="s">
        <v>1596</v>
      </c>
      <c r="F567" s="9" t="s">
        <v>1644</v>
      </c>
    </row>
    <row r="568" spans="2:6">
      <c r="B568" s="8">
        <v>566</v>
      </c>
      <c r="C568" s="10">
        <v>33647</v>
      </c>
      <c r="D568" s="6" t="str">
        <f t="shared" si="8"/>
        <v>Busan</v>
      </c>
      <c r="E568" s="9" t="s">
        <v>1596</v>
      </c>
      <c r="F568" s="9" t="s">
        <v>1645</v>
      </c>
    </row>
    <row r="569" spans="2:6">
      <c r="B569" s="8">
        <v>567</v>
      </c>
      <c r="C569" s="10">
        <v>33644</v>
      </c>
      <c r="D569" s="6" t="str">
        <f t="shared" si="8"/>
        <v>Busan</v>
      </c>
      <c r="E569" s="9" t="s">
        <v>1596</v>
      </c>
      <c r="F569" s="9" t="s">
        <v>1646</v>
      </c>
    </row>
    <row r="570" spans="2:6">
      <c r="B570" s="8">
        <v>568</v>
      </c>
      <c r="C570" s="10">
        <v>33650</v>
      </c>
      <c r="D570" s="6" t="str">
        <f t="shared" si="8"/>
        <v>Busan</v>
      </c>
      <c r="E570" s="9" t="s">
        <v>1596</v>
      </c>
      <c r="F570" s="9" t="s">
        <v>1647</v>
      </c>
    </row>
    <row r="571" spans="2:6">
      <c r="B571" s="8">
        <v>569</v>
      </c>
      <c r="C571" s="10">
        <v>35482</v>
      </c>
      <c r="D571" s="6" t="str">
        <f t="shared" si="8"/>
        <v>Busan</v>
      </c>
      <c r="E571" s="9" t="s">
        <v>1596</v>
      </c>
      <c r="F571" s="9" t="s">
        <v>1648</v>
      </c>
    </row>
    <row r="572" spans="2:6">
      <c r="B572" s="8">
        <v>570</v>
      </c>
      <c r="C572" s="10">
        <v>36087</v>
      </c>
      <c r="D572" s="6" t="str">
        <f t="shared" si="8"/>
        <v>Busan</v>
      </c>
      <c r="E572" s="9" t="s">
        <v>1596</v>
      </c>
      <c r="F572" s="9" t="s">
        <v>1649</v>
      </c>
    </row>
    <row r="573" spans="2:6">
      <c r="B573" s="8">
        <v>571</v>
      </c>
      <c r="C573" s="10">
        <v>34658</v>
      </c>
      <c r="D573" s="6" t="str">
        <f t="shared" si="8"/>
        <v>Busan</v>
      </c>
      <c r="E573" s="9" t="s">
        <v>1596</v>
      </c>
      <c r="F573" s="9" t="s">
        <v>1650</v>
      </c>
    </row>
    <row r="574" spans="2:6">
      <c r="B574" s="8">
        <v>572</v>
      </c>
      <c r="C574" s="10">
        <v>33633</v>
      </c>
      <c r="D574" s="6" t="str">
        <f t="shared" si="8"/>
        <v>Busan</v>
      </c>
      <c r="E574" s="9" t="s">
        <v>1596</v>
      </c>
      <c r="F574" s="9" t="s">
        <v>1651</v>
      </c>
    </row>
    <row r="575" spans="2:6">
      <c r="B575" s="8">
        <v>573</v>
      </c>
      <c r="C575" s="10">
        <v>33617</v>
      </c>
      <c r="D575" s="6" t="str">
        <f t="shared" si="8"/>
        <v>Busan</v>
      </c>
      <c r="E575" s="9" t="s">
        <v>1596</v>
      </c>
      <c r="F575" s="9" t="s">
        <v>1652</v>
      </c>
    </row>
    <row r="576" spans="2:6">
      <c r="B576" s="8">
        <v>574</v>
      </c>
      <c r="C576" s="10">
        <v>33837</v>
      </c>
      <c r="D576" s="6" t="str">
        <f t="shared" si="8"/>
        <v>Busan</v>
      </c>
      <c r="E576" s="9" t="s">
        <v>1596</v>
      </c>
      <c r="F576" s="9" t="s">
        <v>1653</v>
      </c>
    </row>
    <row r="577" spans="2:6">
      <c r="B577" s="8">
        <v>575</v>
      </c>
      <c r="C577" s="10">
        <v>33639</v>
      </c>
      <c r="D577" s="6" t="str">
        <f t="shared" si="8"/>
        <v>Busan</v>
      </c>
      <c r="E577" s="9" t="s">
        <v>1596</v>
      </c>
      <c r="F577" s="9" t="s">
        <v>1654</v>
      </c>
    </row>
    <row r="578" spans="2:6">
      <c r="B578" s="8">
        <v>576</v>
      </c>
      <c r="C578" s="10">
        <v>33594</v>
      </c>
      <c r="D578" s="6" t="str">
        <f t="shared" si="8"/>
        <v>Busan</v>
      </c>
      <c r="E578" s="9" t="s">
        <v>1596</v>
      </c>
      <c r="F578" s="9" t="s">
        <v>1655</v>
      </c>
    </row>
    <row r="579" spans="2:6">
      <c r="B579" s="8">
        <v>577</v>
      </c>
      <c r="C579" s="10">
        <v>35446</v>
      </c>
      <c r="D579" s="6" t="str">
        <f t="shared" si="8"/>
        <v>Busan</v>
      </c>
      <c r="E579" s="9" t="s">
        <v>1596</v>
      </c>
      <c r="F579" s="9" t="s">
        <v>1656</v>
      </c>
    </row>
    <row r="580" spans="2:6">
      <c r="B580" s="8">
        <v>578</v>
      </c>
      <c r="C580" s="10">
        <v>33838</v>
      </c>
      <c r="D580" s="6" t="str">
        <f t="shared" ref="D580:D643" si="9">IFERROR(VLOOKUP(E580,$H$3:$J$16,2,0),"")</f>
        <v>Busan</v>
      </c>
      <c r="E580" s="9" t="s">
        <v>1596</v>
      </c>
      <c r="F580" s="9" t="s">
        <v>1657</v>
      </c>
    </row>
    <row r="581" spans="2:6">
      <c r="B581" s="8">
        <v>579</v>
      </c>
      <c r="C581" s="10">
        <v>33843</v>
      </c>
      <c r="D581" s="6" t="str">
        <f t="shared" si="9"/>
        <v>Busan</v>
      </c>
      <c r="E581" s="9" t="s">
        <v>1596</v>
      </c>
      <c r="F581" s="9" t="s">
        <v>1658</v>
      </c>
    </row>
    <row r="582" spans="2:6">
      <c r="B582" s="8">
        <v>580</v>
      </c>
      <c r="C582" s="10">
        <v>33590</v>
      </c>
      <c r="D582" s="6" t="str">
        <f t="shared" si="9"/>
        <v>Busan</v>
      </c>
      <c r="E582" s="9" t="s">
        <v>1596</v>
      </c>
      <c r="F582" s="9" t="s">
        <v>1659</v>
      </c>
    </row>
    <row r="583" spans="2:6">
      <c r="B583" s="8">
        <v>581</v>
      </c>
      <c r="C583" s="10">
        <v>33865</v>
      </c>
      <c r="D583" s="6" t="str">
        <f t="shared" si="9"/>
        <v>Busan</v>
      </c>
      <c r="E583" s="9" t="s">
        <v>1596</v>
      </c>
      <c r="F583" s="9" t="s">
        <v>1660</v>
      </c>
    </row>
    <row r="584" spans="2:6">
      <c r="B584" s="8">
        <v>582</v>
      </c>
      <c r="C584" s="10">
        <v>33616</v>
      </c>
      <c r="D584" s="6" t="str">
        <f t="shared" si="9"/>
        <v>Busan</v>
      </c>
      <c r="E584" s="9" t="s">
        <v>1596</v>
      </c>
      <c r="F584" s="9" t="s">
        <v>1661</v>
      </c>
    </row>
    <row r="585" spans="2:6">
      <c r="B585" s="8">
        <v>583</v>
      </c>
      <c r="C585" s="10">
        <v>33606</v>
      </c>
      <c r="D585" s="6" t="str">
        <f t="shared" si="9"/>
        <v>Busan</v>
      </c>
      <c r="E585" s="9" t="s">
        <v>1596</v>
      </c>
      <c r="F585" s="9" t="s">
        <v>1662</v>
      </c>
    </row>
    <row r="586" spans="2:6">
      <c r="B586" s="8">
        <v>584</v>
      </c>
      <c r="C586" s="10">
        <v>39789</v>
      </c>
      <c r="D586" s="6" t="str">
        <f t="shared" si="9"/>
        <v>Busan</v>
      </c>
      <c r="E586" s="9" t="s">
        <v>1596</v>
      </c>
      <c r="F586" s="9" t="s">
        <v>1663</v>
      </c>
    </row>
    <row r="587" spans="2:6">
      <c r="B587" s="8">
        <v>585</v>
      </c>
      <c r="C587" s="10">
        <v>33848</v>
      </c>
      <c r="D587" s="6" t="str">
        <f t="shared" si="9"/>
        <v>Busan</v>
      </c>
      <c r="E587" s="9" t="s">
        <v>1596</v>
      </c>
      <c r="F587" s="9" t="s">
        <v>1664</v>
      </c>
    </row>
    <row r="588" spans="2:6">
      <c r="B588" s="8">
        <v>586</v>
      </c>
      <c r="C588" s="10">
        <v>35987</v>
      </c>
      <c r="D588" s="6" t="str">
        <f t="shared" si="9"/>
        <v>Busan</v>
      </c>
      <c r="E588" s="9" t="s">
        <v>1596</v>
      </c>
      <c r="F588" s="9" t="s">
        <v>1665</v>
      </c>
    </row>
    <row r="589" spans="2:6">
      <c r="B589" s="8">
        <v>587</v>
      </c>
      <c r="C589" s="10">
        <v>35357</v>
      </c>
      <c r="D589" s="6" t="str">
        <f t="shared" si="9"/>
        <v>Busan</v>
      </c>
      <c r="E589" s="9" t="s">
        <v>1596</v>
      </c>
      <c r="F589" s="9" t="s">
        <v>1666</v>
      </c>
    </row>
    <row r="590" spans="2:6">
      <c r="B590" s="8">
        <v>588</v>
      </c>
      <c r="C590" s="10">
        <v>35202</v>
      </c>
      <c r="D590" s="6" t="str">
        <f t="shared" si="9"/>
        <v>Busan</v>
      </c>
      <c r="E590" s="9" t="s">
        <v>1596</v>
      </c>
      <c r="F590" s="9" t="s">
        <v>1667</v>
      </c>
    </row>
    <row r="591" spans="2:6">
      <c r="B591" s="8">
        <v>589</v>
      </c>
      <c r="C591" s="10">
        <v>36751</v>
      </c>
      <c r="D591" s="6" t="str">
        <f t="shared" si="9"/>
        <v>Busan</v>
      </c>
      <c r="E591" s="9" t="s">
        <v>1596</v>
      </c>
      <c r="F591" s="9" t="s">
        <v>1668</v>
      </c>
    </row>
    <row r="592" spans="2:6">
      <c r="B592" s="8">
        <v>590</v>
      </c>
      <c r="C592" s="10">
        <v>35576</v>
      </c>
      <c r="D592" s="6" t="str">
        <f t="shared" si="9"/>
        <v>Busan</v>
      </c>
      <c r="E592" s="9" t="s">
        <v>1596</v>
      </c>
      <c r="F592" s="9" t="s">
        <v>1669</v>
      </c>
    </row>
    <row r="593" spans="2:6">
      <c r="B593" s="8">
        <v>591</v>
      </c>
      <c r="C593" s="10">
        <v>35256</v>
      </c>
      <c r="D593" s="6" t="str">
        <f t="shared" si="9"/>
        <v>Busan</v>
      </c>
      <c r="E593" s="9" t="s">
        <v>1596</v>
      </c>
      <c r="F593" s="9" t="s">
        <v>1670</v>
      </c>
    </row>
    <row r="594" spans="2:6">
      <c r="B594" s="8">
        <v>592</v>
      </c>
      <c r="C594" s="10">
        <v>37657</v>
      </c>
      <c r="D594" s="6" t="str">
        <f t="shared" si="9"/>
        <v>Busan</v>
      </c>
      <c r="E594" s="9" t="s">
        <v>1596</v>
      </c>
      <c r="F594" s="9" t="s">
        <v>1671</v>
      </c>
    </row>
    <row r="595" spans="2:6">
      <c r="B595" s="8">
        <v>593</v>
      </c>
      <c r="C595" s="10">
        <v>38209</v>
      </c>
      <c r="D595" s="6" t="str">
        <f t="shared" si="9"/>
        <v>Busan</v>
      </c>
      <c r="E595" s="9" t="s">
        <v>1596</v>
      </c>
      <c r="F595" s="9" t="s">
        <v>1672</v>
      </c>
    </row>
    <row r="596" spans="2:6">
      <c r="B596" s="8">
        <v>594</v>
      </c>
      <c r="C596" s="10">
        <v>37948</v>
      </c>
      <c r="D596" s="6" t="str">
        <f t="shared" si="9"/>
        <v>Busan</v>
      </c>
      <c r="E596" s="9" t="s">
        <v>1596</v>
      </c>
      <c r="F596" s="9" t="s">
        <v>1673</v>
      </c>
    </row>
    <row r="597" spans="2:6">
      <c r="B597" s="8">
        <v>595</v>
      </c>
      <c r="C597" s="10">
        <v>37672</v>
      </c>
      <c r="D597" s="6" t="str">
        <f t="shared" si="9"/>
        <v>Busan</v>
      </c>
      <c r="E597" s="9" t="s">
        <v>1596</v>
      </c>
      <c r="F597" s="9" t="s">
        <v>1674</v>
      </c>
    </row>
    <row r="598" spans="2:6">
      <c r="B598" s="8">
        <v>596</v>
      </c>
      <c r="C598" s="10">
        <v>83848</v>
      </c>
      <c r="D598" s="6" t="str">
        <f t="shared" si="9"/>
        <v>Busan</v>
      </c>
      <c r="E598" s="9" t="s">
        <v>1596</v>
      </c>
      <c r="F598" s="9" t="s">
        <v>1675</v>
      </c>
    </row>
    <row r="599" spans="2:6">
      <c r="B599" s="8">
        <v>597</v>
      </c>
      <c r="C599" s="10">
        <v>85619</v>
      </c>
      <c r="D599" s="6" t="str">
        <f t="shared" si="9"/>
        <v>Busan</v>
      </c>
      <c r="E599" s="9" t="s">
        <v>1596</v>
      </c>
      <c r="F599" s="9" t="s">
        <v>1676</v>
      </c>
    </row>
    <row r="600" spans="2:6">
      <c r="B600" s="8">
        <v>598</v>
      </c>
      <c r="C600" s="10">
        <v>85814</v>
      </c>
      <c r="D600" s="6" t="str">
        <f t="shared" si="9"/>
        <v>Busan</v>
      </c>
      <c r="E600" s="9" t="s">
        <v>1596</v>
      </c>
      <c r="F600" s="9" t="s">
        <v>1677</v>
      </c>
    </row>
    <row r="601" spans="2:6">
      <c r="B601" s="8">
        <v>599</v>
      </c>
      <c r="C601" s="10">
        <v>85937</v>
      </c>
      <c r="D601" s="6" t="str">
        <f t="shared" si="9"/>
        <v>Busan</v>
      </c>
      <c r="E601" s="9" t="s">
        <v>1507</v>
      </c>
      <c r="F601" s="9" t="s">
        <v>1678</v>
      </c>
    </row>
    <row r="602" spans="2:6">
      <c r="B602" s="8">
        <v>600</v>
      </c>
      <c r="C602" s="10">
        <v>80452</v>
      </c>
      <c r="D602" s="6" t="str">
        <f t="shared" si="9"/>
        <v>Busan</v>
      </c>
      <c r="E602" s="9" t="s">
        <v>1596</v>
      </c>
      <c r="F602" s="9" t="s">
        <v>1679</v>
      </c>
    </row>
    <row r="603" spans="2:6">
      <c r="B603" s="8">
        <v>601</v>
      </c>
      <c r="C603" s="10">
        <v>39834</v>
      </c>
      <c r="D603" s="6" t="str">
        <f t="shared" si="9"/>
        <v>Busan</v>
      </c>
      <c r="E603" s="9" t="s">
        <v>1596</v>
      </c>
      <c r="F603" s="9" t="s">
        <v>1680</v>
      </c>
    </row>
    <row r="604" spans="2:6">
      <c r="B604" s="8">
        <v>602</v>
      </c>
      <c r="C604" s="10">
        <v>80259</v>
      </c>
      <c r="D604" s="6" t="str">
        <f t="shared" si="9"/>
        <v>Busan</v>
      </c>
      <c r="E604" s="9" t="s">
        <v>1596</v>
      </c>
      <c r="F604" s="9" t="s">
        <v>1681</v>
      </c>
    </row>
    <row r="605" spans="2:6">
      <c r="B605" s="8">
        <v>603</v>
      </c>
      <c r="C605" s="10">
        <v>33649</v>
      </c>
      <c r="D605" s="6" t="str">
        <f t="shared" si="9"/>
        <v>Busan</v>
      </c>
      <c r="E605" s="9" t="s">
        <v>1596</v>
      </c>
      <c r="F605" s="9" t="s">
        <v>1682</v>
      </c>
    </row>
    <row r="606" spans="2:6">
      <c r="B606" s="8">
        <v>604</v>
      </c>
      <c r="C606" s="10">
        <v>33835</v>
      </c>
      <c r="D606" s="6" t="str">
        <f t="shared" si="9"/>
        <v>Busan</v>
      </c>
      <c r="E606" s="9" t="s">
        <v>1596</v>
      </c>
      <c r="F606" s="9" t="s">
        <v>1683</v>
      </c>
    </row>
    <row r="607" spans="2:6">
      <c r="B607" s="8">
        <v>605</v>
      </c>
      <c r="C607" s="10">
        <v>33823</v>
      </c>
      <c r="D607" s="6" t="str">
        <f t="shared" si="9"/>
        <v>Busan</v>
      </c>
      <c r="E607" s="9" t="s">
        <v>1596</v>
      </c>
      <c r="F607" s="9" t="s">
        <v>1684</v>
      </c>
    </row>
    <row r="608" spans="2:6">
      <c r="B608" s="8">
        <v>606</v>
      </c>
      <c r="C608" s="10">
        <v>33624</v>
      </c>
      <c r="D608" s="6" t="str">
        <f t="shared" si="9"/>
        <v>Busan</v>
      </c>
      <c r="E608" s="9" t="s">
        <v>1596</v>
      </c>
      <c r="F608" s="9" t="s">
        <v>1685</v>
      </c>
    </row>
    <row r="609" spans="2:6">
      <c r="B609" s="8">
        <v>607</v>
      </c>
      <c r="C609" s="10">
        <v>38938</v>
      </c>
      <c r="D609" s="6" t="str">
        <f t="shared" si="9"/>
        <v>Busan</v>
      </c>
      <c r="E609" s="9" t="s">
        <v>1596</v>
      </c>
      <c r="F609" s="9" t="s">
        <v>1686</v>
      </c>
    </row>
    <row r="610" spans="2:6">
      <c r="B610" s="8">
        <v>608</v>
      </c>
      <c r="C610" s="10">
        <v>85940</v>
      </c>
      <c r="D610" s="6" t="str">
        <f t="shared" si="9"/>
        <v>Busan</v>
      </c>
      <c r="E610" s="9" t="s">
        <v>1596</v>
      </c>
      <c r="F610" s="9" t="s">
        <v>1687</v>
      </c>
    </row>
    <row r="611" spans="2:6">
      <c r="B611" s="8">
        <v>609</v>
      </c>
      <c r="C611" s="10">
        <v>36627</v>
      </c>
      <c r="D611" s="6" t="str">
        <f t="shared" si="9"/>
        <v>Busan</v>
      </c>
      <c r="E611" s="9" t="s">
        <v>1596</v>
      </c>
      <c r="F611" s="9" t="s">
        <v>1688</v>
      </c>
    </row>
    <row r="612" spans="2:6">
      <c r="B612" s="8">
        <v>610</v>
      </c>
      <c r="C612" s="10">
        <v>86165</v>
      </c>
      <c r="D612" s="6" t="str">
        <f t="shared" si="9"/>
        <v>Busan</v>
      </c>
      <c r="E612" s="9" t="s">
        <v>1596</v>
      </c>
      <c r="F612" s="9" t="s">
        <v>1689</v>
      </c>
    </row>
    <row r="613" spans="2:6">
      <c r="B613" s="8">
        <v>611</v>
      </c>
      <c r="C613" s="10">
        <v>34025</v>
      </c>
      <c r="D613" s="6" t="str">
        <f t="shared" si="9"/>
        <v>Jeju</v>
      </c>
      <c r="E613" s="9" t="s">
        <v>1690</v>
      </c>
      <c r="F613" s="9" t="s">
        <v>1691</v>
      </c>
    </row>
    <row r="614" spans="2:6">
      <c r="B614" s="8">
        <v>612</v>
      </c>
      <c r="C614" s="10">
        <v>34033</v>
      </c>
      <c r="D614" s="6" t="str">
        <f t="shared" si="9"/>
        <v>Jeju</v>
      </c>
      <c r="E614" s="9" t="s">
        <v>1690</v>
      </c>
      <c r="F614" s="9" t="s">
        <v>1692</v>
      </c>
    </row>
    <row r="615" spans="2:6">
      <c r="B615" s="8">
        <v>613</v>
      </c>
      <c r="C615" s="10">
        <v>34024</v>
      </c>
      <c r="D615" s="6" t="str">
        <f t="shared" si="9"/>
        <v>Jeju</v>
      </c>
      <c r="E615" s="9" t="s">
        <v>1690</v>
      </c>
      <c r="F615" s="9" t="s">
        <v>1693</v>
      </c>
    </row>
    <row r="616" spans="2:6">
      <c r="B616" s="8">
        <v>614</v>
      </c>
      <c r="C616" s="10">
        <v>34030</v>
      </c>
      <c r="D616" s="6" t="str">
        <f t="shared" si="9"/>
        <v>Jeju</v>
      </c>
      <c r="E616" s="9" t="s">
        <v>1690</v>
      </c>
      <c r="F616" s="9" t="s">
        <v>1694</v>
      </c>
    </row>
    <row r="617" spans="2:6">
      <c r="B617" s="8">
        <v>615</v>
      </c>
      <c r="C617" s="10">
        <v>34038</v>
      </c>
      <c r="D617" s="6" t="str">
        <f t="shared" si="9"/>
        <v>Jeju</v>
      </c>
      <c r="E617" s="9" t="s">
        <v>1690</v>
      </c>
      <c r="F617" s="9" t="s">
        <v>1695</v>
      </c>
    </row>
    <row r="618" spans="2:6">
      <c r="B618" s="8">
        <v>616</v>
      </c>
      <c r="C618" s="10">
        <v>34026</v>
      </c>
      <c r="D618" s="6" t="str">
        <f t="shared" si="9"/>
        <v>Jeju</v>
      </c>
      <c r="E618" s="9" t="s">
        <v>1690</v>
      </c>
      <c r="F618" s="9" t="s">
        <v>1696</v>
      </c>
    </row>
    <row r="619" spans="2:6">
      <c r="B619" s="8">
        <v>617</v>
      </c>
      <c r="C619" s="10">
        <v>34032</v>
      </c>
      <c r="D619" s="6" t="str">
        <f t="shared" si="9"/>
        <v>Jeju</v>
      </c>
      <c r="E619" s="9" t="s">
        <v>1690</v>
      </c>
      <c r="F619" s="9" t="s">
        <v>1697</v>
      </c>
    </row>
    <row r="620" spans="2:6">
      <c r="B620" s="8">
        <v>618</v>
      </c>
      <c r="C620" s="10">
        <v>34043</v>
      </c>
      <c r="D620" s="6" t="str">
        <f t="shared" si="9"/>
        <v>Jeju</v>
      </c>
      <c r="E620" s="9" t="s">
        <v>1690</v>
      </c>
      <c r="F620" s="9" t="s">
        <v>1698</v>
      </c>
    </row>
    <row r="621" spans="2:6">
      <c r="B621" s="8">
        <v>619</v>
      </c>
      <c r="C621" s="10">
        <v>34041</v>
      </c>
      <c r="D621" s="6" t="str">
        <f t="shared" si="9"/>
        <v>Jeju</v>
      </c>
      <c r="E621" s="9" t="s">
        <v>1690</v>
      </c>
      <c r="F621" s="9" t="s">
        <v>1699</v>
      </c>
    </row>
    <row r="622" spans="2:6">
      <c r="B622" s="8">
        <v>620</v>
      </c>
      <c r="C622" s="10">
        <v>34031</v>
      </c>
      <c r="D622" s="6" t="str">
        <f t="shared" si="9"/>
        <v>Jeju</v>
      </c>
      <c r="E622" s="9" t="s">
        <v>1690</v>
      </c>
      <c r="F622" s="9" t="s">
        <v>1700</v>
      </c>
    </row>
    <row r="623" spans="2:6">
      <c r="B623" s="8">
        <v>621</v>
      </c>
      <c r="C623" s="10">
        <v>34034</v>
      </c>
      <c r="D623" s="6" t="str">
        <f t="shared" si="9"/>
        <v>Jeju</v>
      </c>
      <c r="E623" s="9" t="s">
        <v>1690</v>
      </c>
      <c r="F623" s="9" t="s">
        <v>1701</v>
      </c>
    </row>
    <row r="624" spans="2:6">
      <c r="B624" s="8">
        <v>622</v>
      </c>
      <c r="C624" s="10">
        <v>34047</v>
      </c>
      <c r="D624" s="6" t="str">
        <f t="shared" si="9"/>
        <v>Jeju</v>
      </c>
      <c r="E624" s="9" t="s">
        <v>1690</v>
      </c>
      <c r="F624" s="9" t="s">
        <v>1702</v>
      </c>
    </row>
    <row r="625" spans="2:6">
      <c r="B625" s="8">
        <v>623</v>
      </c>
      <c r="C625" s="10">
        <v>34028</v>
      </c>
      <c r="D625" s="6" t="str">
        <f t="shared" si="9"/>
        <v>Jeju</v>
      </c>
      <c r="E625" s="9" t="s">
        <v>1690</v>
      </c>
      <c r="F625" s="9" t="s">
        <v>1703</v>
      </c>
    </row>
    <row r="626" spans="2:6">
      <c r="B626" s="8">
        <v>624</v>
      </c>
      <c r="C626" s="10">
        <v>34050</v>
      </c>
      <c r="D626" s="6" t="str">
        <f t="shared" si="9"/>
        <v>Jeju</v>
      </c>
      <c r="E626" s="9" t="s">
        <v>1690</v>
      </c>
      <c r="F626" s="9" t="s">
        <v>1704</v>
      </c>
    </row>
    <row r="627" spans="2:6">
      <c r="B627" s="8">
        <v>625</v>
      </c>
      <c r="C627" s="10">
        <v>34039</v>
      </c>
      <c r="D627" s="6" t="str">
        <f t="shared" si="9"/>
        <v>Jeju</v>
      </c>
      <c r="E627" s="9" t="s">
        <v>1690</v>
      </c>
      <c r="F627" s="9" t="s">
        <v>1705</v>
      </c>
    </row>
    <row r="628" spans="2:6">
      <c r="B628" s="8">
        <v>626</v>
      </c>
      <c r="C628" s="10">
        <v>34042</v>
      </c>
      <c r="D628" s="6" t="str">
        <f t="shared" si="9"/>
        <v>Jeju</v>
      </c>
      <c r="E628" s="9" t="s">
        <v>1690</v>
      </c>
      <c r="F628" s="9" t="s">
        <v>1706</v>
      </c>
    </row>
    <row r="629" spans="2:6">
      <c r="B629" s="8">
        <v>627</v>
      </c>
      <c r="C629" s="10">
        <v>34051</v>
      </c>
      <c r="D629" s="6" t="str">
        <f t="shared" si="9"/>
        <v>Jeju</v>
      </c>
      <c r="E629" s="9" t="s">
        <v>1690</v>
      </c>
      <c r="F629" s="9" t="s">
        <v>1707</v>
      </c>
    </row>
    <row r="630" spans="2:6">
      <c r="B630" s="8">
        <v>628</v>
      </c>
      <c r="C630" s="10">
        <v>34035</v>
      </c>
      <c r="D630" s="6" t="str">
        <f t="shared" si="9"/>
        <v>Jeju</v>
      </c>
      <c r="E630" s="9" t="s">
        <v>1690</v>
      </c>
      <c r="F630" s="9" t="s">
        <v>1708</v>
      </c>
    </row>
    <row r="631" spans="2:6">
      <c r="B631" s="8">
        <v>629</v>
      </c>
      <c r="C631" s="10">
        <v>34044</v>
      </c>
      <c r="D631" s="6" t="str">
        <f t="shared" si="9"/>
        <v>Jeju</v>
      </c>
      <c r="E631" s="9" t="s">
        <v>1690</v>
      </c>
      <c r="F631" s="9" t="s">
        <v>1709</v>
      </c>
    </row>
    <row r="632" spans="2:6">
      <c r="B632" s="8">
        <v>630</v>
      </c>
      <c r="C632" s="10">
        <v>35536</v>
      </c>
      <c r="D632" s="6" t="str">
        <f t="shared" si="9"/>
        <v>Jeju</v>
      </c>
      <c r="E632" s="9" t="s">
        <v>1690</v>
      </c>
      <c r="F632" s="9" t="s">
        <v>1710</v>
      </c>
    </row>
    <row r="633" spans="2:6">
      <c r="B633" s="8">
        <v>631</v>
      </c>
      <c r="C633" s="10">
        <v>34046</v>
      </c>
      <c r="D633" s="6" t="str">
        <f t="shared" si="9"/>
        <v>Jeju</v>
      </c>
      <c r="E633" s="9" t="s">
        <v>1690</v>
      </c>
      <c r="F633" s="9" t="s">
        <v>1711</v>
      </c>
    </row>
    <row r="634" spans="2:6">
      <c r="B634" s="8">
        <v>632</v>
      </c>
      <c r="C634" s="10">
        <v>34437</v>
      </c>
      <c r="D634" s="6" t="str">
        <f t="shared" si="9"/>
        <v>Jeju</v>
      </c>
      <c r="E634" s="9" t="s">
        <v>1690</v>
      </c>
      <c r="F634" s="9" t="s">
        <v>1712</v>
      </c>
    </row>
    <row r="635" spans="2:6">
      <c r="B635" s="8">
        <v>633</v>
      </c>
      <c r="C635" s="10">
        <v>34040</v>
      </c>
      <c r="D635" s="6" t="str">
        <f t="shared" si="9"/>
        <v>Jeju</v>
      </c>
      <c r="E635" s="9" t="s">
        <v>1690</v>
      </c>
      <c r="F635" s="9" t="s">
        <v>1713</v>
      </c>
    </row>
    <row r="636" spans="2:6">
      <c r="B636" s="8">
        <v>634</v>
      </c>
      <c r="C636" s="10">
        <v>34045</v>
      </c>
      <c r="D636" s="6" t="str">
        <f t="shared" si="9"/>
        <v>Jeju</v>
      </c>
      <c r="E636" s="9" t="s">
        <v>1690</v>
      </c>
      <c r="F636" s="9" t="s">
        <v>1714</v>
      </c>
    </row>
    <row r="637" spans="2:6">
      <c r="B637" s="8">
        <v>635</v>
      </c>
      <c r="C637" s="10">
        <v>36194</v>
      </c>
      <c r="D637" s="6" t="str">
        <f t="shared" si="9"/>
        <v>Jeju</v>
      </c>
      <c r="E637" s="9" t="s">
        <v>1690</v>
      </c>
      <c r="F637" s="9" t="s">
        <v>1715</v>
      </c>
    </row>
    <row r="638" spans="2:6">
      <c r="B638" s="8">
        <v>636</v>
      </c>
      <c r="C638" s="10">
        <v>34027</v>
      </c>
      <c r="D638" s="6" t="str">
        <f t="shared" si="9"/>
        <v>Jeju</v>
      </c>
      <c r="E638" s="9" t="s">
        <v>1690</v>
      </c>
      <c r="F638" s="9" t="s">
        <v>1716</v>
      </c>
    </row>
    <row r="639" spans="2:6">
      <c r="B639" s="8">
        <v>637</v>
      </c>
      <c r="C639" s="10">
        <v>39057</v>
      </c>
      <c r="D639" s="6" t="str">
        <f t="shared" si="9"/>
        <v>Jeju</v>
      </c>
      <c r="E639" s="9" t="s">
        <v>1690</v>
      </c>
      <c r="F639" s="9" t="s">
        <v>1717</v>
      </c>
    </row>
    <row r="640" spans="2:6">
      <c r="B640" s="8">
        <v>638</v>
      </c>
      <c r="C640" s="10">
        <v>37233</v>
      </c>
      <c r="D640" s="6" t="str">
        <f t="shared" si="9"/>
        <v>Jeju</v>
      </c>
      <c r="E640" s="9" t="s">
        <v>1690</v>
      </c>
      <c r="F640" s="9" t="s">
        <v>1718</v>
      </c>
    </row>
    <row r="641" spans="2:6">
      <c r="B641" s="8">
        <v>639</v>
      </c>
      <c r="C641" s="10">
        <v>34438</v>
      </c>
      <c r="D641" s="6" t="str">
        <f t="shared" si="9"/>
        <v>Jeju</v>
      </c>
      <c r="E641" s="9" t="s">
        <v>1690</v>
      </c>
      <c r="F641" s="9" t="s">
        <v>1719</v>
      </c>
    </row>
    <row r="642" spans="2:6">
      <c r="B642" s="8">
        <v>640</v>
      </c>
      <c r="C642" s="10">
        <v>80638</v>
      </c>
      <c r="D642" s="6" t="str">
        <f t="shared" si="9"/>
        <v>Jeju</v>
      </c>
      <c r="E642" s="9" t="s">
        <v>1690</v>
      </c>
      <c r="F642" s="9" t="s">
        <v>1720</v>
      </c>
    </row>
    <row r="643" spans="2:6">
      <c r="B643" s="8">
        <v>641</v>
      </c>
      <c r="C643" s="10">
        <v>36668</v>
      </c>
      <c r="D643" s="6" t="str">
        <f t="shared" si="9"/>
        <v>Jeju</v>
      </c>
      <c r="E643" s="9" t="s">
        <v>1690</v>
      </c>
      <c r="F643" s="9" t="s">
        <v>1721</v>
      </c>
    </row>
    <row r="644" spans="2:6">
      <c r="B644" s="8">
        <v>642</v>
      </c>
      <c r="C644" s="10">
        <v>83768</v>
      </c>
      <c r="D644" s="6" t="str">
        <f t="shared" ref="D644:D707" si="10">IFERROR(VLOOKUP(E644,$H$3:$J$16,2,0),"")</f>
        <v>Jeju</v>
      </c>
      <c r="E644" s="9" t="s">
        <v>1690</v>
      </c>
      <c r="F644" s="9" t="s">
        <v>1722</v>
      </c>
    </row>
    <row r="645" spans="2:6">
      <c r="B645" s="8">
        <v>643</v>
      </c>
      <c r="C645" s="10">
        <v>85634</v>
      </c>
      <c r="D645" s="6" t="str">
        <f t="shared" si="10"/>
        <v>Jeju</v>
      </c>
      <c r="E645" s="9" t="s">
        <v>1690</v>
      </c>
      <c r="F645" s="9" t="s">
        <v>1723</v>
      </c>
    </row>
    <row r="646" spans="2:6">
      <c r="B646" s="8">
        <v>644</v>
      </c>
      <c r="C646" s="10">
        <v>86319</v>
      </c>
      <c r="D646" s="6" t="str">
        <f t="shared" si="10"/>
        <v>Daegu</v>
      </c>
      <c r="E646" s="9" t="s">
        <v>1724</v>
      </c>
      <c r="F646" s="9" t="s">
        <v>1725</v>
      </c>
    </row>
    <row r="647" spans="2:6">
      <c r="B647" s="8">
        <v>645</v>
      </c>
      <c r="C647" s="10">
        <v>33707</v>
      </c>
      <c r="D647" s="6" t="str">
        <f t="shared" si="10"/>
        <v>Daegu</v>
      </c>
      <c r="E647" s="9" t="s">
        <v>1724</v>
      </c>
      <c r="F647" s="9" t="s">
        <v>1726</v>
      </c>
    </row>
    <row r="648" spans="2:6">
      <c r="B648" s="8">
        <v>646</v>
      </c>
      <c r="C648" s="10">
        <v>33777</v>
      </c>
      <c r="D648" s="6" t="str">
        <f t="shared" si="10"/>
        <v>Daegu</v>
      </c>
      <c r="E648" s="9" t="s">
        <v>1724</v>
      </c>
      <c r="F648" s="9" t="s">
        <v>1727</v>
      </c>
    </row>
    <row r="649" spans="2:6">
      <c r="B649" s="8">
        <v>647</v>
      </c>
      <c r="C649" s="10">
        <v>33701</v>
      </c>
      <c r="D649" s="6" t="str">
        <f t="shared" si="10"/>
        <v>Daegu</v>
      </c>
      <c r="E649" s="9" t="s">
        <v>1724</v>
      </c>
      <c r="F649" s="9" t="s">
        <v>1728</v>
      </c>
    </row>
    <row r="650" spans="2:6">
      <c r="B650" s="8">
        <v>648</v>
      </c>
      <c r="C650" s="10">
        <v>80200</v>
      </c>
      <c r="D650" s="6" t="str">
        <f t="shared" si="10"/>
        <v>Daegu</v>
      </c>
      <c r="E650" s="9" t="s">
        <v>1724</v>
      </c>
      <c r="F650" s="9" t="s">
        <v>1729</v>
      </c>
    </row>
    <row r="651" spans="2:6">
      <c r="B651" s="8">
        <v>649</v>
      </c>
      <c r="C651" s="10">
        <v>84012</v>
      </c>
      <c r="D651" s="6" t="str">
        <f t="shared" si="10"/>
        <v>Daegu</v>
      </c>
      <c r="E651" s="9" t="s">
        <v>1724</v>
      </c>
      <c r="F651" s="9" t="s">
        <v>1730</v>
      </c>
    </row>
    <row r="652" spans="2:6">
      <c r="B652" s="8">
        <v>650</v>
      </c>
      <c r="C652" s="10">
        <v>33703</v>
      </c>
      <c r="D652" s="6" t="str">
        <f t="shared" si="10"/>
        <v>Daegu</v>
      </c>
      <c r="E652" s="9" t="s">
        <v>1724</v>
      </c>
      <c r="F652" s="9" t="s">
        <v>1731</v>
      </c>
    </row>
    <row r="653" spans="2:6">
      <c r="B653" s="8">
        <v>651</v>
      </c>
      <c r="C653" s="10">
        <v>35394</v>
      </c>
      <c r="D653" s="6" t="str">
        <f t="shared" si="10"/>
        <v>Daegu</v>
      </c>
      <c r="E653" s="9" t="s">
        <v>1724</v>
      </c>
      <c r="F653" s="9" t="s">
        <v>1732</v>
      </c>
    </row>
    <row r="654" spans="2:6">
      <c r="B654" s="8">
        <v>652</v>
      </c>
      <c r="C654" s="10">
        <v>33753</v>
      </c>
      <c r="D654" s="6" t="str">
        <f t="shared" si="10"/>
        <v>Daegu</v>
      </c>
      <c r="E654" s="9" t="s">
        <v>1724</v>
      </c>
      <c r="F654" s="9" t="s">
        <v>1733</v>
      </c>
    </row>
    <row r="655" spans="2:6">
      <c r="B655" s="8">
        <v>653</v>
      </c>
      <c r="C655" s="10">
        <v>36773</v>
      </c>
      <c r="D655" s="6" t="str">
        <f t="shared" si="10"/>
        <v>Daegu</v>
      </c>
      <c r="E655" s="9" t="s">
        <v>1724</v>
      </c>
      <c r="F655" s="9" t="s">
        <v>1734</v>
      </c>
    </row>
    <row r="656" spans="2:6">
      <c r="B656" s="8">
        <v>654</v>
      </c>
      <c r="C656" s="10">
        <v>83721</v>
      </c>
      <c r="D656" s="6" t="str">
        <f t="shared" si="10"/>
        <v>Daegu</v>
      </c>
      <c r="E656" s="9" t="s">
        <v>1724</v>
      </c>
      <c r="F656" s="9" t="s">
        <v>1735</v>
      </c>
    </row>
    <row r="657" spans="2:6">
      <c r="B657" s="8">
        <v>655</v>
      </c>
      <c r="C657" s="10">
        <v>80127</v>
      </c>
      <c r="D657" s="6" t="str">
        <f t="shared" si="10"/>
        <v>Daegu</v>
      </c>
      <c r="E657" s="9" t="s">
        <v>1724</v>
      </c>
      <c r="F657" s="9" t="s">
        <v>1736</v>
      </c>
    </row>
    <row r="658" spans="2:6">
      <c r="B658" s="8">
        <v>656</v>
      </c>
      <c r="C658" s="10">
        <v>34426</v>
      </c>
      <c r="D658" s="6" t="str">
        <f t="shared" si="10"/>
        <v>Daegu</v>
      </c>
      <c r="E658" s="9" t="s">
        <v>1724</v>
      </c>
      <c r="F658" s="9" t="s">
        <v>1737</v>
      </c>
    </row>
    <row r="659" spans="2:6">
      <c r="B659" s="8">
        <v>657</v>
      </c>
      <c r="C659" s="10">
        <v>33683</v>
      </c>
      <c r="D659" s="6" t="str">
        <f t="shared" si="10"/>
        <v>Daegu</v>
      </c>
      <c r="E659" s="9" t="s">
        <v>1724</v>
      </c>
      <c r="F659" s="9" t="s">
        <v>1738</v>
      </c>
    </row>
    <row r="660" spans="2:6">
      <c r="B660" s="8">
        <v>658</v>
      </c>
      <c r="C660" s="10">
        <v>37216</v>
      </c>
      <c r="D660" s="6" t="str">
        <f t="shared" si="10"/>
        <v>Daegu</v>
      </c>
      <c r="E660" s="9" t="s">
        <v>1724</v>
      </c>
      <c r="F660" s="9" t="s">
        <v>1739</v>
      </c>
    </row>
    <row r="661" spans="2:6">
      <c r="B661" s="8">
        <v>659</v>
      </c>
      <c r="C661" s="10">
        <v>33706</v>
      </c>
      <c r="D661" s="6" t="str">
        <f t="shared" si="10"/>
        <v>Daegu</v>
      </c>
      <c r="E661" s="9" t="s">
        <v>1724</v>
      </c>
      <c r="F661" s="9" t="s">
        <v>1740</v>
      </c>
    </row>
    <row r="662" spans="2:6">
      <c r="B662" s="8">
        <v>660</v>
      </c>
      <c r="C662" s="10">
        <v>84148</v>
      </c>
      <c r="D662" s="6" t="str">
        <f t="shared" si="10"/>
        <v>Daegu</v>
      </c>
      <c r="E662" s="9" t="s">
        <v>1724</v>
      </c>
      <c r="F662" s="9" t="s">
        <v>1741</v>
      </c>
    </row>
    <row r="663" spans="2:6">
      <c r="B663" s="8">
        <v>661</v>
      </c>
      <c r="C663" s="10">
        <v>33692</v>
      </c>
      <c r="D663" s="6" t="str">
        <f t="shared" si="10"/>
        <v>Daegu</v>
      </c>
      <c r="E663" s="9" t="s">
        <v>1724</v>
      </c>
      <c r="F663" s="9" t="s">
        <v>1742</v>
      </c>
    </row>
    <row r="664" spans="2:6">
      <c r="B664" s="8">
        <v>662</v>
      </c>
      <c r="C664" s="10">
        <v>33748</v>
      </c>
      <c r="D664" s="6" t="str">
        <f t="shared" si="10"/>
        <v>Daegu</v>
      </c>
      <c r="E664" s="9" t="s">
        <v>1724</v>
      </c>
      <c r="F664" s="9" t="s">
        <v>1743</v>
      </c>
    </row>
    <row r="665" spans="2:6">
      <c r="B665" s="8">
        <v>663</v>
      </c>
      <c r="C665" s="10">
        <v>33686</v>
      </c>
      <c r="D665" s="6" t="str">
        <f t="shared" si="10"/>
        <v>Daegu</v>
      </c>
      <c r="E665" s="9" t="s">
        <v>1724</v>
      </c>
      <c r="F665" s="9" t="s">
        <v>1744</v>
      </c>
    </row>
    <row r="666" spans="2:6">
      <c r="B666" s="8">
        <v>664</v>
      </c>
      <c r="C666" s="10">
        <v>33781</v>
      </c>
      <c r="D666" s="6" t="str">
        <f t="shared" si="10"/>
        <v>Daegu</v>
      </c>
      <c r="E666" s="9" t="s">
        <v>1724</v>
      </c>
      <c r="F666" s="9" t="s">
        <v>1745</v>
      </c>
    </row>
    <row r="667" spans="2:6">
      <c r="B667" s="8">
        <v>665</v>
      </c>
      <c r="C667" s="10">
        <v>33723</v>
      </c>
      <c r="D667" s="6" t="str">
        <f t="shared" si="10"/>
        <v>Daegu</v>
      </c>
      <c r="E667" s="9" t="s">
        <v>1724</v>
      </c>
      <c r="F667" s="9" t="s">
        <v>1746</v>
      </c>
    </row>
    <row r="668" spans="2:6">
      <c r="B668" s="8">
        <v>666</v>
      </c>
      <c r="C668" s="10">
        <v>33702</v>
      </c>
      <c r="D668" s="6" t="str">
        <f t="shared" si="10"/>
        <v>Daegu</v>
      </c>
      <c r="E668" s="9" t="s">
        <v>1724</v>
      </c>
      <c r="F668" s="9" t="s">
        <v>1747</v>
      </c>
    </row>
    <row r="669" spans="2:6">
      <c r="B669" s="8">
        <v>667</v>
      </c>
      <c r="C669" s="10">
        <v>33733</v>
      </c>
      <c r="D669" s="6" t="str">
        <f t="shared" si="10"/>
        <v>Daegu</v>
      </c>
      <c r="E669" s="9" t="s">
        <v>1724</v>
      </c>
      <c r="F669" s="9" t="s">
        <v>1748</v>
      </c>
    </row>
    <row r="670" spans="2:6">
      <c r="B670" s="8">
        <v>668</v>
      </c>
      <c r="C670" s="10">
        <v>33746</v>
      </c>
      <c r="D670" s="6" t="str">
        <f t="shared" si="10"/>
        <v>Daegu</v>
      </c>
      <c r="E670" s="9" t="s">
        <v>1724</v>
      </c>
      <c r="F670" s="9" t="s">
        <v>1749</v>
      </c>
    </row>
    <row r="671" spans="2:6">
      <c r="B671" s="8">
        <v>669</v>
      </c>
      <c r="C671" s="10">
        <v>33684</v>
      </c>
      <c r="D671" s="6" t="str">
        <f t="shared" si="10"/>
        <v>Daegu</v>
      </c>
      <c r="E671" s="9" t="s">
        <v>1724</v>
      </c>
      <c r="F671" s="9" t="s">
        <v>1750</v>
      </c>
    </row>
    <row r="672" spans="2:6">
      <c r="B672" s="8">
        <v>670</v>
      </c>
      <c r="C672" s="10">
        <v>33729</v>
      </c>
      <c r="D672" s="6" t="str">
        <f t="shared" si="10"/>
        <v>Daegu</v>
      </c>
      <c r="E672" s="9" t="s">
        <v>1724</v>
      </c>
      <c r="F672" s="9" t="s">
        <v>1751</v>
      </c>
    </row>
    <row r="673" spans="2:6">
      <c r="B673" s="8">
        <v>671</v>
      </c>
      <c r="C673" s="10">
        <v>33690</v>
      </c>
      <c r="D673" s="6" t="str">
        <f t="shared" si="10"/>
        <v>Daegu</v>
      </c>
      <c r="E673" s="9" t="s">
        <v>1724</v>
      </c>
      <c r="F673" s="9" t="s">
        <v>1752</v>
      </c>
    </row>
    <row r="674" spans="2:6">
      <c r="B674" s="8">
        <v>672</v>
      </c>
      <c r="C674" s="10">
        <v>33769</v>
      </c>
      <c r="D674" s="6" t="str">
        <f t="shared" si="10"/>
        <v>Daegu</v>
      </c>
      <c r="E674" s="9" t="s">
        <v>1724</v>
      </c>
      <c r="F674" s="9" t="s">
        <v>1753</v>
      </c>
    </row>
    <row r="675" spans="2:6">
      <c r="B675" s="8">
        <v>673</v>
      </c>
      <c r="C675" s="10">
        <v>33717</v>
      </c>
      <c r="D675" s="6" t="str">
        <f t="shared" si="10"/>
        <v>Daegu</v>
      </c>
      <c r="E675" s="9" t="s">
        <v>1724</v>
      </c>
      <c r="F675" s="9" t="s">
        <v>1189</v>
      </c>
    </row>
    <row r="676" spans="2:6">
      <c r="B676" s="8">
        <v>674</v>
      </c>
      <c r="C676" s="10">
        <v>33751</v>
      </c>
      <c r="D676" s="6" t="str">
        <f t="shared" si="10"/>
        <v>Daegu</v>
      </c>
      <c r="E676" s="9" t="s">
        <v>1724</v>
      </c>
      <c r="F676" s="9" t="s">
        <v>1754</v>
      </c>
    </row>
    <row r="677" spans="2:6">
      <c r="B677" s="8">
        <v>675</v>
      </c>
      <c r="C677" s="10">
        <v>34854</v>
      </c>
      <c r="D677" s="6" t="str">
        <f t="shared" si="10"/>
        <v>Daegu</v>
      </c>
      <c r="E677" s="9" t="s">
        <v>1724</v>
      </c>
      <c r="F677" s="9" t="s">
        <v>1755</v>
      </c>
    </row>
    <row r="678" spans="2:6">
      <c r="B678" s="8">
        <v>676</v>
      </c>
      <c r="C678" s="10">
        <v>33755</v>
      </c>
      <c r="D678" s="6" t="str">
        <f t="shared" si="10"/>
        <v>Daegu</v>
      </c>
      <c r="E678" s="9" t="s">
        <v>1724</v>
      </c>
      <c r="F678" s="9" t="s">
        <v>1756</v>
      </c>
    </row>
    <row r="679" spans="2:6">
      <c r="B679" s="8">
        <v>677</v>
      </c>
      <c r="C679" s="10">
        <v>33768</v>
      </c>
      <c r="D679" s="6" t="str">
        <f t="shared" si="10"/>
        <v>Daegu</v>
      </c>
      <c r="E679" s="9" t="s">
        <v>1724</v>
      </c>
      <c r="F679" s="9" t="s">
        <v>1757</v>
      </c>
    </row>
    <row r="680" spans="2:6">
      <c r="B680" s="8">
        <v>678</v>
      </c>
      <c r="C680" s="10">
        <v>33728</v>
      </c>
      <c r="D680" s="6" t="str">
        <f t="shared" si="10"/>
        <v>Daegu</v>
      </c>
      <c r="E680" s="9" t="s">
        <v>1724</v>
      </c>
      <c r="F680" s="9" t="s">
        <v>1758</v>
      </c>
    </row>
    <row r="681" spans="2:6">
      <c r="B681" s="8">
        <v>679</v>
      </c>
      <c r="C681" s="10">
        <v>33712</v>
      </c>
      <c r="D681" s="6" t="str">
        <f t="shared" si="10"/>
        <v>Daegu</v>
      </c>
      <c r="E681" s="9" t="s">
        <v>1724</v>
      </c>
      <c r="F681" s="9" t="s">
        <v>1759</v>
      </c>
    </row>
    <row r="682" spans="2:6">
      <c r="B682" s="8">
        <v>680</v>
      </c>
      <c r="C682" s="10">
        <v>33786</v>
      </c>
      <c r="D682" s="6" t="str">
        <f t="shared" si="10"/>
        <v>Daegu</v>
      </c>
      <c r="E682" s="9" t="s">
        <v>1724</v>
      </c>
      <c r="F682" s="9" t="s">
        <v>1760</v>
      </c>
    </row>
    <row r="683" spans="2:6">
      <c r="B683" s="8">
        <v>681</v>
      </c>
      <c r="C683" s="10">
        <v>33708</v>
      </c>
      <c r="D683" s="6" t="str">
        <f t="shared" si="10"/>
        <v>Daegu</v>
      </c>
      <c r="E683" s="9" t="s">
        <v>1724</v>
      </c>
      <c r="F683" s="9" t="s">
        <v>1761</v>
      </c>
    </row>
    <row r="684" spans="2:6">
      <c r="B684" s="8">
        <v>682</v>
      </c>
      <c r="C684" s="10">
        <v>33725</v>
      </c>
      <c r="D684" s="6" t="str">
        <f t="shared" si="10"/>
        <v>Daegu</v>
      </c>
      <c r="E684" s="9" t="s">
        <v>1724</v>
      </c>
      <c r="F684" s="9" t="s">
        <v>1762</v>
      </c>
    </row>
    <row r="685" spans="2:6">
      <c r="B685" s="8">
        <v>683</v>
      </c>
      <c r="C685" s="10">
        <v>84147</v>
      </c>
      <c r="D685" s="6" t="str">
        <f t="shared" si="10"/>
        <v>Daegu</v>
      </c>
      <c r="E685" s="9" t="s">
        <v>1724</v>
      </c>
      <c r="F685" s="9" t="s">
        <v>1763</v>
      </c>
    </row>
    <row r="686" spans="2:6">
      <c r="B686" s="8">
        <v>684</v>
      </c>
      <c r="C686" s="10">
        <v>36622</v>
      </c>
      <c r="D686" s="6" t="str">
        <f t="shared" si="10"/>
        <v>Daegu</v>
      </c>
      <c r="E686" s="9" t="s">
        <v>1724</v>
      </c>
      <c r="F686" s="9" t="s">
        <v>1764</v>
      </c>
    </row>
    <row r="687" spans="2:6">
      <c r="B687" s="8">
        <v>685</v>
      </c>
      <c r="C687" s="10">
        <v>33743</v>
      </c>
      <c r="D687" s="6" t="str">
        <f t="shared" si="10"/>
        <v>Daegu</v>
      </c>
      <c r="E687" s="9" t="s">
        <v>1724</v>
      </c>
      <c r="F687" s="9" t="s">
        <v>1765</v>
      </c>
    </row>
    <row r="688" spans="2:6">
      <c r="B688" s="8">
        <v>686</v>
      </c>
      <c r="C688" s="10">
        <v>33742</v>
      </c>
      <c r="D688" s="6" t="str">
        <f t="shared" si="10"/>
        <v>Daegu</v>
      </c>
      <c r="E688" s="9" t="s">
        <v>1724</v>
      </c>
      <c r="F688" s="9" t="s">
        <v>1766</v>
      </c>
    </row>
    <row r="689" spans="2:6">
      <c r="B689" s="8">
        <v>687</v>
      </c>
      <c r="C689" s="10">
        <v>33685</v>
      </c>
      <c r="D689" s="6" t="str">
        <f t="shared" si="10"/>
        <v>Daegu</v>
      </c>
      <c r="E689" s="9" t="s">
        <v>1724</v>
      </c>
      <c r="F689" s="9" t="s">
        <v>1767</v>
      </c>
    </row>
    <row r="690" spans="2:6">
      <c r="B690" s="8">
        <v>688</v>
      </c>
      <c r="C690" s="10">
        <v>33771</v>
      </c>
      <c r="D690" s="6" t="str">
        <f t="shared" si="10"/>
        <v>Daegu</v>
      </c>
      <c r="E690" s="9" t="s">
        <v>1724</v>
      </c>
      <c r="F690" s="9" t="s">
        <v>1768</v>
      </c>
    </row>
    <row r="691" spans="2:6">
      <c r="B691" s="8">
        <v>689</v>
      </c>
      <c r="C691" s="10">
        <v>33687</v>
      </c>
      <c r="D691" s="6" t="str">
        <f t="shared" si="10"/>
        <v>Daegu</v>
      </c>
      <c r="E691" s="9" t="s">
        <v>1724</v>
      </c>
      <c r="F691" s="9" t="s">
        <v>1769</v>
      </c>
    </row>
    <row r="692" spans="2:6">
      <c r="B692" s="8">
        <v>690</v>
      </c>
      <c r="C692" s="10">
        <v>33718</v>
      </c>
      <c r="D692" s="6" t="str">
        <f t="shared" si="10"/>
        <v>Daegu</v>
      </c>
      <c r="E692" s="9" t="s">
        <v>1724</v>
      </c>
      <c r="F692" s="9" t="s">
        <v>1770</v>
      </c>
    </row>
    <row r="693" spans="2:6">
      <c r="B693" s="8">
        <v>691</v>
      </c>
      <c r="C693" s="10">
        <v>35141</v>
      </c>
      <c r="D693" s="6" t="str">
        <f t="shared" si="10"/>
        <v>Daegu</v>
      </c>
      <c r="E693" s="9" t="s">
        <v>1724</v>
      </c>
      <c r="F693" s="9" t="s">
        <v>1771</v>
      </c>
    </row>
    <row r="694" spans="2:6">
      <c r="B694" s="8">
        <v>692</v>
      </c>
      <c r="C694" s="10">
        <v>33713</v>
      </c>
      <c r="D694" s="6" t="str">
        <f t="shared" si="10"/>
        <v>Daegu</v>
      </c>
      <c r="E694" s="9" t="s">
        <v>1724</v>
      </c>
      <c r="F694" s="9" t="s">
        <v>1772</v>
      </c>
    </row>
    <row r="695" spans="2:6">
      <c r="B695" s="8">
        <v>693</v>
      </c>
      <c r="C695" s="10">
        <v>33722</v>
      </c>
      <c r="D695" s="6" t="str">
        <f t="shared" si="10"/>
        <v>Daegu</v>
      </c>
      <c r="E695" s="9" t="s">
        <v>1724</v>
      </c>
      <c r="F695" s="9" t="s">
        <v>1773</v>
      </c>
    </row>
    <row r="696" spans="2:6">
      <c r="B696" s="8">
        <v>694</v>
      </c>
      <c r="C696" s="10">
        <v>35111</v>
      </c>
      <c r="D696" s="6" t="str">
        <f t="shared" si="10"/>
        <v>Daegu</v>
      </c>
      <c r="E696" s="9" t="s">
        <v>1724</v>
      </c>
      <c r="F696" s="9" t="s">
        <v>1774</v>
      </c>
    </row>
    <row r="697" spans="2:6">
      <c r="B697" s="8">
        <v>695</v>
      </c>
      <c r="C697" s="10">
        <v>33738</v>
      </c>
      <c r="D697" s="6" t="str">
        <f t="shared" si="10"/>
        <v>Daegu</v>
      </c>
      <c r="E697" s="9" t="s">
        <v>1724</v>
      </c>
      <c r="F697" s="9" t="s">
        <v>1775</v>
      </c>
    </row>
    <row r="698" spans="2:6">
      <c r="B698" s="8">
        <v>696</v>
      </c>
      <c r="C698" s="10">
        <v>33694</v>
      </c>
      <c r="D698" s="6" t="str">
        <f t="shared" si="10"/>
        <v>Daegu</v>
      </c>
      <c r="E698" s="9" t="s">
        <v>1724</v>
      </c>
      <c r="F698" s="9" t="s">
        <v>1776</v>
      </c>
    </row>
    <row r="699" spans="2:6">
      <c r="B699" s="8">
        <v>697</v>
      </c>
      <c r="C699" s="10">
        <v>33772</v>
      </c>
      <c r="D699" s="6" t="str">
        <f t="shared" si="10"/>
        <v>Daegu</v>
      </c>
      <c r="E699" s="9" t="s">
        <v>1724</v>
      </c>
      <c r="F699" s="9" t="s">
        <v>1777</v>
      </c>
    </row>
    <row r="700" spans="2:6">
      <c r="B700" s="8">
        <v>698</v>
      </c>
      <c r="C700" s="10">
        <v>33695</v>
      </c>
      <c r="D700" s="6" t="str">
        <f t="shared" si="10"/>
        <v>Daegu</v>
      </c>
      <c r="E700" s="9" t="s">
        <v>1724</v>
      </c>
      <c r="F700" s="9" t="s">
        <v>1778</v>
      </c>
    </row>
    <row r="701" spans="2:6">
      <c r="B701" s="8">
        <v>699</v>
      </c>
      <c r="C701" s="10">
        <v>33749</v>
      </c>
      <c r="D701" s="6" t="str">
        <f t="shared" si="10"/>
        <v>Daegu</v>
      </c>
      <c r="E701" s="9" t="s">
        <v>1724</v>
      </c>
      <c r="F701" s="9" t="s">
        <v>1779</v>
      </c>
    </row>
    <row r="702" spans="2:6">
      <c r="B702" s="8">
        <v>700</v>
      </c>
      <c r="C702" s="10">
        <v>33752</v>
      </c>
      <c r="D702" s="6" t="str">
        <f t="shared" si="10"/>
        <v>Daegu</v>
      </c>
      <c r="E702" s="9" t="s">
        <v>1724</v>
      </c>
      <c r="F702" s="9" t="s">
        <v>1460</v>
      </c>
    </row>
    <row r="703" spans="2:6">
      <c r="B703" s="8">
        <v>701</v>
      </c>
      <c r="C703" s="10">
        <v>33735</v>
      </c>
      <c r="D703" s="6" t="str">
        <f t="shared" si="10"/>
        <v>Daegu</v>
      </c>
      <c r="E703" s="9" t="s">
        <v>1724</v>
      </c>
      <c r="F703" s="9" t="s">
        <v>1780</v>
      </c>
    </row>
    <row r="704" spans="2:6">
      <c r="B704" s="8">
        <v>702</v>
      </c>
      <c r="C704" s="10">
        <v>33740</v>
      </c>
      <c r="D704" s="6" t="str">
        <f t="shared" si="10"/>
        <v>Daegu</v>
      </c>
      <c r="E704" s="9" t="s">
        <v>1724</v>
      </c>
      <c r="F704" s="9" t="s">
        <v>1781</v>
      </c>
    </row>
    <row r="705" spans="2:6">
      <c r="B705" s="8">
        <v>703</v>
      </c>
      <c r="C705" s="10">
        <v>33719</v>
      </c>
      <c r="D705" s="6" t="str">
        <f t="shared" si="10"/>
        <v>Daegu</v>
      </c>
      <c r="E705" s="9" t="s">
        <v>1724</v>
      </c>
      <c r="F705" s="9" t="s">
        <v>1782</v>
      </c>
    </row>
    <row r="706" spans="2:6">
      <c r="B706" s="8">
        <v>704</v>
      </c>
      <c r="C706" s="10">
        <v>33747</v>
      </c>
      <c r="D706" s="6" t="str">
        <f t="shared" si="10"/>
        <v>Daegu</v>
      </c>
      <c r="E706" s="9" t="s">
        <v>1724</v>
      </c>
      <c r="F706" s="9" t="s">
        <v>1783</v>
      </c>
    </row>
    <row r="707" spans="2:6">
      <c r="B707" s="8">
        <v>705</v>
      </c>
      <c r="C707" s="10">
        <v>33688</v>
      </c>
      <c r="D707" s="6" t="str">
        <f t="shared" si="10"/>
        <v>Daegu</v>
      </c>
      <c r="E707" s="9" t="s">
        <v>1724</v>
      </c>
      <c r="F707" s="9" t="s">
        <v>1784</v>
      </c>
    </row>
    <row r="708" spans="2:6">
      <c r="B708" s="8">
        <v>706</v>
      </c>
      <c r="C708" s="10">
        <v>33696</v>
      </c>
      <c r="D708" s="6" t="str">
        <f t="shared" ref="D708:D771" si="11">IFERROR(VLOOKUP(E708,$H$3:$J$16,2,0),"")</f>
        <v>Daegu</v>
      </c>
      <c r="E708" s="9" t="s">
        <v>1724</v>
      </c>
      <c r="F708" s="9" t="s">
        <v>1785</v>
      </c>
    </row>
    <row r="709" spans="2:6">
      <c r="B709" s="8">
        <v>707</v>
      </c>
      <c r="C709" s="10">
        <v>33709</v>
      </c>
      <c r="D709" s="6" t="str">
        <f t="shared" si="11"/>
        <v>Daegu</v>
      </c>
      <c r="E709" s="9" t="s">
        <v>1724</v>
      </c>
      <c r="F709" s="9" t="s">
        <v>1786</v>
      </c>
    </row>
    <row r="710" spans="2:6">
      <c r="B710" s="8">
        <v>708</v>
      </c>
      <c r="C710" s="10">
        <v>33791</v>
      </c>
      <c r="D710" s="6" t="str">
        <f t="shared" si="11"/>
        <v>Daegu</v>
      </c>
      <c r="E710" s="9" t="s">
        <v>1724</v>
      </c>
      <c r="F710" s="9" t="s">
        <v>1787</v>
      </c>
    </row>
    <row r="711" spans="2:6">
      <c r="B711" s="8">
        <v>709</v>
      </c>
      <c r="C711" s="10">
        <v>33698</v>
      </c>
      <c r="D711" s="6" t="str">
        <f t="shared" si="11"/>
        <v>Daegu</v>
      </c>
      <c r="E711" s="9" t="s">
        <v>1724</v>
      </c>
      <c r="F711" s="9" t="s">
        <v>1788</v>
      </c>
    </row>
    <row r="712" spans="2:6">
      <c r="B712" s="8">
        <v>710</v>
      </c>
      <c r="C712" s="10">
        <v>33744</v>
      </c>
      <c r="D712" s="6" t="str">
        <f t="shared" si="11"/>
        <v>Daegu</v>
      </c>
      <c r="E712" s="9" t="s">
        <v>1724</v>
      </c>
      <c r="F712" s="9" t="s">
        <v>1789</v>
      </c>
    </row>
    <row r="713" spans="2:6">
      <c r="B713" s="8">
        <v>711</v>
      </c>
      <c r="C713" s="10">
        <v>34850</v>
      </c>
      <c r="D713" s="6" t="str">
        <f t="shared" si="11"/>
        <v>Daegu</v>
      </c>
      <c r="E713" s="9" t="s">
        <v>1724</v>
      </c>
      <c r="F713" s="9" t="s">
        <v>1790</v>
      </c>
    </row>
    <row r="714" spans="2:6">
      <c r="B714" s="8">
        <v>712</v>
      </c>
      <c r="C714" s="10">
        <v>33734</v>
      </c>
      <c r="D714" s="6" t="str">
        <f t="shared" si="11"/>
        <v>Daegu</v>
      </c>
      <c r="E714" s="9" t="s">
        <v>1724</v>
      </c>
      <c r="F714" s="9" t="s">
        <v>1791</v>
      </c>
    </row>
    <row r="715" spans="2:6">
      <c r="B715" s="8">
        <v>713</v>
      </c>
      <c r="C715" s="10">
        <v>33720</v>
      </c>
      <c r="D715" s="6" t="str">
        <f t="shared" si="11"/>
        <v>Daegu</v>
      </c>
      <c r="E715" s="9" t="s">
        <v>1724</v>
      </c>
      <c r="F715" s="9" t="s">
        <v>1792</v>
      </c>
    </row>
    <row r="716" spans="2:6">
      <c r="B716" s="8">
        <v>714</v>
      </c>
      <c r="C716" s="10">
        <v>33739</v>
      </c>
      <c r="D716" s="6" t="str">
        <f t="shared" si="11"/>
        <v>Daegu</v>
      </c>
      <c r="E716" s="9" t="s">
        <v>1724</v>
      </c>
      <c r="F716" s="9" t="s">
        <v>1580</v>
      </c>
    </row>
    <row r="717" spans="2:6">
      <c r="B717" s="8">
        <v>715</v>
      </c>
      <c r="C717" s="10">
        <v>33774</v>
      </c>
      <c r="D717" s="6" t="str">
        <f t="shared" si="11"/>
        <v>Daegu</v>
      </c>
      <c r="E717" s="9" t="s">
        <v>1724</v>
      </c>
      <c r="F717" s="9" t="s">
        <v>1793</v>
      </c>
    </row>
    <row r="718" spans="2:6">
      <c r="B718" s="8">
        <v>716</v>
      </c>
      <c r="C718" s="10">
        <v>33727</v>
      </c>
      <c r="D718" s="6" t="str">
        <f t="shared" si="11"/>
        <v>Daegu</v>
      </c>
      <c r="E718" s="9" t="s">
        <v>1724</v>
      </c>
      <c r="F718" s="9" t="s">
        <v>1794</v>
      </c>
    </row>
    <row r="719" spans="2:6">
      <c r="B719" s="8">
        <v>717</v>
      </c>
      <c r="C719" s="10">
        <v>33770</v>
      </c>
      <c r="D719" s="6" t="str">
        <f t="shared" si="11"/>
        <v>Daegu</v>
      </c>
      <c r="E719" s="9" t="s">
        <v>1724</v>
      </c>
      <c r="F719" s="9" t="s">
        <v>1795</v>
      </c>
    </row>
    <row r="720" spans="2:6">
      <c r="B720" s="8">
        <v>718</v>
      </c>
      <c r="C720" s="10">
        <v>34427</v>
      </c>
      <c r="D720" s="6" t="str">
        <f t="shared" si="11"/>
        <v>Daegu</v>
      </c>
      <c r="E720" s="9" t="s">
        <v>1724</v>
      </c>
      <c r="F720" s="9" t="s">
        <v>1796</v>
      </c>
    </row>
    <row r="721" spans="2:6">
      <c r="B721" s="8">
        <v>719</v>
      </c>
      <c r="C721" s="10">
        <v>33763</v>
      </c>
      <c r="D721" s="6" t="str">
        <f t="shared" si="11"/>
        <v>Daegu</v>
      </c>
      <c r="E721" s="9" t="s">
        <v>1724</v>
      </c>
      <c r="F721" s="9" t="s">
        <v>1797</v>
      </c>
    </row>
    <row r="722" spans="2:6">
      <c r="B722" s="8">
        <v>720</v>
      </c>
      <c r="C722" s="10">
        <v>33704</v>
      </c>
      <c r="D722" s="6" t="str">
        <f t="shared" si="11"/>
        <v>Daegu</v>
      </c>
      <c r="E722" s="9" t="s">
        <v>1724</v>
      </c>
      <c r="F722" s="9" t="s">
        <v>1798</v>
      </c>
    </row>
    <row r="723" spans="2:6">
      <c r="B723" s="8">
        <v>721</v>
      </c>
      <c r="C723" s="10">
        <v>33776</v>
      </c>
      <c r="D723" s="6" t="str">
        <f t="shared" si="11"/>
        <v>Daegu</v>
      </c>
      <c r="E723" s="9" t="s">
        <v>1724</v>
      </c>
      <c r="F723" s="9" t="s">
        <v>1799</v>
      </c>
    </row>
    <row r="724" spans="2:6">
      <c r="B724" s="8">
        <v>722</v>
      </c>
      <c r="C724" s="10">
        <v>84068</v>
      </c>
      <c r="D724" s="6" t="str">
        <f t="shared" si="11"/>
        <v>Daegu</v>
      </c>
      <c r="E724" s="9" t="s">
        <v>1724</v>
      </c>
      <c r="F724" s="9" t="s">
        <v>1800</v>
      </c>
    </row>
    <row r="725" spans="2:6">
      <c r="B725" s="8">
        <v>723</v>
      </c>
      <c r="C725" s="10">
        <v>33782</v>
      </c>
      <c r="D725" s="6" t="str">
        <f t="shared" si="11"/>
        <v>Daegu</v>
      </c>
      <c r="E725" s="9" t="s">
        <v>1724</v>
      </c>
      <c r="F725" s="9" t="s">
        <v>1801</v>
      </c>
    </row>
    <row r="726" spans="2:6">
      <c r="B726" s="8">
        <v>724</v>
      </c>
      <c r="C726" s="10">
        <v>33756</v>
      </c>
      <c r="D726" s="6" t="str">
        <f t="shared" si="11"/>
        <v>Daegu</v>
      </c>
      <c r="E726" s="9" t="s">
        <v>1724</v>
      </c>
      <c r="F726" s="9" t="s">
        <v>1802</v>
      </c>
    </row>
    <row r="727" spans="2:6">
      <c r="B727" s="8">
        <v>725</v>
      </c>
      <c r="C727" s="10">
        <v>33767</v>
      </c>
      <c r="D727" s="6" t="str">
        <f t="shared" si="11"/>
        <v>Daegu</v>
      </c>
      <c r="E727" s="9" t="s">
        <v>1724</v>
      </c>
      <c r="F727" s="9" t="s">
        <v>1803</v>
      </c>
    </row>
    <row r="728" spans="2:6">
      <c r="B728" s="8">
        <v>726</v>
      </c>
      <c r="C728" s="10">
        <v>33788</v>
      </c>
      <c r="D728" s="6" t="str">
        <f t="shared" si="11"/>
        <v>Daegu</v>
      </c>
      <c r="E728" s="9" t="s">
        <v>1724</v>
      </c>
      <c r="F728" s="9" t="s">
        <v>1804</v>
      </c>
    </row>
    <row r="729" spans="2:6">
      <c r="B729" s="8">
        <v>727</v>
      </c>
      <c r="C729" s="10">
        <v>33699</v>
      </c>
      <c r="D729" s="6" t="str">
        <f t="shared" si="11"/>
        <v>Daegu</v>
      </c>
      <c r="E729" s="9" t="s">
        <v>1724</v>
      </c>
      <c r="F729" s="9" t="s">
        <v>1805</v>
      </c>
    </row>
    <row r="730" spans="2:6">
      <c r="B730" s="8">
        <v>728</v>
      </c>
      <c r="C730" s="10">
        <v>36479</v>
      </c>
      <c r="D730" s="6" t="str">
        <f t="shared" si="11"/>
        <v>Daegu</v>
      </c>
      <c r="E730" s="9" t="s">
        <v>1724</v>
      </c>
      <c r="F730" s="9" t="s">
        <v>1806</v>
      </c>
    </row>
    <row r="731" spans="2:6">
      <c r="B731" s="8">
        <v>729</v>
      </c>
      <c r="C731" s="10">
        <v>33773</v>
      </c>
      <c r="D731" s="6" t="str">
        <f t="shared" si="11"/>
        <v>Daegu</v>
      </c>
      <c r="E731" s="9" t="s">
        <v>1724</v>
      </c>
      <c r="F731" s="9" t="s">
        <v>1807</v>
      </c>
    </row>
    <row r="732" spans="2:6">
      <c r="B732" s="8">
        <v>730</v>
      </c>
      <c r="C732" s="10">
        <v>33764</v>
      </c>
      <c r="D732" s="6" t="str">
        <f t="shared" si="11"/>
        <v>Daegu</v>
      </c>
      <c r="E732" s="9" t="s">
        <v>1724</v>
      </c>
      <c r="F732" s="9" t="s">
        <v>1808</v>
      </c>
    </row>
    <row r="733" spans="2:6">
      <c r="B733" s="8">
        <v>731</v>
      </c>
      <c r="C733" s="10">
        <v>37228</v>
      </c>
      <c r="D733" s="6" t="str">
        <f t="shared" si="11"/>
        <v>Daegu</v>
      </c>
      <c r="E733" s="9" t="s">
        <v>1724</v>
      </c>
      <c r="F733" s="9" t="s">
        <v>1809</v>
      </c>
    </row>
    <row r="734" spans="2:6">
      <c r="B734" s="8">
        <v>732</v>
      </c>
      <c r="C734" s="10">
        <v>35842</v>
      </c>
      <c r="D734" s="6" t="str">
        <f t="shared" si="11"/>
        <v>Daegu</v>
      </c>
      <c r="E734" s="9" t="s">
        <v>1724</v>
      </c>
      <c r="F734" s="9" t="s">
        <v>1810</v>
      </c>
    </row>
    <row r="735" spans="2:6">
      <c r="B735" s="8">
        <v>733</v>
      </c>
      <c r="C735" s="10">
        <v>39262</v>
      </c>
      <c r="D735" s="6" t="str">
        <f t="shared" si="11"/>
        <v>Daegu</v>
      </c>
      <c r="E735" s="9" t="s">
        <v>1724</v>
      </c>
      <c r="F735" s="9" t="s">
        <v>1811</v>
      </c>
    </row>
    <row r="736" spans="2:6">
      <c r="B736" s="8">
        <v>734</v>
      </c>
      <c r="C736" s="10">
        <v>39032</v>
      </c>
      <c r="D736" s="6" t="str">
        <f t="shared" si="11"/>
        <v>Daegu</v>
      </c>
      <c r="E736" s="9" t="s">
        <v>1724</v>
      </c>
      <c r="F736" s="9" t="s">
        <v>1812</v>
      </c>
    </row>
    <row r="737" spans="2:6">
      <c r="B737" s="8">
        <v>735</v>
      </c>
      <c r="C737" s="10">
        <v>80493</v>
      </c>
      <c r="D737" s="6" t="str">
        <f t="shared" si="11"/>
        <v>Daegu</v>
      </c>
      <c r="E737" s="9" t="s">
        <v>1724</v>
      </c>
      <c r="F737" s="9" t="s">
        <v>1813</v>
      </c>
    </row>
    <row r="738" spans="2:6">
      <c r="B738" s="8">
        <v>736</v>
      </c>
      <c r="C738" s="10">
        <v>80590</v>
      </c>
      <c r="D738" s="6" t="str">
        <f t="shared" si="11"/>
        <v>Daegu</v>
      </c>
      <c r="E738" s="9" t="s">
        <v>1724</v>
      </c>
      <c r="F738" s="9" t="s">
        <v>1814</v>
      </c>
    </row>
    <row r="739" spans="2:6">
      <c r="B739" s="8">
        <v>737</v>
      </c>
      <c r="C739" s="10">
        <v>80604</v>
      </c>
      <c r="D739" s="6" t="str">
        <f t="shared" si="11"/>
        <v>Daegu</v>
      </c>
      <c r="E739" s="9" t="s">
        <v>1724</v>
      </c>
      <c r="F739" s="9" t="s">
        <v>1815</v>
      </c>
    </row>
    <row r="740" spans="2:6">
      <c r="B740" s="8">
        <v>738</v>
      </c>
      <c r="C740" s="10">
        <v>86090</v>
      </c>
      <c r="D740" s="6" t="str">
        <f t="shared" si="11"/>
        <v>Daegu</v>
      </c>
      <c r="E740" s="9" t="s">
        <v>1724</v>
      </c>
      <c r="F740" s="9" t="s">
        <v>1816</v>
      </c>
    </row>
    <row r="741" spans="2:6">
      <c r="B741" s="8">
        <v>739</v>
      </c>
      <c r="C741" s="10">
        <v>80526</v>
      </c>
      <c r="D741" s="6" t="str">
        <f t="shared" si="11"/>
        <v>Daegu</v>
      </c>
      <c r="E741" s="9" t="s">
        <v>1724</v>
      </c>
      <c r="F741" s="9" t="s">
        <v>1817</v>
      </c>
    </row>
    <row r="742" spans="2:6">
      <c r="B742" s="8">
        <v>740</v>
      </c>
      <c r="C742" s="10">
        <v>35450</v>
      </c>
      <c r="D742" s="6" t="str">
        <f t="shared" si="11"/>
        <v>Daegu</v>
      </c>
      <c r="E742" s="9" t="s">
        <v>1724</v>
      </c>
      <c r="F742" s="9" t="s">
        <v>1818</v>
      </c>
    </row>
    <row r="743" spans="2:6">
      <c r="B743" s="8">
        <v>741</v>
      </c>
      <c r="C743" s="10">
        <v>38208</v>
      </c>
      <c r="D743" s="6" t="str">
        <f t="shared" si="11"/>
        <v>Daegu</v>
      </c>
      <c r="E743" s="9" t="s">
        <v>1724</v>
      </c>
      <c r="F743" s="9" t="s">
        <v>1819</v>
      </c>
    </row>
    <row r="744" spans="2:6">
      <c r="B744" s="8">
        <v>742</v>
      </c>
      <c r="C744" s="10">
        <v>81588</v>
      </c>
      <c r="D744" s="6" t="str">
        <f t="shared" si="11"/>
        <v>Daegu</v>
      </c>
      <c r="E744" s="9" t="s">
        <v>1724</v>
      </c>
      <c r="F744" s="9" t="s">
        <v>1820</v>
      </c>
    </row>
    <row r="745" spans="2:6">
      <c r="B745" s="8">
        <v>743</v>
      </c>
      <c r="C745" s="10">
        <v>33724</v>
      </c>
      <c r="D745" s="6" t="str">
        <f t="shared" si="11"/>
        <v>Daegu</v>
      </c>
      <c r="E745" s="9" t="s">
        <v>1724</v>
      </c>
      <c r="F745" s="9" t="s">
        <v>1821</v>
      </c>
    </row>
    <row r="746" spans="2:6">
      <c r="B746" s="8">
        <v>744</v>
      </c>
      <c r="C746" s="10">
        <v>34769</v>
      </c>
      <c r="D746" s="6" t="str">
        <f t="shared" si="11"/>
        <v>Daegu</v>
      </c>
      <c r="E746" s="9" t="s">
        <v>1724</v>
      </c>
      <c r="F746" s="9" t="s">
        <v>1822</v>
      </c>
    </row>
    <row r="747" spans="2:6">
      <c r="B747" s="8">
        <v>745</v>
      </c>
      <c r="C747" s="10">
        <v>33762</v>
      </c>
      <c r="D747" s="6" t="str">
        <f t="shared" si="11"/>
        <v>Daegu</v>
      </c>
      <c r="E747" s="9" t="s">
        <v>1724</v>
      </c>
      <c r="F747" s="9" t="s">
        <v>1823</v>
      </c>
    </row>
    <row r="748" spans="2:6">
      <c r="B748" s="8">
        <v>746</v>
      </c>
      <c r="C748" s="10">
        <v>33731</v>
      </c>
      <c r="D748" s="6" t="str">
        <f t="shared" si="11"/>
        <v>Daegu</v>
      </c>
      <c r="E748" s="9" t="s">
        <v>1724</v>
      </c>
      <c r="F748" s="9" t="s">
        <v>1824</v>
      </c>
    </row>
    <row r="749" spans="2:6">
      <c r="B749" s="8">
        <v>747</v>
      </c>
      <c r="C749" s="10">
        <v>35380</v>
      </c>
      <c r="D749" s="6" t="str">
        <f t="shared" si="11"/>
        <v>Daegu</v>
      </c>
      <c r="E749" s="9" t="s">
        <v>1724</v>
      </c>
      <c r="F749" s="9" t="s">
        <v>1825</v>
      </c>
    </row>
    <row r="750" spans="2:6">
      <c r="B750" s="8">
        <v>748</v>
      </c>
      <c r="C750" s="10">
        <v>37263</v>
      </c>
      <c r="D750" s="6" t="str">
        <f t="shared" si="11"/>
        <v>Daegu</v>
      </c>
      <c r="E750" s="9" t="s">
        <v>1724</v>
      </c>
      <c r="F750" s="9" t="s">
        <v>1826</v>
      </c>
    </row>
    <row r="751" spans="2:6">
      <c r="B751" s="8">
        <v>749</v>
      </c>
      <c r="C751" s="10">
        <v>33761</v>
      </c>
      <c r="D751" s="6" t="str">
        <f t="shared" si="11"/>
        <v>Daegu</v>
      </c>
      <c r="E751" s="9" t="s">
        <v>1724</v>
      </c>
      <c r="F751" s="9" t="s">
        <v>1827</v>
      </c>
    </row>
    <row r="752" spans="2:6">
      <c r="B752" s="8">
        <v>750</v>
      </c>
      <c r="C752" s="10">
        <v>33775</v>
      </c>
      <c r="D752" s="6" t="str">
        <f t="shared" si="11"/>
        <v>Daegu</v>
      </c>
      <c r="E752" s="9" t="s">
        <v>1724</v>
      </c>
      <c r="F752" s="9" t="s">
        <v>1828</v>
      </c>
    </row>
    <row r="753" spans="2:6">
      <c r="B753" s="8">
        <v>751</v>
      </c>
      <c r="C753" s="10">
        <v>33759</v>
      </c>
      <c r="D753" s="6" t="str">
        <f t="shared" si="11"/>
        <v>Daegu</v>
      </c>
      <c r="E753" s="9" t="s">
        <v>1724</v>
      </c>
      <c r="F753" s="9" t="s">
        <v>1829</v>
      </c>
    </row>
    <row r="754" spans="2:6">
      <c r="B754" s="8">
        <v>752</v>
      </c>
      <c r="C754" s="10">
        <v>33787</v>
      </c>
      <c r="D754" s="6" t="str">
        <f t="shared" si="11"/>
        <v>Daegu</v>
      </c>
      <c r="E754" s="9" t="s">
        <v>1724</v>
      </c>
      <c r="F754" s="9" t="s">
        <v>1830</v>
      </c>
    </row>
    <row r="755" spans="2:6">
      <c r="B755" s="8">
        <v>753</v>
      </c>
      <c r="C755" s="10">
        <v>33750</v>
      </c>
      <c r="D755" s="6" t="str">
        <f t="shared" si="11"/>
        <v>Daegu</v>
      </c>
      <c r="E755" s="9" t="s">
        <v>1724</v>
      </c>
      <c r="F755" s="9" t="s">
        <v>1831</v>
      </c>
    </row>
    <row r="756" spans="2:6">
      <c r="B756" s="8">
        <v>754</v>
      </c>
      <c r="C756" s="10">
        <v>33726</v>
      </c>
      <c r="D756" s="6" t="str">
        <f t="shared" si="11"/>
        <v>Daegu</v>
      </c>
      <c r="E756" s="9" t="s">
        <v>1724</v>
      </c>
      <c r="F756" s="9" t="s">
        <v>1832</v>
      </c>
    </row>
    <row r="757" spans="2:6">
      <c r="B757" s="8">
        <v>755</v>
      </c>
      <c r="C757" s="10">
        <v>33693</v>
      </c>
      <c r="D757" s="6" t="str">
        <f t="shared" si="11"/>
        <v>Daegu</v>
      </c>
      <c r="E757" s="9" t="s">
        <v>1724</v>
      </c>
      <c r="F757" s="9" t="s">
        <v>1833</v>
      </c>
    </row>
    <row r="758" spans="2:6">
      <c r="B758" s="8">
        <v>756</v>
      </c>
      <c r="C758" s="10">
        <v>39245</v>
      </c>
      <c r="D758" s="6" t="str">
        <f t="shared" si="11"/>
        <v>Daegu</v>
      </c>
      <c r="E758" s="9" t="s">
        <v>1724</v>
      </c>
      <c r="F758" s="9" t="s">
        <v>1834</v>
      </c>
    </row>
    <row r="759" spans="2:6">
      <c r="B759" s="8">
        <v>757</v>
      </c>
      <c r="C759" s="10">
        <v>39590</v>
      </c>
      <c r="D759" s="6" t="str">
        <f t="shared" si="11"/>
        <v>Daegu</v>
      </c>
      <c r="E759" s="9" t="s">
        <v>1724</v>
      </c>
      <c r="F759" s="9" t="s">
        <v>1835</v>
      </c>
    </row>
    <row r="760" spans="2:6">
      <c r="B760" s="8">
        <v>758</v>
      </c>
      <c r="C760" s="10">
        <v>36246</v>
      </c>
      <c r="D760" s="6" t="str">
        <f t="shared" si="11"/>
        <v>Daegu</v>
      </c>
      <c r="E760" s="9" t="s">
        <v>1724</v>
      </c>
      <c r="F760" s="9" t="s">
        <v>1836</v>
      </c>
    </row>
    <row r="761" spans="2:6">
      <c r="B761" s="8">
        <v>759</v>
      </c>
      <c r="C761" s="10">
        <v>36581</v>
      </c>
      <c r="D761" s="6" t="str">
        <f t="shared" si="11"/>
        <v>Daegu</v>
      </c>
      <c r="E761" s="9" t="s">
        <v>1724</v>
      </c>
      <c r="F761" s="9" t="s">
        <v>1837</v>
      </c>
    </row>
    <row r="762" spans="2:6">
      <c r="B762" s="8">
        <v>760</v>
      </c>
      <c r="C762" s="10">
        <v>80990</v>
      </c>
      <c r="D762" s="6" t="str">
        <f t="shared" si="11"/>
        <v>Daegu</v>
      </c>
      <c r="E762" s="9" t="s">
        <v>1724</v>
      </c>
      <c r="F762" s="9" t="s">
        <v>1838</v>
      </c>
    </row>
    <row r="763" spans="2:6">
      <c r="B763" s="8">
        <v>761</v>
      </c>
      <c r="C763" s="10">
        <v>33765</v>
      </c>
      <c r="D763" s="6" t="str">
        <f t="shared" si="11"/>
        <v>Daegu</v>
      </c>
      <c r="E763" s="9" t="s">
        <v>1724</v>
      </c>
      <c r="F763" s="9" t="s">
        <v>1839</v>
      </c>
    </row>
    <row r="764" spans="2:6">
      <c r="B764" s="8">
        <v>762</v>
      </c>
      <c r="C764" s="10">
        <v>33737</v>
      </c>
      <c r="D764" s="6" t="str">
        <f t="shared" si="11"/>
        <v>Daegu</v>
      </c>
      <c r="E764" s="9" t="s">
        <v>1724</v>
      </c>
      <c r="F764" s="9" t="s">
        <v>1840</v>
      </c>
    </row>
    <row r="765" spans="2:6">
      <c r="B765" s="8">
        <v>763</v>
      </c>
      <c r="C765" s="10">
        <v>37285</v>
      </c>
      <c r="D765" s="6" t="str">
        <f t="shared" si="11"/>
        <v>Daegu</v>
      </c>
      <c r="E765" s="9" t="s">
        <v>1724</v>
      </c>
      <c r="F765" s="9" t="s">
        <v>1841</v>
      </c>
    </row>
    <row r="766" spans="2:6">
      <c r="B766" s="8">
        <v>764</v>
      </c>
      <c r="C766" s="10">
        <v>33760</v>
      </c>
      <c r="D766" s="6" t="str">
        <f t="shared" si="11"/>
        <v>Daegu</v>
      </c>
      <c r="E766" s="9" t="s">
        <v>1724</v>
      </c>
      <c r="F766" s="9" t="s">
        <v>1842</v>
      </c>
    </row>
    <row r="767" spans="2:6">
      <c r="B767" s="8">
        <v>765</v>
      </c>
      <c r="C767" s="10">
        <v>37278</v>
      </c>
      <c r="D767" s="6" t="str">
        <f t="shared" si="11"/>
        <v>Daegu</v>
      </c>
      <c r="E767" s="9" t="s">
        <v>1724</v>
      </c>
      <c r="F767" s="9" t="s">
        <v>1843</v>
      </c>
    </row>
    <row r="768" spans="2:6">
      <c r="B768" s="8">
        <v>766</v>
      </c>
      <c r="C768" s="10">
        <v>81863</v>
      </c>
      <c r="D768" s="6" t="str">
        <f t="shared" si="11"/>
        <v>Daegu</v>
      </c>
      <c r="E768" s="9" t="s">
        <v>1724</v>
      </c>
      <c r="F768" s="9" t="s">
        <v>1844</v>
      </c>
    </row>
    <row r="769" spans="2:6">
      <c r="B769" s="8">
        <v>767</v>
      </c>
      <c r="C769" s="10">
        <v>33766</v>
      </c>
      <c r="D769" s="6" t="str">
        <f t="shared" si="11"/>
        <v>Daegu</v>
      </c>
      <c r="E769" s="9" t="s">
        <v>1724</v>
      </c>
      <c r="F769" s="9" t="s">
        <v>1845</v>
      </c>
    </row>
    <row r="770" spans="2:6">
      <c r="B770" s="8">
        <v>768</v>
      </c>
      <c r="C770" s="10">
        <v>33758</v>
      </c>
      <c r="D770" s="6" t="str">
        <f t="shared" si="11"/>
        <v>Daegu</v>
      </c>
      <c r="E770" s="9" t="s">
        <v>1724</v>
      </c>
      <c r="F770" s="9" t="s">
        <v>1846</v>
      </c>
    </row>
    <row r="771" spans="2:6">
      <c r="B771" s="8">
        <v>769</v>
      </c>
      <c r="C771" s="10">
        <v>33789</v>
      </c>
      <c r="D771" s="6" t="str">
        <f t="shared" si="11"/>
        <v>Daegu</v>
      </c>
      <c r="E771" s="9" t="s">
        <v>1724</v>
      </c>
      <c r="F771" s="9" t="s">
        <v>1847</v>
      </c>
    </row>
    <row r="772" spans="2:6">
      <c r="B772" s="8">
        <v>770</v>
      </c>
      <c r="C772" s="10">
        <v>33754</v>
      </c>
      <c r="D772" s="6" t="str">
        <f t="shared" ref="D772:D835" si="12">IFERROR(VLOOKUP(E772,$H$3:$J$16,2,0),"")</f>
        <v>Daegu</v>
      </c>
      <c r="E772" s="9" t="s">
        <v>1724</v>
      </c>
      <c r="F772" s="9" t="s">
        <v>1848</v>
      </c>
    </row>
    <row r="773" spans="2:6">
      <c r="B773" s="8">
        <v>771</v>
      </c>
      <c r="C773" s="10">
        <v>33779</v>
      </c>
      <c r="D773" s="6" t="str">
        <f t="shared" si="12"/>
        <v>Daegu</v>
      </c>
      <c r="E773" s="9" t="s">
        <v>1724</v>
      </c>
      <c r="F773" s="9" t="s">
        <v>1849</v>
      </c>
    </row>
    <row r="774" spans="2:6">
      <c r="B774" s="8">
        <v>772</v>
      </c>
      <c r="C774" s="10">
        <v>36002</v>
      </c>
      <c r="D774" s="6" t="str">
        <f t="shared" si="12"/>
        <v>Daegu</v>
      </c>
      <c r="E774" s="9" t="s">
        <v>1724</v>
      </c>
      <c r="F774" s="9" t="s">
        <v>1850</v>
      </c>
    </row>
    <row r="775" spans="2:6">
      <c r="B775" s="8">
        <v>773</v>
      </c>
      <c r="C775" s="10">
        <v>33757</v>
      </c>
      <c r="D775" s="6" t="str">
        <f t="shared" si="12"/>
        <v>Daegu</v>
      </c>
      <c r="E775" s="9" t="s">
        <v>1724</v>
      </c>
      <c r="F775" s="9" t="s">
        <v>1851</v>
      </c>
    </row>
    <row r="776" spans="2:6">
      <c r="B776" s="8">
        <v>774</v>
      </c>
      <c r="C776" s="10">
        <v>33783</v>
      </c>
      <c r="D776" s="6" t="str">
        <f t="shared" si="12"/>
        <v>Daegu</v>
      </c>
      <c r="E776" s="9" t="s">
        <v>1724</v>
      </c>
      <c r="F776" s="9" t="s">
        <v>1852</v>
      </c>
    </row>
    <row r="777" spans="2:6">
      <c r="B777" s="8">
        <v>775</v>
      </c>
      <c r="C777" s="10">
        <v>33778</v>
      </c>
      <c r="D777" s="6" t="str">
        <f t="shared" si="12"/>
        <v>Daegu</v>
      </c>
      <c r="E777" s="9" t="s">
        <v>1724</v>
      </c>
      <c r="F777" s="9" t="s">
        <v>1853</v>
      </c>
    </row>
    <row r="778" spans="2:6">
      <c r="B778" s="8">
        <v>776</v>
      </c>
      <c r="C778" s="10">
        <v>37279</v>
      </c>
      <c r="D778" s="6" t="str">
        <f t="shared" si="12"/>
        <v>Daegu</v>
      </c>
      <c r="E778" s="9" t="s">
        <v>1724</v>
      </c>
      <c r="F778" s="9" t="s">
        <v>1854</v>
      </c>
    </row>
    <row r="779" spans="2:6">
      <c r="B779" s="8">
        <v>777</v>
      </c>
      <c r="C779" s="10">
        <v>38210</v>
      </c>
      <c r="D779" s="6" t="str">
        <f t="shared" si="12"/>
        <v>Daegu</v>
      </c>
      <c r="E779" s="9" t="s">
        <v>1724</v>
      </c>
      <c r="F779" s="9" t="s">
        <v>1855</v>
      </c>
    </row>
    <row r="780" spans="2:6">
      <c r="B780" s="8">
        <v>778</v>
      </c>
      <c r="C780" s="10">
        <v>39141</v>
      </c>
      <c r="D780" s="6" t="str">
        <f t="shared" si="12"/>
        <v>Daegu</v>
      </c>
      <c r="E780" s="9" t="s">
        <v>1724</v>
      </c>
      <c r="F780" s="9" t="s">
        <v>1856</v>
      </c>
    </row>
    <row r="781" spans="2:6">
      <c r="B781" s="8">
        <v>779</v>
      </c>
      <c r="C781" s="10">
        <v>39253</v>
      </c>
      <c r="D781" s="6" t="str">
        <f t="shared" si="12"/>
        <v>Daegu</v>
      </c>
      <c r="E781" s="9" t="s">
        <v>1724</v>
      </c>
      <c r="F781" s="9" t="s">
        <v>1857</v>
      </c>
    </row>
    <row r="782" spans="2:6">
      <c r="B782" s="8">
        <v>780</v>
      </c>
      <c r="C782" s="10">
        <v>39033</v>
      </c>
      <c r="D782" s="6" t="str">
        <f t="shared" si="12"/>
        <v>Daegu</v>
      </c>
      <c r="E782" s="9" t="s">
        <v>1724</v>
      </c>
      <c r="F782" s="9" t="s">
        <v>1858</v>
      </c>
    </row>
    <row r="783" spans="2:6">
      <c r="B783" s="8">
        <v>781</v>
      </c>
      <c r="C783" s="10">
        <v>80162</v>
      </c>
      <c r="D783" s="6" t="str">
        <f t="shared" si="12"/>
        <v>Daegu</v>
      </c>
      <c r="E783" s="9" t="s">
        <v>1724</v>
      </c>
      <c r="F783" s="9" t="s">
        <v>1859</v>
      </c>
    </row>
    <row r="784" spans="2:6">
      <c r="B784" s="8">
        <v>782</v>
      </c>
      <c r="C784" s="10">
        <v>80498</v>
      </c>
      <c r="D784" s="6" t="str">
        <f t="shared" si="12"/>
        <v>Daegu</v>
      </c>
      <c r="E784" s="9" t="s">
        <v>1724</v>
      </c>
      <c r="F784" s="9" t="s">
        <v>1860</v>
      </c>
    </row>
    <row r="785" spans="2:6">
      <c r="B785" s="8">
        <v>783</v>
      </c>
      <c r="C785" s="10">
        <v>80786</v>
      </c>
      <c r="D785" s="6" t="str">
        <f t="shared" si="12"/>
        <v>Daegu</v>
      </c>
      <c r="E785" s="9" t="s">
        <v>1724</v>
      </c>
      <c r="F785" s="9" t="s">
        <v>1861</v>
      </c>
    </row>
    <row r="786" spans="2:6">
      <c r="B786" s="8">
        <v>784</v>
      </c>
      <c r="C786" s="10">
        <v>81385</v>
      </c>
      <c r="D786" s="6" t="str">
        <f t="shared" si="12"/>
        <v>Daegu</v>
      </c>
      <c r="E786" s="9" t="s">
        <v>1724</v>
      </c>
      <c r="F786" s="9" t="s">
        <v>1862</v>
      </c>
    </row>
    <row r="787" spans="2:6">
      <c r="B787" s="8">
        <v>785</v>
      </c>
      <c r="C787" s="10">
        <v>81729</v>
      </c>
      <c r="D787" s="6" t="str">
        <f t="shared" si="12"/>
        <v>Daegu</v>
      </c>
      <c r="E787" s="9" t="s">
        <v>1724</v>
      </c>
      <c r="F787" s="9" t="s">
        <v>1863</v>
      </c>
    </row>
    <row r="788" spans="2:6">
      <c r="B788" s="8">
        <v>786</v>
      </c>
      <c r="C788" s="10">
        <v>81835</v>
      </c>
      <c r="D788" s="6" t="str">
        <f t="shared" si="12"/>
        <v>Daegu</v>
      </c>
      <c r="E788" s="9" t="s">
        <v>1724</v>
      </c>
      <c r="F788" s="9" t="s">
        <v>1864</v>
      </c>
    </row>
    <row r="789" spans="2:6">
      <c r="B789" s="8">
        <v>787</v>
      </c>
      <c r="C789" s="10">
        <v>83652</v>
      </c>
      <c r="D789" s="6" t="str">
        <f t="shared" si="12"/>
        <v>Daegu</v>
      </c>
      <c r="E789" s="9" t="s">
        <v>1724</v>
      </c>
      <c r="F789" s="9" t="s">
        <v>1865</v>
      </c>
    </row>
    <row r="790" spans="2:6">
      <c r="B790" s="8">
        <v>788</v>
      </c>
      <c r="C790" s="10">
        <v>83855</v>
      </c>
      <c r="D790" s="6" t="str">
        <f t="shared" si="12"/>
        <v>Daegu</v>
      </c>
      <c r="E790" s="9" t="s">
        <v>1724</v>
      </c>
      <c r="F790" s="9" t="s">
        <v>1866</v>
      </c>
    </row>
    <row r="791" spans="2:6">
      <c r="B791" s="8">
        <v>789</v>
      </c>
      <c r="C791" s="10">
        <v>86036</v>
      </c>
      <c r="D791" s="6" t="str">
        <f t="shared" si="12"/>
        <v>Daegu</v>
      </c>
      <c r="E791" s="9" t="s">
        <v>1724</v>
      </c>
      <c r="F791" s="9" t="s">
        <v>1867</v>
      </c>
    </row>
    <row r="792" spans="2:6">
      <c r="B792" s="8">
        <v>790</v>
      </c>
      <c r="C792" s="10">
        <v>84013</v>
      </c>
      <c r="D792" s="6" t="str">
        <f t="shared" si="12"/>
        <v>Daegu</v>
      </c>
      <c r="E792" s="9" t="s">
        <v>1724</v>
      </c>
      <c r="F792" s="9" t="s">
        <v>1868</v>
      </c>
    </row>
    <row r="793" spans="2:6">
      <c r="B793" s="8">
        <v>791</v>
      </c>
      <c r="C793" s="10">
        <v>81743</v>
      </c>
      <c r="D793" s="6" t="str">
        <f t="shared" si="12"/>
        <v>Daegu</v>
      </c>
      <c r="E793" s="9" t="s">
        <v>1724</v>
      </c>
      <c r="F793" s="9" t="s">
        <v>1864</v>
      </c>
    </row>
    <row r="794" spans="2:6">
      <c r="B794" s="8">
        <v>792</v>
      </c>
      <c r="C794" s="10">
        <v>86360</v>
      </c>
      <c r="D794" s="6" t="str">
        <f t="shared" si="12"/>
        <v>Daegu</v>
      </c>
      <c r="E794" s="9" t="s">
        <v>1724</v>
      </c>
      <c r="F794" s="9" t="s">
        <v>1869</v>
      </c>
    </row>
    <row r="795" spans="2:6">
      <c r="B795" s="8">
        <v>793</v>
      </c>
      <c r="C795" s="10">
        <v>33526</v>
      </c>
      <c r="D795" s="6" t="str">
        <f t="shared" si="12"/>
        <v>Daejeon</v>
      </c>
      <c r="E795" s="9" t="s">
        <v>1870</v>
      </c>
      <c r="F795" s="9" t="s">
        <v>1871</v>
      </c>
    </row>
    <row r="796" spans="2:6">
      <c r="B796" s="8">
        <v>794</v>
      </c>
      <c r="C796" s="10">
        <v>33524</v>
      </c>
      <c r="D796" s="6" t="str">
        <f t="shared" si="12"/>
        <v>Daejeon</v>
      </c>
      <c r="E796" s="9" t="s">
        <v>1870</v>
      </c>
      <c r="F796" s="9" t="s">
        <v>1872</v>
      </c>
    </row>
    <row r="797" spans="2:6">
      <c r="B797" s="8">
        <v>795</v>
      </c>
      <c r="C797" s="10">
        <v>33529</v>
      </c>
      <c r="D797" s="6" t="str">
        <f t="shared" si="12"/>
        <v>Daejeon</v>
      </c>
      <c r="E797" s="9" t="s">
        <v>1870</v>
      </c>
      <c r="F797" s="9" t="s">
        <v>1873</v>
      </c>
    </row>
    <row r="798" spans="2:6">
      <c r="B798" s="8">
        <v>796</v>
      </c>
      <c r="C798" s="10">
        <v>33541</v>
      </c>
      <c r="D798" s="6" t="str">
        <f t="shared" si="12"/>
        <v>Daejeon</v>
      </c>
      <c r="E798" s="9" t="s">
        <v>1870</v>
      </c>
      <c r="F798" s="9" t="s">
        <v>1874</v>
      </c>
    </row>
    <row r="799" spans="2:6">
      <c r="B799" s="8">
        <v>797</v>
      </c>
      <c r="C799" s="10">
        <v>33533</v>
      </c>
      <c r="D799" s="6" t="str">
        <f t="shared" si="12"/>
        <v>Daejeon</v>
      </c>
      <c r="E799" s="9" t="s">
        <v>1870</v>
      </c>
      <c r="F799" s="9" t="s">
        <v>1875</v>
      </c>
    </row>
    <row r="800" spans="2:6">
      <c r="B800" s="8">
        <v>798</v>
      </c>
      <c r="C800" s="10">
        <v>33546</v>
      </c>
      <c r="D800" s="6" t="str">
        <f t="shared" si="12"/>
        <v>Daejeon</v>
      </c>
      <c r="E800" s="9" t="s">
        <v>1870</v>
      </c>
      <c r="F800" s="9" t="s">
        <v>1876</v>
      </c>
    </row>
    <row r="801" spans="2:6">
      <c r="B801" s="8">
        <v>799</v>
      </c>
      <c r="C801" s="10">
        <v>33520</v>
      </c>
      <c r="D801" s="6" t="str">
        <f t="shared" si="12"/>
        <v>Daejeon</v>
      </c>
      <c r="E801" s="9" t="s">
        <v>1870</v>
      </c>
      <c r="F801" s="9" t="s">
        <v>1877</v>
      </c>
    </row>
    <row r="802" spans="2:6">
      <c r="B802" s="8">
        <v>800</v>
      </c>
      <c r="C802" s="10">
        <v>33528</v>
      </c>
      <c r="D802" s="6" t="str">
        <f t="shared" si="12"/>
        <v>Daejeon</v>
      </c>
      <c r="E802" s="9" t="s">
        <v>1870</v>
      </c>
      <c r="F802" s="9" t="s">
        <v>1878</v>
      </c>
    </row>
    <row r="803" spans="2:6">
      <c r="B803" s="8">
        <v>801</v>
      </c>
      <c r="C803" s="10">
        <v>33536</v>
      </c>
      <c r="D803" s="6" t="str">
        <f t="shared" si="12"/>
        <v>Daejeon</v>
      </c>
      <c r="E803" s="9" t="s">
        <v>1870</v>
      </c>
      <c r="F803" s="9" t="s">
        <v>1879</v>
      </c>
    </row>
    <row r="804" spans="2:6">
      <c r="B804" s="8">
        <v>802</v>
      </c>
      <c r="C804" s="10">
        <v>33486</v>
      </c>
      <c r="D804" s="6" t="str">
        <f t="shared" si="12"/>
        <v>Daejeon</v>
      </c>
      <c r="E804" s="9" t="s">
        <v>1870</v>
      </c>
      <c r="F804" s="9" t="s">
        <v>1880</v>
      </c>
    </row>
    <row r="805" spans="2:6">
      <c r="B805" s="8">
        <v>803</v>
      </c>
      <c r="C805" s="10">
        <v>33489</v>
      </c>
      <c r="D805" s="6" t="str">
        <f t="shared" si="12"/>
        <v>Daejeon</v>
      </c>
      <c r="E805" s="9" t="s">
        <v>1870</v>
      </c>
      <c r="F805" s="9" t="s">
        <v>1881</v>
      </c>
    </row>
    <row r="806" spans="2:6">
      <c r="B806" s="8">
        <v>804</v>
      </c>
      <c r="C806" s="10">
        <v>33547</v>
      </c>
      <c r="D806" s="6" t="str">
        <f t="shared" si="12"/>
        <v>Daejeon</v>
      </c>
      <c r="E806" s="9" t="s">
        <v>1870</v>
      </c>
      <c r="F806" s="9" t="s">
        <v>1882</v>
      </c>
    </row>
    <row r="807" spans="2:6">
      <c r="B807" s="8">
        <v>805</v>
      </c>
      <c r="C807" s="10">
        <v>33579</v>
      </c>
      <c r="D807" s="6" t="str">
        <f t="shared" si="12"/>
        <v>Daejeon</v>
      </c>
      <c r="E807" s="9" t="s">
        <v>1870</v>
      </c>
      <c r="F807" s="9" t="s">
        <v>1416</v>
      </c>
    </row>
    <row r="808" spans="2:6">
      <c r="B808" s="8">
        <v>806</v>
      </c>
      <c r="C808" s="10">
        <v>33531</v>
      </c>
      <c r="D808" s="6" t="str">
        <f t="shared" si="12"/>
        <v>Daejeon</v>
      </c>
      <c r="E808" s="9" t="s">
        <v>1870</v>
      </c>
      <c r="F808" s="9" t="s">
        <v>1883</v>
      </c>
    </row>
    <row r="809" spans="2:6">
      <c r="B809" s="8">
        <v>807</v>
      </c>
      <c r="C809" s="10">
        <v>33535</v>
      </c>
      <c r="D809" s="6" t="str">
        <f t="shared" si="12"/>
        <v>Daejeon</v>
      </c>
      <c r="E809" s="9" t="s">
        <v>1870</v>
      </c>
      <c r="F809" s="9" t="s">
        <v>1884</v>
      </c>
    </row>
    <row r="810" spans="2:6">
      <c r="B810" s="8">
        <v>808</v>
      </c>
      <c r="C810" s="10">
        <v>33519</v>
      </c>
      <c r="D810" s="6" t="str">
        <f t="shared" si="12"/>
        <v>Daejeon</v>
      </c>
      <c r="E810" s="9" t="s">
        <v>1870</v>
      </c>
      <c r="F810" s="9" t="s">
        <v>1885</v>
      </c>
    </row>
    <row r="811" spans="2:6">
      <c r="B811" s="8">
        <v>809</v>
      </c>
      <c r="C811" s="10">
        <v>33537</v>
      </c>
      <c r="D811" s="6" t="str">
        <f t="shared" si="12"/>
        <v>Daejeon</v>
      </c>
      <c r="E811" s="9" t="s">
        <v>1870</v>
      </c>
      <c r="F811" s="9" t="s">
        <v>1886</v>
      </c>
    </row>
    <row r="812" spans="2:6">
      <c r="B812" s="8">
        <v>810</v>
      </c>
      <c r="C812" s="10">
        <v>33532</v>
      </c>
      <c r="D812" s="6" t="str">
        <f t="shared" si="12"/>
        <v>Daejeon</v>
      </c>
      <c r="E812" s="9" t="s">
        <v>1870</v>
      </c>
      <c r="F812" s="9" t="s">
        <v>1887</v>
      </c>
    </row>
    <row r="813" spans="2:6">
      <c r="B813" s="8">
        <v>811</v>
      </c>
      <c r="C813" s="10">
        <v>33542</v>
      </c>
      <c r="D813" s="6" t="str">
        <f t="shared" si="12"/>
        <v>Daejeon</v>
      </c>
      <c r="E813" s="9" t="s">
        <v>1870</v>
      </c>
      <c r="F813" s="9" t="s">
        <v>1888</v>
      </c>
    </row>
    <row r="814" spans="2:6">
      <c r="B814" s="8">
        <v>812</v>
      </c>
      <c r="C814" s="10">
        <v>33521</v>
      </c>
      <c r="D814" s="6" t="str">
        <f t="shared" si="12"/>
        <v>Daejeon</v>
      </c>
      <c r="E814" s="9" t="s">
        <v>1870</v>
      </c>
      <c r="F814" s="9" t="s">
        <v>1889</v>
      </c>
    </row>
    <row r="815" spans="2:6">
      <c r="B815" s="8">
        <v>813</v>
      </c>
      <c r="C815" s="10">
        <v>33530</v>
      </c>
      <c r="D815" s="6" t="str">
        <f t="shared" si="12"/>
        <v>Daejeon</v>
      </c>
      <c r="E815" s="9" t="s">
        <v>1870</v>
      </c>
      <c r="F815" s="9" t="s">
        <v>1890</v>
      </c>
    </row>
    <row r="816" spans="2:6">
      <c r="B816" s="8">
        <v>814</v>
      </c>
      <c r="C816" s="10">
        <v>33523</v>
      </c>
      <c r="D816" s="6" t="str">
        <f t="shared" si="12"/>
        <v>Daejeon</v>
      </c>
      <c r="E816" s="9" t="s">
        <v>1870</v>
      </c>
      <c r="F816" s="9" t="s">
        <v>1891</v>
      </c>
    </row>
    <row r="817" spans="2:6">
      <c r="B817" s="8">
        <v>815</v>
      </c>
      <c r="C817" s="10">
        <v>33543</v>
      </c>
      <c r="D817" s="6" t="str">
        <f t="shared" si="12"/>
        <v>Daejeon</v>
      </c>
      <c r="E817" s="9" t="s">
        <v>1870</v>
      </c>
      <c r="F817" s="9" t="s">
        <v>1892</v>
      </c>
    </row>
    <row r="818" spans="2:6">
      <c r="B818" s="8">
        <v>816</v>
      </c>
      <c r="C818" s="10">
        <v>33527</v>
      </c>
      <c r="D818" s="6" t="str">
        <f t="shared" si="12"/>
        <v>Daejeon</v>
      </c>
      <c r="E818" s="9" t="s">
        <v>1870</v>
      </c>
      <c r="F818" s="9" t="s">
        <v>1893</v>
      </c>
    </row>
    <row r="819" spans="2:6">
      <c r="B819" s="8">
        <v>817</v>
      </c>
      <c r="C819" s="10">
        <v>37323</v>
      </c>
      <c r="D819" s="6" t="str">
        <f t="shared" si="12"/>
        <v>Daejeon</v>
      </c>
      <c r="E819" s="9" t="s">
        <v>1870</v>
      </c>
      <c r="F819" s="9" t="s">
        <v>1894</v>
      </c>
    </row>
    <row r="820" spans="2:6">
      <c r="B820" s="8">
        <v>818</v>
      </c>
      <c r="C820" s="10">
        <v>81856</v>
      </c>
      <c r="D820" s="6" t="str">
        <f t="shared" si="12"/>
        <v>Daejeon</v>
      </c>
      <c r="E820" s="9" t="s">
        <v>1870</v>
      </c>
      <c r="F820" s="9" t="s">
        <v>1895</v>
      </c>
    </row>
    <row r="821" spans="2:6">
      <c r="B821" s="8">
        <v>819</v>
      </c>
      <c r="C821" s="10">
        <v>33539</v>
      </c>
      <c r="D821" s="6" t="str">
        <f t="shared" si="12"/>
        <v>Daejeon</v>
      </c>
      <c r="E821" s="9" t="s">
        <v>1870</v>
      </c>
      <c r="F821" s="9" t="s">
        <v>1896</v>
      </c>
    </row>
    <row r="822" spans="2:6">
      <c r="B822" s="8">
        <v>820</v>
      </c>
      <c r="C822" s="10">
        <v>33538</v>
      </c>
      <c r="D822" s="6" t="str">
        <f t="shared" si="12"/>
        <v>Daejeon</v>
      </c>
      <c r="E822" s="9" t="s">
        <v>1870</v>
      </c>
      <c r="F822" s="9" t="s">
        <v>1897</v>
      </c>
    </row>
    <row r="823" spans="2:6">
      <c r="B823" s="8">
        <v>821</v>
      </c>
      <c r="C823" s="10">
        <v>33534</v>
      </c>
      <c r="D823" s="6" t="str">
        <f t="shared" si="12"/>
        <v>Daejeon</v>
      </c>
      <c r="E823" s="9" t="s">
        <v>1870</v>
      </c>
      <c r="F823" s="9" t="s">
        <v>1898</v>
      </c>
    </row>
    <row r="824" spans="2:6">
      <c r="B824" s="8">
        <v>822</v>
      </c>
      <c r="C824" s="10">
        <v>33509</v>
      </c>
      <c r="D824" s="6" t="str">
        <f t="shared" si="12"/>
        <v>Daejeon</v>
      </c>
      <c r="E824" s="9" t="s">
        <v>1870</v>
      </c>
      <c r="F824" s="9" t="s">
        <v>1899</v>
      </c>
    </row>
    <row r="825" spans="2:6">
      <c r="B825" s="8">
        <v>823</v>
      </c>
      <c r="C825" s="10">
        <v>33497</v>
      </c>
      <c r="D825" s="6" t="str">
        <f t="shared" si="12"/>
        <v>Daejeon</v>
      </c>
      <c r="E825" s="9" t="s">
        <v>1870</v>
      </c>
      <c r="F825" s="9" t="s">
        <v>1900</v>
      </c>
    </row>
    <row r="826" spans="2:6">
      <c r="B826" s="8">
        <v>824</v>
      </c>
      <c r="C826" s="10">
        <v>33475</v>
      </c>
      <c r="D826" s="6" t="str">
        <f t="shared" si="12"/>
        <v>Daejeon</v>
      </c>
      <c r="E826" s="9" t="s">
        <v>1870</v>
      </c>
      <c r="F826" s="9" t="s">
        <v>1901</v>
      </c>
    </row>
    <row r="827" spans="2:6">
      <c r="B827" s="8">
        <v>825</v>
      </c>
      <c r="C827" s="10">
        <v>33506</v>
      </c>
      <c r="D827" s="6" t="str">
        <f t="shared" si="12"/>
        <v>Daejeon</v>
      </c>
      <c r="E827" s="9" t="s">
        <v>1870</v>
      </c>
      <c r="F827" s="9" t="s">
        <v>1902</v>
      </c>
    </row>
    <row r="828" spans="2:6">
      <c r="B828" s="8">
        <v>826</v>
      </c>
      <c r="C828" s="10">
        <v>35894</v>
      </c>
      <c r="D828" s="6" t="str">
        <f t="shared" si="12"/>
        <v>Daejeon</v>
      </c>
      <c r="E828" s="9" t="s">
        <v>1870</v>
      </c>
      <c r="F828" s="9" t="s">
        <v>1903</v>
      </c>
    </row>
    <row r="829" spans="2:6">
      <c r="B829" s="8">
        <v>827</v>
      </c>
      <c r="C829" s="10">
        <v>33515</v>
      </c>
      <c r="D829" s="6" t="str">
        <f t="shared" si="12"/>
        <v>Daejeon</v>
      </c>
      <c r="E829" s="9" t="s">
        <v>1870</v>
      </c>
      <c r="F829" s="9" t="s">
        <v>1904</v>
      </c>
    </row>
    <row r="830" spans="2:6">
      <c r="B830" s="8">
        <v>828</v>
      </c>
      <c r="C830" s="10">
        <v>39242</v>
      </c>
      <c r="D830" s="6" t="str">
        <f t="shared" si="12"/>
        <v>Daejeon</v>
      </c>
      <c r="E830" s="9" t="s">
        <v>1870</v>
      </c>
      <c r="F830" s="9" t="s">
        <v>1905</v>
      </c>
    </row>
    <row r="831" spans="2:6">
      <c r="B831" s="8">
        <v>829</v>
      </c>
      <c r="C831" s="10">
        <v>39783</v>
      </c>
      <c r="D831" s="6" t="str">
        <f t="shared" si="12"/>
        <v>Daejeon</v>
      </c>
      <c r="E831" s="9" t="s">
        <v>1870</v>
      </c>
      <c r="F831" s="9" t="s">
        <v>1906</v>
      </c>
    </row>
    <row r="832" spans="2:6">
      <c r="B832" s="8">
        <v>830</v>
      </c>
      <c r="C832" s="10">
        <v>33477</v>
      </c>
      <c r="D832" s="6" t="str">
        <f t="shared" si="12"/>
        <v>Daejeon</v>
      </c>
      <c r="E832" s="9" t="s">
        <v>1870</v>
      </c>
      <c r="F832" s="9" t="s">
        <v>1907</v>
      </c>
    </row>
    <row r="833" spans="2:6">
      <c r="B833" s="8">
        <v>831</v>
      </c>
      <c r="C833" s="10">
        <v>36634</v>
      </c>
      <c r="D833" s="6" t="str">
        <f t="shared" si="12"/>
        <v>Daejeon</v>
      </c>
      <c r="E833" s="9" t="s">
        <v>1870</v>
      </c>
      <c r="F833" s="9" t="s">
        <v>1908</v>
      </c>
    </row>
    <row r="834" spans="2:6">
      <c r="B834" s="8">
        <v>832</v>
      </c>
      <c r="C834" s="10">
        <v>35876</v>
      </c>
      <c r="D834" s="6" t="str">
        <f t="shared" si="12"/>
        <v>Daejeon</v>
      </c>
      <c r="E834" s="9" t="s">
        <v>1870</v>
      </c>
      <c r="F834" s="9" t="s">
        <v>1909</v>
      </c>
    </row>
    <row r="835" spans="2:6">
      <c r="B835" s="8">
        <v>833</v>
      </c>
      <c r="C835" s="10">
        <v>33501</v>
      </c>
      <c r="D835" s="6" t="str">
        <f t="shared" si="12"/>
        <v>Daejeon</v>
      </c>
      <c r="E835" s="9" t="s">
        <v>1870</v>
      </c>
      <c r="F835" s="9" t="s">
        <v>1910</v>
      </c>
    </row>
    <row r="836" spans="2:6">
      <c r="B836" s="8">
        <v>834</v>
      </c>
      <c r="C836" s="10">
        <v>33476</v>
      </c>
      <c r="D836" s="6" t="str">
        <f t="shared" ref="D836:D899" si="13">IFERROR(VLOOKUP(E836,$H$3:$J$16,2,0),"")</f>
        <v>Daejeon</v>
      </c>
      <c r="E836" s="9" t="s">
        <v>1870</v>
      </c>
      <c r="F836" s="9" t="s">
        <v>1911</v>
      </c>
    </row>
    <row r="837" spans="2:6">
      <c r="B837" s="8">
        <v>835</v>
      </c>
      <c r="C837" s="10">
        <v>33502</v>
      </c>
      <c r="D837" s="6" t="str">
        <f t="shared" si="13"/>
        <v>Daejeon</v>
      </c>
      <c r="E837" s="9" t="s">
        <v>1870</v>
      </c>
      <c r="F837" s="9" t="s">
        <v>1912</v>
      </c>
    </row>
    <row r="838" spans="2:6">
      <c r="B838" s="8">
        <v>836</v>
      </c>
      <c r="C838" s="10">
        <v>85840</v>
      </c>
      <c r="D838" s="6" t="str">
        <f t="shared" si="13"/>
        <v>Daejeon</v>
      </c>
      <c r="E838" s="9" t="s">
        <v>1870</v>
      </c>
      <c r="F838" s="9" t="s">
        <v>1913</v>
      </c>
    </row>
    <row r="839" spans="2:6">
      <c r="B839" s="8">
        <v>837</v>
      </c>
      <c r="C839" s="10">
        <v>39219</v>
      </c>
      <c r="D839" s="6" t="str">
        <f t="shared" si="13"/>
        <v>Daejeon</v>
      </c>
      <c r="E839" s="9" t="s">
        <v>1870</v>
      </c>
      <c r="F839" s="9" t="s">
        <v>1914</v>
      </c>
    </row>
    <row r="840" spans="2:6">
      <c r="B840" s="8">
        <v>838</v>
      </c>
      <c r="C840" s="10">
        <v>34445</v>
      </c>
      <c r="D840" s="6" t="str">
        <f t="shared" si="13"/>
        <v>Daejeon</v>
      </c>
      <c r="E840" s="9" t="s">
        <v>1870</v>
      </c>
      <c r="F840" s="9" t="s">
        <v>1915</v>
      </c>
    </row>
    <row r="841" spans="2:6">
      <c r="B841" s="8">
        <v>839</v>
      </c>
      <c r="C841" s="10">
        <v>34443</v>
      </c>
      <c r="D841" s="6" t="str">
        <f t="shared" si="13"/>
        <v>Daejeon</v>
      </c>
      <c r="E841" s="9" t="s">
        <v>1870</v>
      </c>
      <c r="F841" s="9" t="s">
        <v>1916</v>
      </c>
    </row>
    <row r="842" spans="2:6">
      <c r="B842" s="8">
        <v>840</v>
      </c>
      <c r="C842" s="10">
        <v>38139</v>
      </c>
      <c r="D842" s="6" t="str">
        <f t="shared" si="13"/>
        <v>Daejeon</v>
      </c>
      <c r="E842" s="9" t="s">
        <v>1870</v>
      </c>
      <c r="F842" s="9" t="s">
        <v>1917</v>
      </c>
    </row>
    <row r="843" spans="2:6">
      <c r="B843" s="8">
        <v>841</v>
      </c>
      <c r="C843" s="10">
        <v>34766</v>
      </c>
      <c r="D843" s="6" t="str">
        <f t="shared" si="13"/>
        <v>Daejeon</v>
      </c>
      <c r="E843" s="9" t="s">
        <v>1870</v>
      </c>
      <c r="F843" s="9" t="s">
        <v>1918</v>
      </c>
    </row>
    <row r="844" spans="2:6">
      <c r="B844" s="8">
        <v>842</v>
      </c>
      <c r="C844" s="10">
        <v>33514</v>
      </c>
      <c r="D844" s="6" t="str">
        <f t="shared" si="13"/>
        <v>Daejeon</v>
      </c>
      <c r="E844" s="9" t="s">
        <v>1870</v>
      </c>
      <c r="F844" s="9" t="s">
        <v>1919</v>
      </c>
    </row>
    <row r="845" spans="2:6">
      <c r="B845" s="8">
        <v>843</v>
      </c>
      <c r="C845" s="10">
        <v>37524</v>
      </c>
      <c r="D845" s="6" t="str">
        <f t="shared" si="13"/>
        <v>Daejeon</v>
      </c>
      <c r="E845" s="9" t="s">
        <v>1870</v>
      </c>
      <c r="F845" s="9" t="s">
        <v>1920</v>
      </c>
    </row>
    <row r="846" spans="2:6">
      <c r="B846" s="8">
        <v>844</v>
      </c>
      <c r="C846" s="10">
        <v>33481</v>
      </c>
      <c r="D846" s="6" t="str">
        <f t="shared" si="13"/>
        <v>Daejeon</v>
      </c>
      <c r="E846" s="9" t="s">
        <v>1870</v>
      </c>
      <c r="F846" s="9" t="s">
        <v>1921</v>
      </c>
    </row>
    <row r="847" spans="2:6">
      <c r="B847" s="8">
        <v>845</v>
      </c>
      <c r="C847" s="10">
        <v>39098</v>
      </c>
      <c r="D847" s="6" t="str">
        <f t="shared" si="13"/>
        <v>Daejeon</v>
      </c>
      <c r="E847" s="9" t="s">
        <v>1870</v>
      </c>
      <c r="F847" s="9" t="s">
        <v>1922</v>
      </c>
    </row>
    <row r="848" spans="2:6">
      <c r="B848" s="8">
        <v>846</v>
      </c>
      <c r="C848" s="10">
        <v>33513</v>
      </c>
      <c r="D848" s="6" t="str">
        <f t="shared" si="13"/>
        <v>Daejeon</v>
      </c>
      <c r="E848" s="9" t="s">
        <v>1870</v>
      </c>
      <c r="F848" s="9" t="s">
        <v>1923</v>
      </c>
    </row>
    <row r="849" spans="2:6">
      <c r="B849" s="8">
        <v>847</v>
      </c>
      <c r="C849" s="10">
        <v>33479</v>
      </c>
      <c r="D849" s="6" t="str">
        <f t="shared" si="13"/>
        <v>Daejeon</v>
      </c>
      <c r="E849" s="9" t="s">
        <v>1870</v>
      </c>
      <c r="F849" s="9" t="s">
        <v>1924</v>
      </c>
    </row>
    <row r="850" spans="2:6">
      <c r="B850" s="8">
        <v>848</v>
      </c>
      <c r="C850" s="10">
        <v>33544</v>
      </c>
      <c r="D850" s="6" t="str">
        <f t="shared" si="13"/>
        <v>Daejeon</v>
      </c>
      <c r="E850" s="9" t="s">
        <v>1870</v>
      </c>
      <c r="F850" s="9" t="s">
        <v>1925</v>
      </c>
    </row>
    <row r="851" spans="2:6">
      <c r="B851" s="8">
        <v>849</v>
      </c>
      <c r="C851" s="10">
        <v>34421</v>
      </c>
      <c r="D851" s="6" t="str">
        <f t="shared" si="13"/>
        <v>Daejeon</v>
      </c>
      <c r="E851" s="9" t="s">
        <v>1870</v>
      </c>
      <c r="F851" s="9" t="s">
        <v>1926</v>
      </c>
    </row>
    <row r="852" spans="2:6">
      <c r="B852" s="8">
        <v>850</v>
      </c>
      <c r="C852" s="10">
        <v>33499</v>
      </c>
      <c r="D852" s="6" t="str">
        <f t="shared" si="13"/>
        <v>Daejeon</v>
      </c>
      <c r="E852" s="9" t="s">
        <v>1870</v>
      </c>
      <c r="F852" s="9" t="s">
        <v>1927</v>
      </c>
    </row>
    <row r="853" spans="2:6">
      <c r="B853" s="8">
        <v>851</v>
      </c>
      <c r="C853" s="10">
        <v>34444</v>
      </c>
      <c r="D853" s="6" t="str">
        <f t="shared" si="13"/>
        <v>Daejeon</v>
      </c>
      <c r="E853" s="9" t="s">
        <v>1870</v>
      </c>
      <c r="F853" s="9" t="s">
        <v>1928</v>
      </c>
    </row>
    <row r="854" spans="2:6">
      <c r="B854" s="8">
        <v>852</v>
      </c>
      <c r="C854" s="10">
        <v>33517</v>
      </c>
      <c r="D854" s="6" t="str">
        <f t="shared" si="13"/>
        <v>Daejeon</v>
      </c>
      <c r="E854" s="9" t="s">
        <v>1870</v>
      </c>
      <c r="F854" s="9" t="s">
        <v>1929</v>
      </c>
    </row>
    <row r="855" spans="2:6">
      <c r="B855" s="8">
        <v>853</v>
      </c>
      <c r="C855" s="10">
        <v>33492</v>
      </c>
      <c r="D855" s="6" t="str">
        <f t="shared" si="13"/>
        <v>Daejeon</v>
      </c>
      <c r="E855" s="9" t="s">
        <v>1870</v>
      </c>
      <c r="F855" s="9" t="s">
        <v>1930</v>
      </c>
    </row>
    <row r="856" spans="2:6">
      <c r="B856" s="8">
        <v>854</v>
      </c>
      <c r="C856" s="10">
        <v>33498</v>
      </c>
      <c r="D856" s="6" t="str">
        <f t="shared" si="13"/>
        <v>Daejeon</v>
      </c>
      <c r="E856" s="9" t="s">
        <v>1870</v>
      </c>
      <c r="F856" s="9" t="s">
        <v>1931</v>
      </c>
    </row>
    <row r="857" spans="2:6">
      <c r="B857" s="8">
        <v>855</v>
      </c>
      <c r="C857" s="10">
        <v>33507</v>
      </c>
      <c r="D857" s="6" t="str">
        <f t="shared" si="13"/>
        <v>Daejeon</v>
      </c>
      <c r="E857" s="9" t="s">
        <v>1870</v>
      </c>
      <c r="F857" s="9" t="s">
        <v>1932</v>
      </c>
    </row>
    <row r="858" spans="2:6">
      <c r="B858" s="8">
        <v>856</v>
      </c>
      <c r="C858" s="10">
        <v>33504</v>
      </c>
      <c r="D858" s="6" t="str">
        <f t="shared" si="13"/>
        <v>Daejeon</v>
      </c>
      <c r="E858" s="9" t="s">
        <v>1870</v>
      </c>
      <c r="F858" s="9" t="s">
        <v>1933</v>
      </c>
    </row>
    <row r="859" spans="2:6">
      <c r="B859" s="8">
        <v>857</v>
      </c>
      <c r="C859" s="10">
        <v>33491</v>
      </c>
      <c r="D859" s="6" t="str">
        <f t="shared" si="13"/>
        <v>Daejeon</v>
      </c>
      <c r="E859" s="9" t="s">
        <v>1870</v>
      </c>
      <c r="F859" s="9" t="s">
        <v>1934</v>
      </c>
    </row>
    <row r="860" spans="2:6">
      <c r="B860" s="8">
        <v>858</v>
      </c>
      <c r="C860" s="10">
        <v>35907</v>
      </c>
      <c r="D860" s="6" t="str">
        <f t="shared" si="13"/>
        <v>Daejeon</v>
      </c>
      <c r="E860" s="9" t="s">
        <v>1870</v>
      </c>
      <c r="F860" s="9" t="s">
        <v>1935</v>
      </c>
    </row>
    <row r="861" spans="2:6">
      <c r="B861" s="8">
        <v>859</v>
      </c>
      <c r="C861" s="10">
        <v>33495</v>
      </c>
      <c r="D861" s="6" t="str">
        <f t="shared" si="13"/>
        <v>Daejeon</v>
      </c>
      <c r="E861" s="9" t="s">
        <v>1870</v>
      </c>
      <c r="F861" s="9" t="s">
        <v>1936</v>
      </c>
    </row>
    <row r="862" spans="2:6">
      <c r="B862" s="8">
        <v>860</v>
      </c>
      <c r="C862" s="10">
        <v>36366</v>
      </c>
      <c r="D862" s="6" t="str">
        <f t="shared" si="13"/>
        <v>Daejeon</v>
      </c>
      <c r="E862" s="9" t="s">
        <v>1870</v>
      </c>
      <c r="F862" s="9" t="s">
        <v>1937</v>
      </c>
    </row>
    <row r="863" spans="2:6">
      <c r="B863" s="8">
        <v>861</v>
      </c>
      <c r="C863" s="10">
        <v>33511</v>
      </c>
      <c r="D863" s="6" t="str">
        <f t="shared" si="13"/>
        <v>Daejeon</v>
      </c>
      <c r="E863" s="9" t="s">
        <v>1870</v>
      </c>
      <c r="F863" s="9" t="s">
        <v>1938</v>
      </c>
    </row>
    <row r="864" spans="2:6">
      <c r="B864" s="8">
        <v>862</v>
      </c>
      <c r="C864" s="10">
        <v>34446</v>
      </c>
      <c r="D864" s="6" t="str">
        <f t="shared" si="13"/>
        <v>Daejeon</v>
      </c>
      <c r="E864" s="9" t="s">
        <v>1870</v>
      </c>
      <c r="F864" s="9" t="s">
        <v>1939</v>
      </c>
    </row>
    <row r="865" spans="2:6">
      <c r="B865" s="8">
        <v>863</v>
      </c>
      <c r="C865" s="10">
        <v>33490</v>
      </c>
      <c r="D865" s="6" t="str">
        <f t="shared" si="13"/>
        <v>Daejeon</v>
      </c>
      <c r="E865" s="9" t="s">
        <v>1870</v>
      </c>
      <c r="F865" s="9" t="s">
        <v>1940</v>
      </c>
    </row>
    <row r="866" spans="2:6">
      <c r="B866" s="8">
        <v>864</v>
      </c>
      <c r="C866" s="10">
        <v>33485</v>
      </c>
      <c r="D866" s="6" t="str">
        <f t="shared" si="13"/>
        <v>Daejeon</v>
      </c>
      <c r="E866" s="9" t="s">
        <v>1870</v>
      </c>
      <c r="F866" s="9" t="s">
        <v>1941</v>
      </c>
    </row>
    <row r="867" spans="2:6">
      <c r="B867" s="8">
        <v>865</v>
      </c>
      <c r="C867" s="10">
        <v>33488</v>
      </c>
      <c r="D867" s="6" t="str">
        <f t="shared" si="13"/>
        <v>Daejeon</v>
      </c>
      <c r="E867" s="9" t="s">
        <v>1870</v>
      </c>
      <c r="F867" s="9" t="s">
        <v>1942</v>
      </c>
    </row>
    <row r="868" spans="2:6">
      <c r="B868" s="8">
        <v>866</v>
      </c>
      <c r="C868" s="10">
        <v>33510</v>
      </c>
      <c r="D868" s="6" t="str">
        <f t="shared" si="13"/>
        <v>Daejeon</v>
      </c>
      <c r="E868" s="9" t="s">
        <v>1870</v>
      </c>
      <c r="F868" s="9" t="s">
        <v>1943</v>
      </c>
    </row>
    <row r="869" spans="2:6">
      <c r="B869" s="8">
        <v>867</v>
      </c>
      <c r="C869" s="10">
        <v>33518</v>
      </c>
      <c r="D869" s="6" t="str">
        <f t="shared" si="13"/>
        <v>Daejeon</v>
      </c>
      <c r="E869" s="9" t="s">
        <v>1870</v>
      </c>
      <c r="F869" s="9" t="s">
        <v>1944</v>
      </c>
    </row>
    <row r="870" spans="2:6">
      <c r="B870" s="8">
        <v>868</v>
      </c>
      <c r="C870" s="10">
        <v>33482</v>
      </c>
      <c r="D870" s="6" t="str">
        <f t="shared" si="13"/>
        <v>Daejeon</v>
      </c>
      <c r="E870" s="9" t="s">
        <v>1870</v>
      </c>
      <c r="F870" s="9" t="s">
        <v>1945</v>
      </c>
    </row>
    <row r="871" spans="2:6">
      <c r="B871" s="8">
        <v>869</v>
      </c>
      <c r="C871" s="10">
        <v>33496</v>
      </c>
      <c r="D871" s="6" t="str">
        <f t="shared" si="13"/>
        <v>Daejeon</v>
      </c>
      <c r="E871" s="9" t="s">
        <v>1870</v>
      </c>
      <c r="F871" s="9" t="s">
        <v>1946</v>
      </c>
    </row>
    <row r="872" spans="2:6">
      <c r="B872" s="8">
        <v>870</v>
      </c>
      <c r="C872" s="10">
        <v>33493</v>
      </c>
      <c r="D872" s="6" t="str">
        <f t="shared" si="13"/>
        <v>Daejeon</v>
      </c>
      <c r="E872" s="9" t="s">
        <v>1870</v>
      </c>
      <c r="F872" s="9" t="s">
        <v>1947</v>
      </c>
    </row>
    <row r="873" spans="2:6">
      <c r="B873" s="8">
        <v>871</v>
      </c>
      <c r="C873" s="10">
        <v>33483</v>
      </c>
      <c r="D873" s="6" t="str">
        <f t="shared" si="13"/>
        <v>Daejeon</v>
      </c>
      <c r="E873" s="9" t="s">
        <v>1870</v>
      </c>
      <c r="F873" s="9" t="s">
        <v>1948</v>
      </c>
    </row>
    <row r="874" spans="2:6">
      <c r="B874" s="8">
        <v>872</v>
      </c>
      <c r="C874" s="10">
        <v>33484</v>
      </c>
      <c r="D874" s="6" t="str">
        <f t="shared" si="13"/>
        <v>Daejeon</v>
      </c>
      <c r="E874" s="9" t="s">
        <v>1870</v>
      </c>
      <c r="F874" s="9" t="s">
        <v>1949</v>
      </c>
    </row>
    <row r="875" spans="2:6">
      <c r="B875" s="8">
        <v>873</v>
      </c>
      <c r="C875" s="10">
        <v>33480</v>
      </c>
      <c r="D875" s="6" t="str">
        <f t="shared" si="13"/>
        <v>Daejeon</v>
      </c>
      <c r="E875" s="9" t="s">
        <v>1870</v>
      </c>
      <c r="F875" s="9" t="s">
        <v>1950</v>
      </c>
    </row>
    <row r="876" spans="2:6">
      <c r="B876" s="8">
        <v>874</v>
      </c>
      <c r="C876" s="10">
        <v>33503</v>
      </c>
      <c r="D876" s="6" t="str">
        <f t="shared" si="13"/>
        <v>Daejeon</v>
      </c>
      <c r="E876" s="9" t="s">
        <v>1870</v>
      </c>
      <c r="F876" s="9" t="s">
        <v>1951</v>
      </c>
    </row>
    <row r="877" spans="2:6">
      <c r="B877" s="8">
        <v>875</v>
      </c>
      <c r="C877" s="10">
        <v>33505</v>
      </c>
      <c r="D877" s="6" t="str">
        <f t="shared" si="13"/>
        <v>Daejeon</v>
      </c>
      <c r="E877" s="9" t="s">
        <v>1870</v>
      </c>
      <c r="F877" s="9" t="s">
        <v>1952</v>
      </c>
    </row>
    <row r="878" spans="2:6">
      <c r="B878" s="8">
        <v>876</v>
      </c>
      <c r="C878" s="10">
        <v>33508</v>
      </c>
      <c r="D878" s="6" t="str">
        <f t="shared" si="13"/>
        <v>Daejeon</v>
      </c>
      <c r="E878" s="9" t="s">
        <v>1870</v>
      </c>
      <c r="F878" s="9" t="s">
        <v>1953</v>
      </c>
    </row>
    <row r="879" spans="2:6">
      <c r="B879" s="8">
        <v>877</v>
      </c>
      <c r="C879" s="10">
        <v>33494</v>
      </c>
      <c r="D879" s="6" t="str">
        <f t="shared" si="13"/>
        <v>Daejeon</v>
      </c>
      <c r="E879" s="9" t="s">
        <v>1870</v>
      </c>
      <c r="F879" s="9" t="s">
        <v>1954</v>
      </c>
    </row>
    <row r="880" spans="2:6">
      <c r="B880" s="8">
        <v>878</v>
      </c>
      <c r="C880" s="10">
        <v>35139</v>
      </c>
      <c r="D880" s="6" t="str">
        <f t="shared" si="13"/>
        <v>Daejeon</v>
      </c>
      <c r="E880" s="9" t="s">
        <v>1870</v>
      </c>
      <c r="F880" s="9" t="s">
        <v>1955</v>
      </c>
    </row>
    <row r="881" spans="2:6">
      <c r="B881" s="8">
        <v>879</v>
      </c>
      <c r="C881" s="10">
        <v>83636</v>
      </c>
      <c r="D881" s="6" t="str">
        <f t="shared" si="13"/>
        <v>Daejeon</v>
      </c>
      <c r="E881" s="9" t="s">
        <v>1870</v>
      </c>
      <c r="F881" s="9" t="s">
        <v>1956</v>
      </c>
    </row>
    <row r="882" spans="2:6">
      <c r="B882" s="8">
        <v>880</v>
      </c>
      <c r="C882" s="10">
        <v>35034</v>
      </c>
      <c r="D882" s="6" t="str">
        <f t="shared" si="13"/>
        <v>Daejeon</v>
      </c>
      <c r="E882" s="9" t="s">
        <v>1870</v>
      </c>
      <c r="F882" s="9" t="s">
        <v>1957</v>
      </c>
    </row>
    <row r="883" spans="2:6">
      <c r="B883" s="8">
        <v>881</v>
      </c>
      <c r="C883" s="10">
        <v>33549</v>
      </c>
      <c r="D883" s="6" t="str">
        <f t="shared" si="13"/>
        <v>Daejeon</v>
      </c>
      <c r="E883" s="9" t="s">
        <v>1870</v>
      </c>
      <c r="F883" s="9" t="s">
        <v>1958</v>
      </c>
    </row>
    <row r="884" spans="2:6">
      <c r="B884" s="8">
        <v>882</v>
      </c>
      <c r="C884" s="10">
        <v>33554</v>
      </c>
      <c r="D884" s="6" t="str">
        <f t="shared" si="13"/>
        <v>Daejeon</v>
      </c>
      <c r="E884" s="9" t="s">
        <v>1870</v>
      </c>
      <c r="F884" s="9" t="s">
        <v>1321</v>
      </c>
    </row>
    <row r="885" spans="2:6">
      <c r="B885" s="8">
        <v>883</v>
      </c>
      <c r="C885" s="10">
        <v>33577</v>
      </c>
      <c r="D885" s="6" t="str">
        <f t="shared" si="13"/>
        <v>Daejeon</v>
      </c>
      <c r="E885" s="9" t="s">
        <v>1870</v>
      </c>
      <c r="F885" s="9" t="s">
        <v>1959</v>
      </c>
    </row>
    <row r="886" spans="2:6">
      <c r="B886" s="8">
        <v>884</v>
      </c>
      <c r="C886" s="10">
        <v>33584</v>
      </c>
      <c r="D886" s="6" t="str">
        <f t="shared" si="13"/>
        <v>Daejeon</v>
      </c>
      <c r="E886" s="9" t="s">
        <v>1870</v>
      </c>
      <c r="F886" s="9" t="s">
        <v>1960</v>
      </c>
    </row>
    <row r="887" spans="2:6">
      <c r="B887" s="8">
        <v>885</v>
      </c>
      <c r="C887" s="10">
        <v>33562</v>
      </c>
      <c r="D887" s="6" t="str">
        <f t="shared" si="13"/>
        <v>Daejeon</v>
      </c>
      <c r="E887" s="9" t="s">
        <v>1870</v>
      </c>
      <c r="F887" s="9" t="s">
        <v>1961</v>
      </c>
    </row>
    <row r="888" spans="2:6">
      <c r="B888" s="8">
        <v>886</v>
      </c>
      <c r="C888" s="10">
        <v>39835</v>
      </c>
      <c r="D888" s="6" t="str">
        <f t="shared" si="13"/>
        <v>Daejeon</v>
      </c>
      <c r="E888" s="9" t="s">
        <v>1870</v>
      </c>
      <c r="F888" s="9" t="s">
        <v>1962</v>
      </c>
    </row>
    <row r="889" spans="2:6">
      <c r="B889" s="8">
        <v>887</v>
      </c>
      <c r="C889" s="10">
        <v>33548</v>
      </c>
      <c r="D889" s="6" t="str">
        <f t="shared" si="13"/>
        <v>Daejeon</v>
      </c>
      <c r="E889" s="9" t="s">
        <v>1870</v>
      </c>
      <c r="F889" s="9" t="s">
        <v>1963</v>
      </c>
    </row>
    <row r="890" spans="2:6">
      <c r="B890" s="8">
        <v>888</v>
      </c>
      <c r="C890" s="10">
        <v>33566</v>
      </c>
      <c r="D890" s="6" t="str">
        <f t="shared" si="13"/>
        <v>Daejeon</v>
      </c>
      <c r="E890" s="9" t="s">
        <v>1870</v>
      </c>
      <c r="F890" s="9" t="s">
        <v>1653</v>
      </c>
    </row>
    <row r="891" spans="2:6">
      <c r="B891" s="8">
        <v>889</v>
      </c>
      <c r="C891" s="10">
        <v>34422</v>
      </c>
      <c r="D891" s="6" t="str">
        <f t="shared" si="13"/>
        <v>Daejeon</v>
      </c>
      <c r="E891" s="9" t="s">
        <v>1870</v>
      </c>
      <c r="F891" s="9" t="s">
        <v>1964</v>
      </c>
    </row>
    <row r="892" spans="2:6">
      <c r="B892" s="8">
        <v>890</v>
      </c>
      <c r="C892" s="10">
        <v>33564</v>
      </c>
      <c r="D892" s="6" t="str">
        <f t="shared" si="13"/>
        <v>Daejeon</v>
      </c>
      <c r="E892" s="9" t="s">
        <v>1870</v>
      </c>
      <c r="F892" s="9" t="s">
        <v>1965</v>
      </c>
    </row>
    <row r="893" spans="2:6">
      <c r="B893" s="8">
        <v>891</v>
      </c>
      <c r="C893" s="10">
        <v>33558</v>
      </c>
      <c r="D893" s="6" t="str">
        <f t="shared" si="13"/>
        <v>Daejeon</v>
      </c>
      <c r="E893" s="9" t="s">
        <v>1870</v>
      </c>
      <c r="F893" s="9" t="s">
        <v>1966</v>
      </c>
    </row>
    <row r="894" spans="2:6">
      <c r="B894" s="8">
        <v>892</v>
      </c>
      <c r="C894" s="10">
        <v>33574</v>
      </c>
      <c r="D894" s="6" t="str">
        <f t="shared" si="13"/>
        <v>Daejeon</v>
      </c>
      <c r="E894" s="9" t="s">
        <v>1870</v>
      </c>
      <c r="F894" s="9" t="s">
        <v>1967</v>
      </c>
    </row>
    <row r="895" spans="2:6">
      <c r="B895" s="8">
        <v>893</v>
      </c>
      <c r="C895" s="10">
        <v>33563</v>
      </c>
      <c r="D895" s="6" t="str">
        <f t="shared" si="13"/>
        <v>Daejeon</v>
      </c>
      <c r="E895" s="9" t="s">
        <v>1870</v>
      </c>
      <c r="F895" s="9" t="s">
        <v>1968</v>
      </c>
    </row>
    <row r="896" spans="2:6">
      <c r="B896" s="8">
        <v>894</v>
      </c>
      <c r="C896" s="10">
        <v>34765</v>
      </c>
      <c r="D896" s="6" t="str">
        <f t="shared" si="13"/>
        <v>Daejeon</v>
      </c>
      <c r="E896" s="9" t="s">
        <v>1870</v>
      </c>
      <c r="F896" s="9" t="s">
        <v>1969</v>
      </c>
    </row>
    <row r="897" spans="2:6">
      <c r="B897" s="8">
        <v>895</v>
      </c>
      <c r="C897" s="10">
        <v>35112</v>
      </c>
      <c r="D897" s="6" t="str">
        <f t="shared" si="13"/>
        <v>Daejeon</v>
      </c>
      <c r="E897" s="9" t="s">
        <v>1870</v>
      </c>
      <c r="F897" s="9" t="s">
        <v>1970</v>
      </c>
    </row>
    <row r="898" spans="2:6">
      <c r="B898" s="8">
        <v>896</v>
      </c>
      <c r="C898" s="10">
        <v>33559</v>
      </c>
      <c r="D898" s="6" t="str">
        <f t="shared" si="13"/>
        <v>Daejeon</v>
      </c>
      <c r="E898" s="9" t="s">
        <v>1870</v>
      </c>
      <c r="F898" s="9" t="s">
        <v>1971</v>
      </c>
    </row>
    <row r="899" spans="2:6">
      <c r="B899" s="8">
        <v>897</v>
      </c>
      <c r="C899" s="10">
        <v>33555</v>
      </c>
      <c r="D899" s="6" t="str">
        <f t="shared" si="13"/>
        <v>Daejeon</v>
      </c>
      <c r="E899" s="9" t="s">
        <v>1870</v>
      </c>
      <c r="F899" s="9" t="s">
        <v>1972</v>
      </c>
    </row>
    <row r="900" spans="2:6">
      <c r="B900" s="8">
        <v>898</v>
      </c>
      <c r="C900" s="10">
        <v>33572</v>
      </c>
      <c r="D900" s="6" t="str">
        <f t="shared" ref="D900:D963" si="14">IFERROR(VLOOKUP(E900,$H$3:$J$16,2,0),"")</f>
        <v>Daejeon</v>
      </c>
      <c r="E900" s="9" t="s">
        <v>1870</v>
      </c>
      <c r="F900" s="9" t="s">
        <v>1973</v>
      </c>
    </row>
    <row r="901" spans="2:6">
      <c r="B901" s="8">
        <v>899</v>
      </c>
      <c r="C901" s="10">
        <v>33567</v>
      </c>
      <c r="D901" s="6" t="str">
        <f t="shared" si="14"/>
        <v>Daejeon</v>
      </c>
      <c r="E901" s="9" t="s">
        <v>1870</v>
      </c>
      <c r="F901" s="9" t="s">
        <v>1974</v>
      </c>
    </row>
    <row r="902" spans="2:6">
      <c r="B902" s="8">
        <v>900</v>
      </c>
      <c r="C902" s="10">
        <v>35298</v>
      </c>
      <c r="D902" s="6" t="str">
        <f t="shared" si="14"/>
        <v>Daejeon</v>
      </c>
      <c r="E902" s="9" t="s">
        <v>1870</v>
      </c>
      <c r="F902" s="9" t="s">
        <v>1975</v>
      </c>
    </row>
    <row r="903" spans="2:6">
      <c r="B903" s="8">
        <v>901</v>
      </c>
      <c r="C903" s="10">
        <v>33581</v>
      </c>
      <c r="D903" s="6" t="str">
        <f t="shared" si="14"/>
        <v>Daejeon</v>
      </c>
      <c r="E903" s="9" t="s">
        <v>1870</v>
      </c>
      <c r="F903" s="9" t="s">
        <v>1976</v>
      </c>
    </row>
    <row r="904" spans="2:6">
      <c r="B904" s="8">
        <v>902</v>
      </c>
      <c r="C904" s="10">
        <v>33576</v>
      </c>
      <c r="D904" s="6" t="str">
        <f t="shared" si="14"/>
        <v>Daejeon</v>
      </c>
      <c r="E904" s="9" t="s">
        <v>1870</v>
      </c>
      <c r="F904" s="9" t="s">
        <v>1977</v>
      </c>
    </row>
    <row r="905" spans="2:6">
      <c r="B905" s="8">
        <v>903</v>
      </c>
      <c r="C905" s="10">
        <v>33551</v>
      </c>
      <c r="D905" s="6" t="str">
        <f t="shared" si="14"/>
        <v>Daejeon</v>
      </c>
      <c r="E905" s="9" t="s">
        <v>1870</v>
      </c>
      <c r="F905" s="9" t="s">
        <v>1978</v>
      </c>
    </row>
    <row r="906" spans="2:6">
      <c r="B906" s="8">
        <v>904</v>
      </c>
      <c r="C906" s="10">
        <v>33573</v>
      </c>
      <c r="D906" s="6" t="str">
        <f t="shared" si="14"/>
        <v>Daejeon</v>
      </c>
      <c r="E906" s="9" t="s">
        <v>1870</v>
      </c>
      <c r="F906" s="9" t="s">
        <v>1979</v>
      </c>
    </row>
    <row r="907" spans="2:6">
      <c r="B907" s="8">
        <v>905</v>
      </c>
      <c r="C907" s="10">
        <v>33556</v>
      </c>
      <c r="D907" s="6" t="str">
        <f t="shared" si="14"/>
        <v>Daejeon</v>
      </c>
      <c r="E907" s="9" t="s">
        <v>1870</v>
      </c>
      <c r="F907" s="9" t="s">
        <v>1980</v>
      </c>
    </row>
    <row r="908" spans="2:6">
      <c r="B908" s="8">
        <v>906</v>
      </c>
      <c r="C908" s="10">
        <v>33570</v>
      </c>
      <c r="D908" s="6" t="str">
        <f t="shared" si="14"/>
        <v>Daejeon</v>
      </c>
      <c r="E908" s="9" t="s">
        <v>1870</v>
      </c>
      <c r="F908" s="9" t="s">
        <v>1981</v>
      </c>
    </row>
    <row r="909" spans="2:6">
      <c r="B909" s="8">
        <v>907</v>
      </c>
      <c r="C909" s="10">
        <v>33583</v>
      </c>
      <c r="D909" s="6" t="str">
        <f t="shared" si="14"/>
        <v>Daejeon</v>
      </c>
      <c r="E909" s="9" t="s">
        <v>1870</v>
      </c>
      <c r="F909" s="9" t="s">
        <v>1982</v>
      </c>
    </row>
    <row r="910" spans="2:6">
      <c r="B910" s="8">
        <v>908</v>
      </c>
      <c r="C910" s="10">
        <v>33553</v>
      </c>
      <c r="D910" s="6" t="str">
        <f t="shared" si="14"/>
        <v>Daejeon</v>
      </c>
      <c r="E910" s="9" t="s">
        <v>1870</v>
      </c>
      <c r="F910" s="9" t="s">
        <v>1983</v>
      </c>
    </row>
    <row r="911" spans="2:6">
      <c r="B911" s="8">
        <v>909</v>
      </c>
      <c r="C911" s="10">
        <v>80579</v>
      </c>
      <c r="D911" s="6" t="str">
        <f t="shared" si="14"/>
        <v>Daejeon</v>
      </c>
      <c r="E911" s="9" t="s">
        <v>1870</v>
      </c>
      <c r="F911" s="9" t="s">
        <v>1984</v>
      </c>
    </row>
    <row r="912" spans="2:6">
      <c r="B912" s="8">
        <v>910</v>
      </c>
      <c r="C912" s="10">
        <v>33561</v>
      </c>
      <c r="D912" s="6" t="str">
        <f t="shared" si="14"/>
        <v>Daejeon</v>
      </c>
      <c r="E912" s="9" t="s">
        <v>1870</v>
      </c>
      <c r="F912" s="9" t="s">
        <v>1985</v>
      </c>
    </row>
    <row r="913" spans="2:6">
      <c r="B913" s="8">
        <v>911</v>
      </c>
      <c r="C913" s="10">
        <v>34764</v>
      </c>
      <c r="D913" s="6" t="str">
        <f t="shared" si="14"/>
        <v>Daejeon</v>
      </c>
      <c r="E913" s="9" t="s">
        <v>1870</v>
      </c>
      <c r="F913" s="9" t="s">
        <v>1986</v>
      </c>
    </row>
    <row r="914" spans="2:6">
      <c r="B914" s="8">
        <v>912</v>
      </c>
      <c r="C914" s="10">
        <v>33552</v>
      </c>
      <c r="D914" s="6" t="str">
        <f t="shared" si="14"/>
        <v>Daejeon</v>
      </c>
      <c r="E914" s="9" t="s">
        <v>1870</v>
      </c>
      <c r="F914" s="9" t="s">
        <v>1987</v>
      </c>
    </row>
    <row r="915" spans="2:6">
      <c r="B915" s="8">
        <v>913</v>
      </c>
      <c r="C915" s="10">
        <v>33565</v>
      </c>
      <c r="D915" s="6" t="str">
        <f t="shared" si="14"/>
        <v>Daejeon</v>
      </c>
      <c r="E915" s="9" t="s">
        <v>1870</v>
      </c>
      <c r="F915" s="9" t="s">
        <v>1988</v>
      </c>
    </row>
    <row r="916" spans="2:6">
      <c r="B916" s="8">
        <v>914</v>
      </c>
      <c r="C916" s="10">
        <v>33568</v>
      </c>
      <c r="D916" s="6" t="str">
        <f t="shared" si="14"/>
        <v>Daejeon</v>
      </c>
      <c r="E916" s="9" t="s">
        <v>1870</v>
      </c>
      <c r="F916" s="9" t="s">
        <v>1989</v>
      </c>
    </row>
    <row r="917" spans="2:6">
      <c r="B917" s="8">
        <v>915</v>
      </c>
      <c r="C917" s="10">
        <v>33560</v>
      </c>
      <c r="D917" s="6" t="str">
        <f t="shared" si="14"/>
        <v>Daejeon</v>
      </c>
      <c r="E917" s="9" t="s">
        <v>1870</v>
      </c>
      <c r="F917" s="9" t="s">
        <v>1990</v>
      </c>
    </row>
    <row r="918" spans="2:6">
      <c r="B918" s="8">
        <v>916</v>
      </c>
      <c r="C918" s="10">
        <v>33557</v>
      </c>
      <c r="D918" s="6" t="str">
        <f t="shared" si="14"/>
        <v>Daejeon</v>
      </c>
      <c r="E918" s="9" t="s">
        <v>1870</v>
      </c>
      <c r="F918" s="9" t="s">
        <v>1991</v>
      </c>
    </row>
    <row r="919" spans="2:6">
      <c r="B919" s="8">
        <v>917</v>
      </c>
      <c r="C919" s="10">
        <v>33578</v>
      </c>
      <c r="D919" s="6" t="str">
        <f t="shared" si="14"/>
        <v>Daejeon</v>
      </c>
      <c r="E919" s="9" t="s">
        <v>1870</v>
      </c>
      <c r="F919" s="9" t="s">
        <v>1992</v>
      </c>
    </row>
    <row r="920" spans="2:6">
      <c r="B920" s="8">
        <v>918</v>
      </c>
      <c r="C920" s="10">
        <v>33575</v>
      </c>
      <c r="D920" s="6" t="str">
        <f t="shared" si="14"/>
        <v>Daejeon</v>
      </c>
      <c r="E920" s="9" t="s">
        <v>1870</v>
      </c>
      <c r="F920" s="9" t="s">
        <v>1993</v>
      </c>
    </row>
    <row r="921" spans="2:6">
      <c r="B921" s="8">
        <v>919</v>
      </c>
      <c r="C921" s="10">
        <v>83797</v>
      </c>
      <c r="D921" s="6" t="str">
        <f t="shared" si="14"/>
        <v>Daejeon</v>
      </c>
      <c r="E921" s="9" t="s">
        <v>1870</v>
      </c>
      <c r="F921" s="9" t="s">
        <v>1994</v>
      </c>
    </row>
    <row r="922" spans="2:6">
      <c r="B922" s="8">
        <v>920</v>
      </c>
      <c r="C922" s="10">
        <v>85971</v>
      </c>
      <c r="D922" s="6" t="str">
        <f t="shared" si="14"/>
        <v>Daejeon</v>
      </c>
      <c r="E922" s="9" t="s">
        <v>1870</v>
      </c>
      <c r="F922" s="9" t="s">
        <v>1995</v>
      </c>
    </row>
    <row r="923" spans="2:6">
      <c r="B923" s="8">
        <v>921</v>
      </c>
      <c r="C923" s="10">
        <v>85829</v>
      </c>
      <c r="D923" s="6" t="str">
        <f t="shared" si="14"/>
        <v>Daejeon</v>
      </c>
      <c r="E923" s="9" t="s">
        <v>1870</v>
      </c>
      <c r="F923" s="9" t="s">
        <v>1996</v>
      </c>
    </row>
    <row r="924" spans="2:6">
      <c r="B924" s="8">
        <v>922</v>
      </c>
      <c r="C924" s="10">
        <v>86019</v>
      </c>
      <c r="D924" s="6" t="str">
        <f t="shared" si="14"/>
        <v>Daejeon</v>
      </c>
      <c r="E924" s="9" t="s">
        <v>1870</v>
      </c>
      <c r="F924" s="9" t="s">
        <v>1997</v>
      </c>
    </row>
    <row r="925" spans="2:6">
      <c r="B925" s="8">
        <v>923</v>
      </c>
      <c r="C925" s="10">
        <v>86224</v>
      </c>
      <c r="D925" s="6" t="str">
        <f t="shared" si="14"/>
        <v>Daejeon</v>
      </c>
      <c r="E925" s="9" t="s">
        <v>1870</v>
      </c>
      <c r="F925" s="9" t="s">
        <v>1998</v>
      </c>
    </row>
    <row r="926" spans="2:6">
      <c r="B926" s="8">
        <v>924</v>
      </c>
      <c r="C926" s="10">
        <v>86186</v>
      </c>
      <c r="D926" s="6" t="str">
        <f t="shared" si="14"/>
        <v>Daejeon</v>
      </c>
      <c r="E926" s="9" t="s">
        <v>1999</v>
      </c>
      <c r="F926" s="9" t="s">
        <v>2000</v>
      </c>
    </row>
    <row r="927" spans="2:6">
      <c r="B927" s="8">
        <v>925</v>
      </c>
      <c r="C927" s="10">
        <v>86287</v>
      </c>
      <c r="D927" s="6" t="str">
        <f t="shared" si="14"/>
        <v>Daejeon</v>
      </c>
      <c r="E927" s="9" t="s">
        <v>1999</v>
      </c>
      <c r="F927" s="9" t="s">
        <v>2001</v>
      </c>
    </row>
    <row r="928" spans="2:6">
      <c r="B928" s="8">
        <v>926</v>
      </c>
      <c r="C928" s="10">
        <v>33284</v>
      </c>
      <c r="D928" s="6" t="str">
        <f t="shared" si="14"/>
        <v>Seoul</v>
      </c>
      <c r="E928" s="9" t="s">
        <v>993</v>
      </c>
      <c r="F928" s="9" t="s">
        <v>2002</v>
      </c>
    </row>
    <row r="929" spans="2:6">
      <c r="B929" s="8">
        <v>927</v>
      </c>
      <c r="C929" s="10">
        <v>84189</v>
      </c>
      <c r="D929" s="6" t="s">
        <v>1157</v>
      </c>
      <c r="E929" s="9" t="s">
        <v>2003</v>
      </c>
      <c r="F929" s="9" t="s">
        <v>2004</v>
      </c>
    </row>
    <row r="930" spans="2:6">
      <c r="B930" s="8">
        <v>928</v>
      </c>
      <c r="C930" s="10">
        <v>83863</v>
      </c>
      <c r="D930" s="6" t="s">
        <v>1157</v>
      </c>
      <c r="E930" s="9" t="s">
        <v>2005</v>
      </c>
      <c r="F930" s="9" t="s">
        <v>2006</v>
      </c>
    </row>
    <row r="931" spans="2:6">
      <c r="B931" s="8">
        <v>929</v>
      </c>
      <c r="C931" s="10">
        <v>33969</v>
      </c>
      <c r="D931" s="6" t="str">
        <f t="shared" si="14"/>
        <v>Gwangju</v>
      </c>
      <c r="E931" s="9" t="s">
        <v>2007</v>
      </c>
      <c r="F931" s="9" t="s">
        <v>2008</v>
      </c>
    </row>
    <row r="932" spans="2:6">
      <c r="B932" s="8">
        <v>930</v>
      </c>
      <c r="C932" s="10">
        <v>33955</v>
      </c>
      <c r="D932" s="6" t="str">
        <f t="shared" si="14"/>
        <v>Gwangju</v>
      </c>
      <c r="E932" s="9" t="s">
        <v>2007</v>
      </c>
      <c r="F932" s="9" t="s">
        <v>2009</v>
      </c>
    </row>
    <row r="933" spans="2:6">
      <c r="B933" s="8">
        <v>931</v>
      </c>
      <c r="C933" s="10">
        <v>33966</v>
      </c>
      <c r="D933" s="6" t="str">
        <f t="shared" si="14"/>
        <v>Gwangju</v>
      </c>
      <c r="E933" s="9" t="s">
        <v>2007</v>
      </c>
      <c r="F933" s="9" t="s">
        <v>2010</v>
      </c>
    </row>
    <row r="934" spans="2:6">
      <c r="B934" s="8">
        <v>932</v>
      </c>
      <c r="C934" s="10">
        <v>33952</v>
      </c>
      <c r="D934" s="6" t="str">
        <f t="shared" si="14"/>
        <v>Gwangju</v>
      </c>
      <c r="E934" s="9" t="s">
        <v>2007</v>
      </c>
      <c r="F934" s="9" t="s">
        <v>2011</v>
      </c>
    </row>
    <row r="935" spans="2:6">
      <c r="B935" s="8">
        <v>933</v>
      </c>
      <c r="C935" s="10">
        <v>33961</v>
      </c>
      <c r="D935" s="6" t="str">
        <f t="shared" si="14"/>
        <v>Gwangju</v>
      </c>
      <c r="E935" s="9" t="s">
        <v>2007</v>
      </c>
      <c r="F935" s="9" t="s">
        <v>2012</v>
      </c>
    </row>
    <row r="936" spans="2:6">
      <c r="B936" s="8">
        <v>934</v>
      </c>
      <c r="C936" s="10">
        <v>33956</v>
      </c>
      <c r="D936" s="6" t="str">
        <f t="shared" si="14"/>
        <v>Gwangju</v>
      </c>
      <c r="E936" s="9" t="s">
        <v>2007</v>
      </c>
      <c r="F936" s="9" t="s">
        <v>2013</v>
      </c>
    </row>
    <row r="937" spans="2:6">
      <c r="B937" s="8">
        <v>935</v>
      </c>
      <c r="C937" s="10">
        <v>33949</v>
      </c>
      <c r="D937" s="6" t="str">
        <f t="shared" si="14"/>
        <v>Gwangju</v>
      </c>
      <c r="E937" s="9" t="s">
        <v>2007</v>
      </c>
      <c r="F937" s="9" t="s">
        <v>1932</v>
      </c>
    </row>
    <row r="938" spans="2:6">
      <c r="B938" s="8">
        <v>936</v>
      </c>
      <c r="C938" s="10">
        <v>33954</v>
      </c>
      <c r="D938" s="6" t="str">
        <f t="shared" si="14"/>
        <v>Gwangju</v>
      </c>
      <c r="E938" s="9" t="s">
        <v>2007</v>
      </c>
      <c r="F938" s="9" t="s">
        <v>2014</v>
      </c>
    </row>
    <row r="939" spans="2:6">
      <c r="B939" s="8">
        <v>937</v>
      </c>
      <c r="C939" s="10">
        <v>33948</v>
      </c>
      <c r="D939" s="6" t="str">
        <f t="shared" si="14"/>
        <v>Gwangju</v>
      </c>
      <c r="E939" s="9" t="s">
        <v>2007</v>
      </c>
      <c r="F939" s="9" t="s">
        <v>2015</v>
      </c>
    </row>
    <row r="940" spans="2:6">
      <c r="B940" s="8">
        <v>938</v>
      </c>
      <c r="C940" s="10">
        <v>33905</v>
      </c>
      <c r="D940" s="6" t="str">
        <f t="shared" si="14"/>
        <v>Gwangju</v>
      </c>
      <c r="E940" s="9" t="s">
        <v>2007</v>
      </c>
      <c r="F940" s="9" t="s">
        <v>2016</v>
      </c>
    </row>
    <row r="941" spans="2:6">
      <c r="B941" s="8">
        <v>939</v>
      </c>
      <c r="C941" s="10">
        <v>33912</v>
      </c>
      <c r="D941" s="6" t="str">
        <f t="shared" si="14"/>
        <v>Gwangju</v>
      </c>
      <c r="E941" s="9" t="s">
        <v>2007</v>
      </c>
      <c r="F941" s="9" t="s">
        <v>2017</v>
      </c>
    </row>
    <row r="942" spans="2:6">
      <c r="B942" s="8">
        <v>940</v>
      </c>
      <c r="C942" s="10">
        <v>33957</v>
      </c>
      <c r="D942" s="6" t="str">
        <f t="shared" si="14"/>
        <v>Gwangju</v>
      </c>
      <c r="E942" s="9" t="s">
        <v>2007</v>
      </c>
      <c r="F942" s="9" t="s">
        <v>2018</v>
      </c>
    </row>
    <row r="943" spans="2:6">
      <c r="B943" s="8">
        <v>941</v>
      </c>
      <c r="C943" s="10">
        <v>33904</v>
      </c>
      <c r="D943" s="6" t="str">
        <f t="shared" si="14"/>
        <v>Gwangju</v>
      </c>
      <c r="E943" s="9" t="s">
        <v>2007</v>
      </c>
      <c r="F943" s="9" t="s">
        <v>2019</v>
      </c>
    </row>
    <row r="944" spans="2:6">
      <c r="B944" s="8">
        <v>942</v>
      </c>
      <c r="C944" s="10">
        <v>33944</v>
      </c>
      <c r="D944" s="6" t="str">
        <f t="shared" si="14"/>
        <v>Gwangju</v>
      </c>
      <c r="E944" s="9" t="s">
        <v>2007</v>
      </c>
      <c r="F944" s="9" t="s">
        <v>2020</v>
      </c>
    </row>
    <row r="945" spans="2:6">
      <c r="B945" s="8">
        <v>943</v>
      </c>
      <c r="C945" s="10">
        <v>33950</v>
      </c>
      <c r="D945" s="6" t="str">
        <f t="shared" si="14"/>
        <v>Gwangju</v>
      </c>
      <c r="E945" s="9" t="s">
        <v>2007</v>
      </c>
      <c r="F945" s="9" t="s">
        <v>2021</v>
      </c>
    </row>
    <row r="946" spans="2:6">
      <c r="B946" s="8">
        <v>944</v>
      </c>
      <c r="C946" s="10">
        <v>33878</v>
      </c>
      <c r="D946" s="6" t="str">
        <f t="shared" si="14"/>
        <v>Gwangju</v>
      </c>
      <c r="E946" s="9" t="s">
        <v>2007</v>
      </c>
      <c r="F946" s="9" t="s">
        <v>2022</v>
      </c>
    </row>
    <row r="947" spans="2:6">
      <c r="B947" s="8">
        <v>945</v>
      </c>
      <c r="C947" s="10">
        <v>33880</v>
      </c>
      <c r="D947" s="6" t="str">
        <f t="shared" si="14"/>
        <v>Gwangju</v>
      </c>
      <c r="E947" s="9" t="s">
        <v>2007</v>
      </c>
      <c r="F947" s="9" t="s">
        <v>2023</v>
      </c>
    </row>
    <row r="948" spans="2:6">
      <c r="B948" s="8">
        <v>946</v>
      </c>
      <c r="C948" s="10">
        <v>37294</v>
      </c>
      <c r="D948" s="6" t="str">
        <f t="shared" si="14"/>
        <v>Gwangju</v>
      </c>
      <c r="E948" s="9" t="s">
        <v>2007</v>
      </c>
      <c r="F948" s="9" t="s">
        <v>2024</v>
      </c>
    </row>
    <row r="949" spans="2:6">
      <c r="B949" s="8">
        <v>947</v>
      </c>
      <c r="C949" s="10">
        <v>33881</v>
      </c>
      <c r="D949" s="6" t="str">
        <f t="shared" si="14"/>
        <v>Gwangju</v>
      </c>
      <c r="E949" s="9" t="s">
        <v>2007</v>
      </c>
      <c r="F949" s="9" t="s">
        <v>2025</v>
      </c>
    </row>
    <row r="950" spans="2:6">
      <c r="B950" s="8">
        <v>948</v>
      </c>
      <c r="C950" s="10">
        <v>33945</v>
      </c>
      <c r="D950" s="6" t="str">
        <f t="shared" si="14"/>
        <v>Gwangju</v>
      </c>
      <c r="E950" s="9" t="s">
        <v>2007</v>
      </c>
      <c r="F950" s="9" t="s">
        <v>2026</v>
      </c>
    </row>
    <row r="951" spans="2:6">
      <c r="B951" s="8">
        <v>949</v>
      </c>
      <c r="C951" s="10">
        <v>33947</v>
      </c>
      <c r="D951" s="6" t="str">
        <f t="shared" si="14"/>
        <v>Gwangju</v>
      </c>
      <c r="E951" s="9" t="s">
        <v>2007</v>
      </c>
      <c r="F951" s="9" t="s">
        <v>2027</v>
      </c>
    </row>
    <row r="952" spans="2:6">
      <c r="B952" s="8">
        <v>950</v>
      </c>
      <c r="C952" s="10">
        <v>33960</v>
      </c>
      <c r="D952" s="6" t="str">
        <f t="shared" si="14"/>
        <v>Gwangju</v>
      </c>
      <c r="E952" s="9" t="s">
        <v>2007</v>
      </c>
      <c r="F952" s="9" t="s">
        <v>2028</v>
      </c>
    </row>
    <row r="953" spans="2:6">
      <c r="B953" s="8">
        <v>951</v>
      </c>
      <c r="C953" s="10">
        <v>33922</v>
      </c>
      <c r="D953" s="6" t="str">
        <f t="shared" si="14"/>
        <v>Gwangju</v>
      </c>
      <c r="E953" s="9" t="s">
        <v>2007</v>
      </c>
      <c r="F953" s="9" t="s">
        <v>2029</v>
      </c>
    </row>
    <row r="954" spans="2:6">
      <c r="B954" s="8">
        <v>952</v>
      </c>
      <c r="C954" s="10">
        <v>33913</v>
      </c>
      <c r="D954" s="6" t="str">
        <f t="shared" si="14"/>
        <v>Gwangju</v>
      </c>
      <c r="E954" s="9" t="s">
        <v>2007</v>
      </c>
      <c r="F954" s="9" t="s">
        <v>2030</v>
      </c>
    </row>
    <row r="955" spans="2:6">
      <c r="B955" s="8">
        <v>953</v>
      </c>
      <c r="C955" s="10">
        <v>33958</v>
      </c>
      <c r="D955" s="6" t="str">
        <f t="shared" si="14"/>
        <v>Gwangju</v>
      </c>
      <c r="E955" s="9" t="s">
        <v>2007</v>
      </c>
      <c r="F955" s="9" t="s">
        <v>2031</v>
      </c>
    </row>
    <row r="956" spans="2:6">
      <c r="B956" s="8">
        <v>954</v>
      </c>
      <c r="C956" s="10">
        <v>33963</v>
      </c>
      <c r="D956" s="6" t="str">
        <f t="shared" si="14"/>
        <v>Gwangju</v>
      </c>
      <c r="E956" s="9" t="s">
        <v>2007</v>
      </c>
      <c r="F956" s="9" t="s">
        <v>2032</v>
      </c>
    </row>
    <row r="957" spans="2:6">
      <c r="B957" s="8">
        <v>955</v>
      </c>
      <c r="C957" s="10">
        <v>33959</v>
      </c>
      <c r="D957" s="6" t="str">
        <f t="shared" si="14"/>
        <v>Gwangju</v>
      </c>
      <c r="E957" s="9" t="s">
        <v>2007</v>
      </c>
      <c r="F957" s="9" t="s">
        <v>2033</v>
      </c>
    </row>
    <row r="958" spans="2:6">
      <c r="B958" s="8">
        <v>956</v>
      </c>
      <c r="C958" s="10">
        <v>33879</v>
      </c>
      <c r="D958" s="6" t="str">
        <f t="shared" si="14"/>
        <v>Gwangju</v>
      </c>
      <c r="E958" s="9" t="s">
        <v>2007</v>
      </c>
      <c r="F958" s="9" t="s">
        <v>2034</v>
      </c>
    </row>
    <row r="959" spans="2:6">
      <c r="B959" s="8">
        <v>957</v>
      </c>
      <c r="C959" s="10">
        <v>33962</v>
      </c>
      <c r="D959" s="6" t="str">
        <f t="shared" si="14"/>
        <v>Gwangju</v>
      </c>
      <c r="E959" s="9" t="s">
        <v>2007</v>
      </c>
      <c r="F959" s="9" t="s">
        <v>2035</v>
      </c>
    </row>
    <row r="960" spans="2:6">
      <c r="B960" s="8">
        <v>958</v>
      </c>
      <c r="C960" s="10">
        <v>33901</v>
      </c>
      <c r="D960" s="6" t="str">
        <f t="shared" si="14"/>
        <v>Gwangju</v>
      </c>
      <c r="E960" s="9" t="s">
        <v>2007</v>
      </c>
      <c r="F960" s="9" t="s">
        <v>2036</v>
      </c>
    </row>
    <row r="961" spans="2:6">
      <c r="B961" s="8">
        <v>959</v>
      </c>
      <c r="C961" s="10">
        <v>33902</v>
      </c>
      <c r="D961" s="6" t="str">
        <f t="shared" si="14"/>
        <v>Gwangju</v>
      </c>
      <c r="E961" s="9" t="s">
        <v>2007</v>
      </c>
      <c r="F961" s="9" t="s">
        <v>2037</v>
      </c>
    </row>
    <row r="962" spans="2:6">
      <c r="B962" s="8">
        <v>960</v>
      </c>
      <c r="C962" s="10">
        <v>33951</v>
      </c>
      <c r="D962" s="6" t="str">
        <f t="shared" si="14"/>
        <v>Gwangju</v>
      </c>
      <c r="E962" s="9" t="s">
        <v>2007</v>
      </c>
      <c r="F962" s="9" t="s">
        <v>2038</v>
      </c>
    </row>
    <row r="963" spans="2:6">
      <c r="B963" s="8">
        <v>961</v>
      </c>
      <c r="C963" s="10">
        <v>33965</v>
      </c>
      <c r="D963" s="6" t="str">
        <f t="shared" si="14"/>
        <v>Gwangju</v>
      </c>
      <c r="E963" s="9" t="s">
        <v>2007</v>
      </c>
      <c r="F963" s="9" t="s">
        <v>2039</v>
      </c>
    </row>
    <row r="964" spans="2:6">
      <c r="B964" s="8">
        <v>962</v>
      </c>
      <c r="C964" s="10">
        <v>33967</v>
      </c>
      <c r="D964" s="6" t="str">
        <f t="shared" ref="D964:D1027" si="15">IFERROR(VLOOKUP(E964,$H$3:$J$16,2,0),"")</f>
        <v>Gwangju</v>
      </c>
      <c r="E964" s="9" t="s">
        <v>2007</v>
      </c>
      <c r="F964" s="9" t="s">
        <v>2040</v>
      </c>
    </row>
    <row r="965" spans="2:6">
      <c r="B965" s="8">
        <v>963</v>
      </c>
      <c r="C965" s="10">
        <v>33964</v>
      </c>
      <c r="D965" s="6" t="str">
        <f t="shared" si="15"/>
        <v>Gwangju</v>
      </c>
      <c r="E965" s="9" t="s">
        <v>2007</v>
      </c>
      <c r="F965" s="9" t="s">
        <v>2041</v>
      </c>
    </row>
    <row r="966" spans="2:6">
      <c r="B966" s="8">
        <v>964</v>
      </c>
      <c r="C966" s="10">
        <v>33928</v>
      </c>
      <c r="D966" s="6" t="str">
        <f t="shared" si="15"/>
        <v>Gwangju</v>
      </c>
      <c r="E966" s="9" t="s">
        <v>2007</v>
      </c>
      <c r="F966" s="9" t="s">
        <v>2042</v>
      </c>
    </row>
    <row r="967" spans="2:6">
      <c r="B967" s="8">
        <v>965</v>
      </c>
      <c r="C967" s="10">
        <v>33946</v>
      </c>
      <c r="D967" s="6" t="str">
        <f t="shared" si="15"/>
        <v>Gwangju</v>
      </c>
      <c r="E967" s="9" t="s">
        <v>2007</v>
      </c>
      <c r="F967" s="9" t="s">
        <v>2043</v>
      </c>
    </row>
    <row r="968" spans="2:6">
      <c r="B968" s="8">
        <v>966</v>
      </c>
      <c r="C968" s="10">
        <v>36492</v>
      </c>
      <c r="D968" s="6" t="str">
        <f t="shared" si="15"/>
        <v>Gwangju</v>
      </c>
      <c r="E968" s="9" t="s">
        <v>2007</v>
      </c>
      <c r="F968" s="9" t="s">
        <v>2044</v>
      </c>
    </row>
    <row r="969" spans="2:6">
      <c r="B969" s="8">
        <v>967</v>
      </c>
      <c r="C969" s="10">
        <v>33987</v>
      </c>
      <c r="D969" s="6" t="str">
        <f t="shared" si="15"/>
        <v>Gwangju</v>
      </c>
      <c r="E969" s="9" t="s">
        <v>2007</v>
      </c>
      <c r="F969" s="9" t="s">
        <v>2045</v>
      </c>
    </row>
    <row r="970" spans="2:6">
      <c r="B970" s="8">
        <v>968</v>
      </c>
      <c r="C970" s="10">
        <v>33989</v>
      </c>
      <c r="D970" s="6" t="str">
        <f t="shared" si="15"/>
        <v>Gwangju</v>
      </c>
      <c r="E970" s="9" t="s">
        <v>2007</v>
      </c>
      <c r="F970" s="9" t="s">
        <v>2046</v>
      </c>
    </row>
    <row r="971" spans="2:6">
      <c r="B971" s="8">
        <v>969</v>
      </c>
      <c r="C971" s="10">
        <v>33975</v>
      </c>
      <c r="D971" s="6" t="str">
        <f t="shared" si="15"/>
        <v>Gwangju</v>
      </c>
      <c r="E971" s="9" t="s">
        <v>2007</v>
      </c>
      <c r="F971" s="9" t="s">
        <v>2047</v>
      </c>
    </row>
    <row r="972" spans="2:6">
      <c r="B972" s="8">
        <v>970</v>
      </c>
      <c r="C972" s="10">
        <v>33991</v>
      </c>
      <c r="D972" s="6" t="str">
        <f t="shared" si="15"/>
        <v>Gwangju</v>
      </c>
      <c r="E972" s="9" t="s">
        <v>2007</v>
      </c>
      <c r="F972" s="9" t="s">
        <v>2048</v>
      </c>
    </row>
    <row r="973" spans="2:6">
      <c r="B973" s="8">
        <v>971</v>
      </c>
      <c r="C973" s="10">
        <v>34018</v>
      </c>
      <c r="D973" s="6" t="str">
        <f t="shared" si="15"/>
        <v>Gwangju</v>
      </c>
      <c r="E973" s="9" t="s">
        <v>2007</v>
      </c>
      <c r="F973" s="9" t="s">
        <v>2049</v>
      </c>
    </row>
    <row r="974" spans="2:6">
      <c r="B974" s="8">
        <v>972</v>
      </c>
      <c r="C974" s="10">
        <v>33977</v>
      </c>
      <c r="D974" s="6" t="str">
        <f t="shared" si="15"/>
        <v>Gwangju</v>
      </c>
      <c r="E974" s="9" t="s">
        <v>2007</v>
      </c>
      <c r="F974" s="9" t="s">
        <v>2050</v>
      </c>
    </row>
    <row r="975" spans="2:6">
      <c r="B975" s="8">
        <v>973</v>
      </c>
      <c r="C975" s="10">
        <v>34014</v>
      </c>
      <c r="D975" s="6" t="str">
        <f t="shared" si="15"/>
        <v>Gwangju</v>
      </c>
      <c r="E975" s="9" t="s">
        <v>2007</v>
      </c>
      <c r="F975" s="9" t="s">
        <v>2051</v>
      </c>
    </row>
    <row r="976" spans="2:6">
      <c r="B976" s="8">
        <v>974</v>
      </c>
      <c r="C976" s="10">
        <v>33996</v>
      </c>
      <c r="D976" s="6" t="str">
        <f t="shared" si="15"/>
        <v>Gwangju</v>
      </c>
      <c r="E976" s="9" t="s">
        <v>2007</v>
      </c>
      <c r="F976" s="9" t="s">
        <v>2052</v>
      </c>
    </row>
    <row r="977" spans="2:6">
      <c r="B977" s="8">
        <v>975</v>
      </c>
      <c r="C977" s="10">
        <v>33972</v>
      </c>
      <c r="D977" s="6" t="str">
        <f t="shared" si="15"/>
        <v>Gwangju</v>
      </c>
      <c r="E977" s="9" t="s">
        <v>2007</v>
      </c>
      <c r="F977" s="9" t="s">
        <v>2053</v>
      </c>
    </row>
    <row r="978" spans="2:6">
      <c r="B978" s="8">
        <v>976</v>
      </c>
      <c r="C978" s="10">
        <v>34436</v>
      </c>
      <c r="D978" s="6" t="str">
        <f t="shared" si="15"/>
        <v>Gwangju</v>
      </c>
      <c r="E978" s="9" t="s">
        <v>2007</v>
      </c>
      <c r="F978" s="9" t="s">
        <v>2054</v>
      </c>
    </row>
    <row r="979" spans="2:6">
      <c r="B979" s="8">
        <v>977</v>
      </c>
      <c r="C979" s="10">
        <v>33988</v>
      </c>
      <c r="D979" s="6" t="str">
        <f t="shared" si="15"/>
        <v>Gwangju</v>
      </c>
      <c r="E979" s="9" t="s">
        <v>2007</v>
      </c>
      <c r="F979" s="9" t="s">
        <v>2055</v>
      </c>
    </row>
    <row r="980" spans="2:6">
      <c r="B980" s="8">
        <v>978</v>
      </c>
      <c r="C980" s="10">
        <v>33995</v>
      </c>
      <c r="D980" s="6" t="str">
        <f t="shared" si="15"/>
        <v>Gwangju</v>
      </c>
      <c r="E980" s="9" t="s">
        <v>2007</v>
      </c>
      <c r="F980" s="9" t="s">
        <v>2056</v>
      </c>
    </row>
    <row r="981" spans="2:6">
      <c r="B981" s="8">
        <v>979</v>
      </c>
      <c r="C981" s="10">
        <v>33994</v>
      </c>
      <c r="D981" s="6" t="str">
        <f t="shared" si="15"/>
        <v>Gwangju</v>
      </c>
      <c r="E981" s="9" t="s">
        <v>2007</v>
      </c>
      <c r="F981" s="9" t="s">
        <v>2057</v>
      </c>
    </row>
    <row r="982" spans="2:6">
      <c r="B982" s="8">
        <v>980</v>
      </c>
      <c r="C982" s="10">
        <v>34007</v>
      </c>
      <c r="D982" s="6" t="str">
        <f t="shared" si="15"/>
        <v>Gwangju</v>
      </c>
      <c r="E982" s="9" t="s">
        <v>2007</v>
      </c>
      <c r="F982" s="9" t="s">
        <v>2058</v>
      </c>
    </row>
    <row r="983" spans="2:6">
      <c r="B983" s="8">
        <v>981</v>
      </c>
      <c r="C983" s="10">
        <v>33973</v>
      </c>
      <c r="D983" s="6" t="str">
        <f t="shared" si="15"/>
        <v>Gwangju</v>
      </c>
      <c r="E983" s="9" t="s">
        <v>2007</v>
      </c>
      <c r="F983" s="9" t="s">
        <v>2059</v>
      </c>
    </row>
    <row r="984" spans="2:6">
      <c r="B984" s="8">
        <v>982</v>
      </c>
      <c r="C984" s="10">
        <v>33974</v>
      </c>
      <c r="D984" s="6" t="str">
        <f t="shared" si="15"/>
        <v>Gwangju</v>
      </c>
      <c r="E984" s="9" t="s">
        <v>2007</v>
      </c>
      <c r="F984" s="9" t="s">
        <v>2060</v>
      </c>
    </row>
    <row r="985" spans="2:6">
      <c r="B985" s="8">
        <v>983</v>
      </c>
      <c r="C985" s="10">
        <v>33997</v>
      </c>
      <c r="D985" s="6" t="str">
        <f t="shared" si="15"/>
        <v>Gwangju</v>
      </c>
      <c r="E985" s="9" t="s">
        <v>2007</v>
      </c>
      <c r="F985" s="9" t="s">
        <v>2061</v>
      </c>
    </row>
    <row r="986" spans="2:6">
      <c r="B986" s="8">
        <v>984</v>
      </c>
      <c r="C986" s="10">
        <v>33976</v>
      </c>
      <c r="D986" s="6" t="str">
        <f t="shared" si="15"/>
        <v>Gwangju</v>
      </c>
      <c r="E986" s="9" t="s">
        <v>2007</v>
      </c>
      <c r="F986" s="9" t="s">
        <v>2062</v>
      </c>
    </row>
    <row r="987" spans="2:6">
      <c r="B987" s="8">
        <v>985</v>
      </c>
      <c r="C987" s="10">
        <v>33983</v>
      </c>
      <c r="D987" s="6" t="str">
        <f t="shared" si="15"/>
        <v>Gwangju</v>
      </c>
      <c r="E987" s="9" t="s">
        <v>2007</v>
      </c>
      <c r="F987" s="9" t="s">
        <v>2063</v>
      </c>
    </row>
    <row r="988" spans="2:6">
      <c r="B988" s="8">
        <v>986</v>
      </c>
      <c r="C988" s="10">
        <v>33971</v>
      </c>
      <c r="D988" s="6" t="str">
        <f t="shared" si="15"/>
        <v>Gwangju</v>
      </c>
      <c r="E988" s="9" t="s">
        <v>2007</v>
      </c>
      <c r="F988" s="9" t="s">
        <v>2064</v>
      </c>
    </row>
    <row r="989" spans="2:6">
      <c r="B989" s="8">
        <v>987</v>
      </c>
      <c r="C989" s="10">
        <v>34023</v>
      </c>
      <c r="D989" s="6" t="str">
        <f t="shared" si="15"/>
        <v>Gwangju</v>
      </c>
      <c r="E989" s="9" t="s">
        <v>2007</v>
      </c>
      <c r="F989" s="9" t="s">
        <v>2065</v>
      </c>
    </row>
    <row r="990" spans="2:6">
      <c r="B990" s="8">
        <v>988</v>
      </c>
      <c r="C990" s="10">
        <v>33998</v>
      </c>
      <c r="D990" s="6" t="str">
        <f t="shared" si="15"/>
        <v>Gwangju</v>
      </c>
      <c r="E990" s="9" t="s">
        <v>2007</v>
      </c>
      <c r="F990" s="9" t="s">
        <v>2066</v>
      </c>
    </row>
    <row r="991" spans="2:6">
      <c r="B991" s="8">
        <v>989</v>
      </c>
      <c r="C991" s="10">
        <v>33982</v>
      </c>
      <c r="D991" s="6" t="str">
        <f t="shared" si="15"/>
        <v>Gwangju</v>
      </c>
      <c r="E991" s="9" t="s">
        <v>2007</v>
      </c>
      <c r="F991" s="9" t="s">
        <v>2067</v>
      </c>
    </row>
    <row r="992" spans="2:6">
      <c r="B992" s="8">
        <v>990</v>
      </c>
      <c r="C992" s="10">
        <v>33970</v>
      </c>
      <c r="D992" s="6" t="str">
        <f t="shared" si="15"/>
        <v>Gwangju</v>
      </c>
      <c r="E992" s="9" t="s">
        <v>2007</v>
      </c>
      <c r="F992" s="9" t="s">
        <v>2068</v>
      </c>
    </row>
    <row r="993" spans="2:6">
      <c r="B993" s="8">
        <v>991</v>
      </c>
      <c r="C993" s="10">
        <v>33990</v>
      </c>
      <c r="D993" s="6" t="str">
        <f t="shared" si="15"/>
        <v>Gwangju</v>
      </c>
      <c r="E993" s="9" t="s">
        <v>2007</v>
      </c>
      <c r="F993" s="9" t="s">
        <v>2069</v>
      </c>
    </row>
    <row r="994" spans="2:6">
      <c r="B994" s="8">
        <v>992</v>
      </c>
      <c r="C994" s="10">
        <v>34022</v>
      </c>
      <c r="D994" s="6" t="str">
        <f t="shared" si="15"/>
        <v>Gwangju</v>
      </c>
      <c r="E994" s="9" t="s">
        <v>2007</v>
      </c>
      <c r="F994" s="9" t="s">
        <v>2070</v>
      </c>
    </row>
    <row r="995" spans="2:6">
      <c r="B995" s="8">
        <v>993</v>
      </c>
      <c r="C995" s="10">
        <v>34021</v>
      </c>
      <c r="D995" s="6" t="str">
        <f t="shared" si="15"/>
        <v>Gwangju</v>
      </c>
      <c r="E995" s="9" t="s">
        <v>2007</v>
      </c>
      <c r="F995" s="9" t="s">
        <v>2071</v>
      </c>
    </row>
    <row r="996" spans="2:6">
      <c r="B996" s="8">
        <v>994</v>
      </c>
      <c r="C996" s="10">
        <v>33999</v>
      </c>
      <c r="D996" s="6" t="str">
        <f t="shared" si="15"/>
        <v>Gwangju</v>
      </c>
      <c r="E996" s="9" t="s">
        <v>2007</v>
      </c>
      <c r="F996" s="9" t="s">
        <v>2072</v>
      </c>
    </row>
    <row r="997" spans="2:6">
      <c r="B997" s="8">
        <v>995</v>
      </c>
      <c r="C997" s="10">
        <v>33981</v>
      </c>
      <c r="D997" s="6" t="str">
        <f t="shared" si="15"/>
        <v>Gwangju</v>
      </c>
      <c r="E997" s="9" t="s">
        <v>2007</v>
      </c>
      <c r="F997" s="9" t="s">
        <v>2073</v>
      </c>
    </row>
    <row r="998" spans="2:6">
      <c r="B998" s="8">
        <v>996</v>
      </c>
      <c r="C998" s="10">
        <v>33980</v>
      </c>
      <c r="D998" s="6" t="str">
        <f t="shared" si="15"/>
        <v>Gwangju</v>
      </c>
      <c r="E998" s="9" t="s">
        <v>2007</v>
      </c>
      <c r="F998" s="9" t="s">
        <v>2074</v>
      </c>
    </row>
    <row r="999" spans="2:6">
      <c r="B999" s="8">
        <v>997</v>
      </c>
      <c r="C999" s="10">
        <v>33992</v>
      </c>
      <c r="D999" s="6" t="str">
        <f t="shared" si="15"/>
        <v>Gwangju</v>
      </c>
      <c r="E999" s="9" t="s">
        <v>2007</v>
      </c>
      <c r="F999" s="9" t="s">
        <v>2075</v>
      </c>
    </row>
    <row r="1000" spans="2:6">
      <c r="B1000" s="8">
        <v>998</v>
      </c>
      <c r="C1000" s="10">
        <v>34004</v>
      </c>
      <c r="D1000" s="6" t="str">
        <f t="shared" si="15"/>
        <v>Gwangju</v>
      </c>
      <c r="E1000" s="9" t="s">
        <v>2007</v>
      </c>
      <c r="F1000" s="9" t="s">
        <v>2076</v>
      </c>
    </row>
    <row r="1001" spans="2:6">
      <c r="B1001" s="8">
        <v>999</v>
      </c>
      <c r="C1001" s="10">
        <v>34002</v>
      </c>
      <c r="D1001" s="6" t="str">
        <f t="shared" si="15"/>
        <v>Gwangju</v>
      </c>
      <c r="E1001" s="9" t="s">
        <v>2007</v>
      </c>
      <c r="F1001" s="9" t="s">
        <v>2077</v>
      </c>
    </row>
    <row r="1002" spans="2:6">
      <c r="B1002" s="8">
        <v>1000</v>
      </c>
      <c r="C1002" s="10">
        <v>34005</v>
      </c>
      <c r="D1002" s="6" t="str">
        <f t="shared" si="15"/>
        <v>Gwangju</v>
      </c>
      <c r="E1002" s="9" t="s">
        <v>2007</v>
      </c>
      <c r="F1002" s="9" t="s">
        <v>2078</v>
      </c>
    </row>
    <row r="1003" spans="2:6">
      <c r="B1003" s="8">
        <v>1001</v>
      </c>
      <c r="C1003" s="10">
        <v>34008</v>
      </c>
      <c r="D1003" s="6" t="str">
        <f t="shared" si="15"/>
        <v>Gwangju</v>
      </c>
      <c r="E1003" s="9" t="s">
        <v>2007</v>
      </c>
      <c r="F1003" s="9" t="s">
        <v>2079</v>
      </c>
    </row>
    <row r="1004" spans="2:6">
      <c r="B1004" s="8">
        <v>1002</v>
      </c>
      <c r="C1004" s="10">
        <v>33978</v>
      </c>
      <c r="D1004" s="6" t="str">
        <f t="shared" si="15"/>
        <v>Gwangju</v>
      </c>
      <c r="E1004" s="9" t="s">
        <v>2007</v>
      </c>
      <c r="F1004" s="9" t="s">
        <v>2080</v>
      </c>
    </row>
    <row r="1005" spans="2:6">
      <c r="B1005" s="8">
        <v>1003</v>
      </c>
      <c r="C1005" s="10">
        <v>33984</v>
      </c>
      <c r="D1005" s="6" t="str">
        <f t="shared" si="15"/>
        <v>Gwangju</v>
      </c>
      <c r="E1005" s="9" t="s">
        <v>2007</v>
      </c>
      <c r="F1005" s="9" t="s">
        <v>2081</v>
      </c>
    </row>
    <row r="1006" spans="2:6">
      <c r="B1006" s="8">
        <v>1004</v>
      </c>
      <c r="C1006" s="10">
        <v>34011</v>
      </c>
      <c r="D1006" s="6" t="str">
        <f t="shared" si="15"/>
        <v>Gwangju</v>
      </c>
      <c r="E1006" s="9" t="s">
        <v>2007</v>
      </c>
      <c r="F1006" s="9" t="s">
        <v>2082</v>
      </c>
    </row>
    <row r="1007" spans="2:6">
      <c r="B1007" s="8">
        <v>1005</v>
      </c>
      <c r="C1007" s="10">
        <v>35083</v>
      </c>
      <c r="D1007" s="6" t="str">
        <f t="shared" si="15"/>
        <v>Gwangju</v>
      </c>
      <c r="E1007" s="9" t="s">
        <v>2007</v>
      </c>
      <c r="F1007" s="9" t="s">
        <v>2083</v>
      </c>
    </row>
    <row r="1008" spans="2:6">
      <c r="B1008" s="8">
        <v>1006</v>
      </c>
      <c r="C1008" s="10">
        <v>34020</v>
      </c>
      <c r="D1008" s="6" t="str">
        <f t="shared" si="15"/>
        <v>Gwangju</v>
      </c>
      <c r="E1008" s="9" t="s">
        <v>2007</v>
      </c>
      <c r="F1008" s="9" t="s">
        <v>2084</v>
      </c>
    </row>
    <row r="1009" spans="2:6">
      <c r="B1009" s="8">
        <v>1007</v>
      </c>
      <c r="C1009" s="10">
        <v>34012</v>
      </c>
      <c r="D1009" s="6" t="str">
        <f t="shared" si="15"/>
        <v>Gwangju</v>
      </c>
      <c r="E1009" s="9" t="s">
        <v>2007</v>
      </c>
      <c r="F1009" s="9" t="s">
        <v>2085</v>
      </c>
    </row>
    <row r="1010" spans="2:6">
      <c r="B1010" s="8">
        <v>1008</v>
      </c>
      <c r="C1010" s="10">
        <v>33979</v>
      </c>
      <c r="D1010" s="6" t="str">
        <f t="shared" si="15"/>
        <v>Gwangju</v>
      </c>
      <c r="E1010" s="9" t="s">
        <v>2007</v>
      </c>
      <c r="F1010" s="9" t="s">
        <v>2086</v>
      </c>
    </row>
    <row r="1011" spans="2:6">
      <c r="B1011" s="8">
        <v>1009</v>
      </c>
      <c r="C1011" s="10">
        <v>34006</v>
      </c>
      <c r="D1011" s="6" t="str">
        <f t="shared" si="15"/>
        <v>Gwangju</v>
      </c>
      <c r="E1011" s="9" t="s">
        <v>2007</v>
      </c>
      <c r="F1011" s="9" t="s">
        <v>2087</v>
      </c>
    </row>
    <row r="1012" spans="2:6">
      <c r="B1012" s="8">
        <v>1010</v>
      </c>
      <c r="C1012" s="10">
        <v>34016</v>
      </c>
      <c r="D1012" s="6" t="str">
        <f t="shared" si="15"/>
        <v>Gwangju</v>
      </c>
      <c r="E1012" s="9" t="s">
        <v>2007</v>
      </c>
      <c r="F1012" s="9" t="s">
        <v>2088</v>
      </c>
    </row>
    <row r="1013" spans="2:6">
      <c r="B1013" s="8">
        <v>1011</v>
      </c>
      <c r="C1013" s="10">
        <v>34017</v>
      </c>
      <c r="D1013" s="6" t="str">
        <f t="shared" si="15"/>
        <v>Gwangju</v>
      </c>
      <c r="E1013" s="9" t="s">
        <v>2007</v>
      </c>
      <c r="F1013" s="9" t="s">
        <v>2089</v>
      </c>
    </row>
    <row r="1014" spans="2:6">
      <c r="B1014" s="8">
        <v>1012</v>
      </c>
      <c r="C1014" s="10">
        <v>34001</v>
      </c>
      <c r="D1014" s="6" t="str">
        <f t="shared" si="15"/>
        <v>Gwangju</v>
      </c>
      <c r="E1014" s="9" t="s">
        <v>2007</v>
      </c>
      <c r="F1014" s="9" t="s">
        <v>2090</v>
      </c>
    </row>
    <row r="1015" spans="2:6">
      <c r="B1015" s="8">
        <v>1013</v>
      </c>
      <c r="C1015" s="10">
        <v>34010</v>
      </c>
      <c r="D1015" s="6" t="str">
        <f t="shared" si="15"/>
        <v>Gwangju</v>
      </c>
      <c r="E1015" s="9" t="s">
        <v>2007</v>
      </c>
      <c r="F1015" s="9" t="s">
        <v>2091</v>
      </c>
    </row>
    <row r="1016" spans="2:6">
      <c r="B1016" s="8">
        <v>1014</v>
      </c>
      <c r="C1016" s="10">
        <v>34003</v>
      </c>
      <c r="D1016" s="6" t="str">
        <f t="shared" si="15"/>
        <v>Gwangju</v>
      </c>
      <c r="E1016" s="9" t="s">
        <v>2007</v>
      </c>
      <c r="F1016" s="9" t="s">
        <v>2092</v>
      </c>
    </row>
    <row r="1017" spans="2:6">
      <c r="B1017" s="8">
        <v>1015</v>
      </c>
      <c r="C1017" s="10">
        <v>34015</v>
      </c>
      <c r="D1017" s="6" t="str">
        <f t="shared" si="15"/>
        <v>Gwangju</v>
      </c>
      <c r="E1017" s="9" t="s">
        <v>2007</v>
      </c>
      <c r="F1017" s="9" t="s">
        <v>2093</v>
      </c>
    </row>
    <row r="1018" spans="2:6">
      <c r="B1018" s="8">
        <v>1016</v>
      </c>
      <c r="C1018" s="10">
        <v>34019</v>
      </c>
      <c r="D1018" s="6" t="str">
        <f t="shared" si="15"/>
        <v>Gwangju</v>
      </c>
      <c r="E1018" s="9" t="s">
        <v>2007</v>
      </c>
      <c r="F1018" s="9" t="s">
        <v>2094</v>
      </c>
    </row>
    <row r="1019" spans="2:6">
      <c r="B1019" s="8">
        <v>1017</v>
      </c>
      <c r="C1019" s="10">
        <v>34643</v>
      </c>
      <c r="D1019" s="6" t="str">
        <f t="shared" si="15"/>
        <v>Gwangju</v>
      </c>
      <c r="E1019" s="9" t="s">
        <v>2007</v>
      </c>
      <c r="F1019" s="9" t="s">
        <v>2095</v>
      </c>
    </row>
    <row r="1020" spans="2:6">
      <c r="B1020" s="8">
        <v>1018</v>
      </c>
      <c r="C1020" s="10">
        <v>35288</v>
      </c>
      <c r="D1020" s="6" t="str">
        <f t="shared" si="15"/>
        <v>Gwangju</v>
      </c>
      <c r="E1020" s="9" t="s">
        <v>2007</v>
      </c>
      <c r="F1020" s="9" t="s">
        <v>2096</v>
      </c>
    </row>
    <row r="1021" spans="2:6">
      <c r="B1021" s="8">
        <v>1019</v>
      </c>
      <c r="C1021" s="10">
        <v>36572</v>
      </c>
      <c r="D1021" s="6" t="str">
        <f t="shared" si="15"/>
        <v>Gwangju</v>
      </c>
      <c r="E1021" s="9" t="s">
        <v>2007</v>
      </c>
      <c r="F1021" s="9" t="s">
        <v>2097</v>
      </c>
    </row>
    <row r="1022" spans="2:6">
      <c r="B1022" s="8">
        <v>1020</v>
      </c>
      <c r="C1022" s="10">
        <v>36667</v>
      </c>
      <c r="D1022" s="6" t="str">
        <f t="shared" si="15"/>
        <v>Gwangju</v>
      </c>
      <c r="E1022" s="9" t="s">
        <v>2007</v>
      </c>
      <c r="F1022" s="9" t="s">
        <v>2098</v>
      </c>
    </row>
    <row r="1023" spans="2:6">
      <c r="B1023" s="8">
        <v>1021</v>
      </c>
      <c r="C1023" s="10">
        <v>37236</v>
      </c>
      <c r="D1023" s="6" t="str">
        <f t="shared" si="15"/>
        <v>Gwangju</v>
      </c>
      <c r="E1023" s="9" t="s">
        <v>2007</v>
      </c>
      <c r="F1023" s="9" t="s">
        <v>2099</v>
      </c>
    </row>
    <row r="1024" spans="2:6">
      <c r="B1024" s="8">
        <v>1022</v>
      </c>
      <c r="C1024" s="10">
        <v>37303</v>
      </c>
      <c r="D1024" s="6" t="str">
        <f t="shared" si="15"/>
        <v>Gwangju</v>
      </c>
      <c r="E1024" s="9" t="s">
        <v>2007</v>
      </c>
      <c r="F1024" s="9" t="s">
        <v>2100</v>
      </c>
    </row>
    <row r="1025" spans="2:6">
      <c r="B1025" s="8">
        <v>1023</v>
      </c>
      <c r="C1025" s="10">
        <v>37617</v>
      </c>
      <c r="D1025" s="6" t="str">
        <f t="shared" si="15"/>
        <v>Gwangju</v>
      </c>
      <c r="E1025" s="9" t="s">
        <v>2007</v>
      </c>
      <c r="F1025" s="9" t="s">
        <v>2101</v>
      </c>
    </row>
    <row r="1026" spans="2:6">
      <c r="B1026" s="8">
        <v>1024</v>
      </c>
      <c r="C1026" s="10">
        <v>37295</v>
      </c>
      <c r="D1026" s="6" t="str">
        <f t="shared" si="15"/>
        <v>Gwangju</v>
      </c>
      <c r="E1026" s="9" t="s">
        <v>2007</v>
      </c>
      <c r="F1026" s="9" t="s">
        <v>2102</v>
      </c>
    </row>
    <row r="1027" spans="2:6">
      <c r="B1027" s="8">
        <v>1025</v>
      </c>
      <c r="C1027" s="10">
        <v>35043</v>
      </c>
      <c r="D1027" s="6" t="str">
        <f t="shared" si="15"/>
        <v>Gwangju</v>
      </c>
      <c r="E1027" s="9" t="s">
        <v>2007</v>
      </c>
      <c r="F1027" s="9" t="s">
        <v>2103</v>
      </c>
    </row>
    <row r="1028" spans="2:6">
      <c r="B1028" s="8">
        <v>1026</v>
      </c>
      <c r="C1028" s="10">
        <v>81454</v>
      </c>
      <c r="D1028" s="6" t="str">
        <f t="shared" ref="D1028:D1091" si="16">IFERROR(VLOOKUP(E1028,$H$3:$J$16,2,0),"")</f>
        <v>Gwangju</v>
      </c>
      <c r="E1028" s="9" t="s">
        <v>2007</v>
      </c>
      <c r="F1028" s="9" t="s">
        <v>2104</v>
      </c>
    </row>
    <row r="1029" spans="2:6">
      <c r="B1029" s="8">
        <v>1027</v>
      </c>
      <c r="C1029" s="10">
        <v>81584</v>
      </c>
      <c r="D1029" s="6" t="str">
        <f t="shared" si="16"/>
        <v>Gwangju</v>
      </c>
      <c r="E1029" s="9" t="s">
        <v>2007</v>
      </c>
      <c r="F1029" s="9" t="s">
        <v>1846</v>
      </c>
    </row>
    <row r="1030" spans="2:6">
      <c r="B1030" s="8">
        <v>1028</v>
      </c>
      <c r="C1030" s="10">
        <v>34957</v>
      </c>
      <c r="D1030" s="6" t="str">
        <f t="shared" si="16"/>
        <v>Gwangju</v>
      </c>
      <c r="E1030" s="9" t="s">
        <v>2007</v>
      </c>
      <c r="F1030" s="9" t="s">
        <v>2105</v>
      </c>
    </row>
    <row r="1031" spans="2:6">
      <c r="B1031" s="8">
        <v>1029</v>
      </c>
      <c r="C1031" s="10">
        <v>33917</v>
      </c>
      <c r="D1031" s="6" t="str">
        <f t="shared" si="16"/>
        <v>Gwangju</v>
      </c>
      <c r="E1031" s="9" t="s">
        <v>2007</v>
      </c>
      <c r="F1031" s="9" t="s">
        <v>2106</v>
      </c>
    </row>
    <row r="1032" spans="2:6">
      <c r="B1032" s="8">
        <v>1030</v>
      </c>
      <c r="C1032" s="10">
        <v>33930</v>
      </c>
      <c r="D1032" s="6" t="str">
        <f t="shared" si="16"/>
        <v>Gwangju</v>
      </c>
      <c r="E1032" s="9" t="s">
        <v>2007</v>
      </c>
      <c r="F1032" s="9" t="s">
        <v>2107</v>
      </c>
    </row>
    <row r="1033" spans="2:6">
      <c r="B1033" s="8">
        <v>1031</v>
      </c>
      <c r="C1033" s="10">
        <v>33892</v>
      </c>
      <c r="D1033" s="6" t="str">
        <f t="shared" si="16"/>
        <v>Gwangju</v>
      </c>
      <c r="E1033" s="9" t="s">
        <v>2007</v>
      </c>
      <c r="F1033" s="9" t="s">
        <v>2108</v>
      </c>
    </row>
    <row r="1034" spans="2:6">
      <c r="B1034" s="8">
        <v>1032</v>
      </c>
      <c r="C1034" s="10">
        <v>33935</v>
      </c>
      <c r="D1034" s="6" t="str">
        <f t="shared" si="16"/>
        <v>Gwangju</v>
      </c>
      <c r="E1034" s="9" t="s">
        <v>2007</v>
      </c>
      <c r="F1034" s="9" t="s">
        <v>2109</v>
      </c>
    </row>
    <row r="1035" spans="2:6">
      <c r="B1035" s="8">
        <v>1033</v>
      </c>
      <c r="C1035" s="10">
        <v>33893</v>
      </c>
      <c r="D1035" s="6" t="str">
        <f t="shared" si="16"/>
        <v>Gwangju</v>
      </c>
      <c r="E1035" s="9" t="s">
        <v>2007</v>
      </c>
      <c r="F1035" s="9" t="s">
        <v>2110</v>
      </c>
    </row>
    <row r="1036" spans="2:6">
      <c r="B1036" s="8">
        <v>1034</v>
      </c>
      <c r="C1036" s="10">
        <v>33882</v>
      </c>
      <c r="D1036" s="6" t="str">
        <f t="shared" si="16"/>
        <v>Gwangju</v>
      </c>
      <c r="E1036" s="9" t="s">
        <v>2007</v>
      </c>
      <c r="F1036" s="9" t="s">
        <v>2111</v>
      </c>
    </row>
    <row r="1037" spans="2:6">
      <c r="B1037" s="8">
        <v>1035</v>
      </c>
      <c r="C1037" s="10">
        <v>33874</v>
      </c>
      <c r="D1037" s="6" t="str">
        <f t="shared" si="16"/>
        <v>Gwangju</v>
      </c>
      <c r="E1037" s="9" t="s">
        <v>2007</v>
      </c>
      <c r="F1037" s="9" t="s">
        <v>2112</v>
      </c>
    </row>
    <row r="1038" spans="2:6">
      <c r="B1038" s="8">
        <v>1036</v>
      </c>
      <c r="C1038" s="10">
        <v>33895</v>
      </c>
      <c r="D1038" s="6" t="str">
        <f t="shared" si="16"/>
        <v>Gwangju</v>
      </c>
      <c r="E1038" s="9" t="s">
        <v>2007</v>
      </c>
      <c r="F1038" s="9" t="s">
        <v>2113</v>
      </c>
    </row>
    <row r="1039" spans="2:6">
      <c r="B1039" s="8">
        <v>1037</v>
      </c>
      <c r="C1039" s="10">
        <v>33900</v>
      </c>
      <c r="D1039" s="6" t="str">
        <f t="shared" si="16"/>
        <v>Gwangju</v>
      </c>
      <c r="E1039" s="9" t="s">
        <v>2007</v>
      </c>
      <c r="F1039" s="9" t="s">
        <v>2114</v>
      </c>
    </row>
    <row r="1040" spans="2:6">
      <c r="B1040" s="8">
        <v>1038</v>
      </c>
      <c r="C1040" s="10">
        <v>33883</v>
      </c>
      <c r="D1040" s="6" t="str">
        <f t="shared" si="16"/>
        <v>Gwangju</v>
      </c>
      <c r="E1040" s="9" t="s">
        <v>2007</v>
      </c>
      <c r="F1040" s="9" t="s">
        <v>2115</v>
      </c>
    </row>
    <row r="1041" spans="2:6">
      <c r="B1041" s="8">
        <v>1039</v>
      </c>
      <c r="C1041" s="10">
        <v>33889</v>
      </c>
      <c r="D1041" s="6" t="str">
        <f t="shared" si="16"/>
        <v>Gwangju</v>
      </c>
      <c r="E1041" s="9" t="s">
        <v>2007</v>
      </c>
      <c r="F1041" s="9" t="s">
        <v>2116</v>
      </c>
    </row>
    <row r="1042" spans="2:6">
      <c r="B1042" s="8">
        <v>1040</v>
      </c>
      <c r="C1042" s="10">
        <v>33898</v>
      </c>
      <c r="D1042" s="6" t="str">
        <f t="shared" si="16"/>
        <v>Gwangju</v>
      </c>
      <c r="E1042" s="9" t="s">
        <v>2007</v>
      </c>
      <c r="F1042" s="9" t="s">
        <v>2117</v>
      </c>
    </row>
    <row r="1043" spans="2:6">
      <c r="B1043" s="8">
        <v>1041</v>
      </c>
      <c r="C1043" s="10">
        <v>33923</v>
      </c>
      <c r="D1043" s="6" t="str">
        <f t="shared" si="16"/>
        <v>Gwangju</v>
      </c>
      <c r="E1043" s="9" t="s">
        <v>2007</v>
      </c>
      <c r="F1043" s="9" t="s">
        <v>2118</v>
      </c>
    </row>
    <row r="1044" spans="2:6">
      <c r="B1044" s="8">
        <v>1042</v>
      </c>
      <c r="C1044" s="10">
        <v>33899</v>
      </c>
      <c r="D1044" s="6" t="str">
        <f t="shared" si="16"/>
        <v>Gwangju</v>
      </c>
      <c r="E1044" s="9" t="s">
        <v>2007</v>
      </c>
      <c r="F1044" s="9" t="s">
        <v>2119</v>
      </c>
    </row>
    <row r="1045" spans="2:6">
      <c r="B1045" s="8">
        <v>1043</v>
      </c>
      <c r="C1045" s="10">
        <v>33942</v>
      </c>
      <c r="D1045" s="6" t="str">
        <f t="shared" si="16"/>
        <v>Gwangju</v>
      </c>
      <c r="E1045" s="9" t="s">
        <v>2007</v>
      </c>
      <c r="F1045" s="9" t="s">
        <v>2120</v>
      </c>
    </row>
    <row r="1046" spans="2:6">
      <c r="B1046" s="8">
        <v>1044</v>
      </c>
      <c r="C1046" s="10">
        <v>33894</v>
      </c>
      <c r="D1046" s="6" t="str">
        <f t="shared" si="16"/>
        <v>Gwangju</v>
      </c>
      <c r="E1046" s="9" t="s">
        <v>2007</v>
      </c>
      <c r="F1046" s="9" t="s">
        <v>2121</v>
      </c>
    </row>
    <row r="1047" spans="2:6">
      <c r="B1047" s="8">
        <v>1045</v>
      </c>
      <c r="C1047" s="10">
        <v>33885</v>
      </c>
      <c r="D1047" s="6" t="str">
        <f t="shared" si="16"/>
        <v>Gwangju</v>
      </c>
      <c r="E1047" s="9" t="s">
        <v>2007</v>
      </c>
      <c r="F1047" s="9" t="s">
        <v>2122</v>
      </c>
    </row>
    <row r="1048" spans="2:6">
      <c r="B1048" s="8">
        <v>1046</v>
      </c>
      <c r="C1048" s="10">
        <v>33926</v>
      </c>
      <c r="D1048" s="6" t="str">
        <f t="shared" si="16"/>
        <v>Gwangju</v>
      </c>
      <c r="E1048" s="9" t="s">
        <v>2007</v>
      </c>
      <c r="F1048" s="9" t="s">
        <v>2123</v>
      </c>
    </row>
    <row r="1049" spans="2:6">
      <c r="B1049" s="8">
        <v>1047</v>
      </c>
      <c r="C1049" s="10">
        <v>33939</v>
      </c>
      <c r="D1049" s="6" t="str">
        <f t="shared" si="16"/>
        <v>Gwangju</v>
      </c>
      <c r="E1049" s="9" t="s">
        <v>2007</v>
      </c>
      <c r="F1049" s="9" t="s">
        <v>2124</v>
      </c>
    </row>
    <row r="1050" spans="2:6">
      <c r="B1050" s="8">
        <v>1048</v>
      </c>
      <c r="C1050" s="10">
        <v>33877</v>
      </c>
      <c r="D1050" s="6" t="str">
        <f t="shared" si="16"/>
        <v>Gwangju</v>
      </c>
      <c r="E1050" s="9" t="s">
        <v>2007</v>
      </c>
      <c r="F1050" s="9" t="s">
        <v>2125</v>
      </c>
    </row>
    <row r="1051" spans="2:6">
      <c r="B1051" s="8">
        <v>1049</v>
      </c>
      <c r="C1051" s="10">
        <v>33876</v>
      </c>
      <c r="D1051" s="6" t="str">
        <f t="shared" si="16"/>
        <v>Gwangju</v>
      </c>
      <c r="E1051" s="9" t="s">
        <v>2007</v>
      </c>
      <c r="F1051" s="9" t="s">
        <v>2126</v>
      </c>
    </row>
    <row r="1052" spans="2:6">
      <c r="B1052" s="8">
        <v>1050</v>
      </c>
      <c r="C1052" s="10">
        <v>33919</v>
      </c>
      <c r="D1052" s="6" t="str">
        <f t="shared" si="16"/>
        <v>Gwangju</v>
      </c>
      <c r="E1052" s="9" t="s">
        <v>2007</v>
      </c>
      <c r="F1052" s="9" t="s">
        <v>2127</v>
      </c>
    </row>
    <row r="1053" spans="2:6">
      <c r="B1053" s="8">
        <v>1051</v>
      </c>
      <c r="C1053" s="10">
        <v>33890</v>
      </c>
      <c r="D1053" s="6" t="str">
        <f t="shared" si="16"/>
        <v>Gwangju</v>
      </c>
      <c r="E1053" s="9" t="s">
        <v>2007</v>
      </c>
      <c r="F1053" s="9" t="s">
        <v>2128</v>
      </c>
    </row>
    <row r="1054" spans="2:6">
      <c r="B1054" s="8">
        <v>1052</v>
      </c>
      <c r="C1054" s="10">
        <v>33891</v>
      </c>
      <c r="D1054" s="6" t="str">
        <f t="shared" si="16"/>
        <v>Gwangju</v>
      </c>
      <c r="E1054" s="9" t="s">
        <v>2007</v>
      </c>
      <c r="F1054" s="9" t="s">
        <v>2129</v>
      </c>
    </row>
    <row r="1055" spans="2:6">
      <c r="B1055" s="8">
        <v>1053</v>
      </c>
      <c r="C1055" s="10">
        <v>33896</v>
      </c>
      <c r="D1055" s="6" t="str">
        <f t="shared" si="16"/>
        <v>Gwangju</v>
      </c>
      <c r="E1055" s="9" t="s">
        <v>2007</v>
      </c>
      <c r="F1055" s="9" t="s">
        <v>2130</v>
      </c>
    </row>
    <row r="1056" spans="2:6">
      <c r="B1056" s="8">
        <v>1054</v>
      </c>
      <c r="C1056" s="10">
        <v>34855</v>
      </c>
      <c r="D1056" s="6" t="str">
        <f t="shared" si="16"/>
        <v>Gwangju</v>
      </c>
      <c r="E1056" s="9" t="s">
        <v>2007</v>
      </c>
      <c r="F1056" s="9" t="s">
        <v>2131</v>
      </c>
    </row>
    <row r="1057" spans="2:6">
      <c r="B1057" s="8">
        <v>1055</v>
      </c>
      <c r="C1057" s="10">
        <v>34435</v>
      </c>
      <c r="D1057" s="6" t="str">
        <f t="shared" si="16"/>
        <v>Gwangju</v>
      </c>
      <c r="E1057" s="9" t="s">
        <v>2007</v>
      </c>
      <c r="F1057" s="9" t="s">
        <v>2132</v>
      </c>
    </row>
    <row r="1058" spans="2:6">
      <c r="B1058" s="8">
        <v>1056</v>
      </c>
      <c r="C1058" s="10">
        <v>33938</v>
      </c>
      <c r="D1058" s="6" t="str">
        <f t="shared" si="16"/>
        <v>Gwangju</v>
      </c>
      <c r="E1058" s="9" t="s">
        <v>2007</v>
      </c>
      <c r="F1058" s="9" t="s">
        <v>2133</v>
      </c>
    </row>
    <row r="1059" spans="2:6">
      <c r="B1059" s="8">
        <v>1057</v>
      </c>
      <c r="C1059" s="10">
        <v>33897</v>
      </c>
      <c r="D1059" s="6" t="str">
        <f t="shared" si="16"/>
        <v>Gwangju</v>
      </c>
      <c r="E1059" s="9" t="s">
        <v>2007</v>
      </c>
      <c r="F1059" s="9" t="s">
        <v>2134</v>
      </c>
    </row>
    <row r="1060" spans="2:6">
      <c r="B1060" s="8">
        <v>1058</v>
      </c>
      <c r="C1060" s="10">
        <v>33908</v>
      </c>
      <c r="D1060" s="6" t="str">
        <f t="shared" si="16"/>
        <v>Gwangju</v>
      </c>
      <c r="E1060" s="9" t="s">
        <v>2007</v>
      </c>
      <c r="F1060" s="9" t="s">
        <v>2135</v>
      </c>
    </row>
    <row r="1061" spans="2:6">
      <c r="B1061" s="8">
        <v>1059</v>
      </c>
      <c r="C1061" s="10">
        <v>33906</v>
      </c>
      <c r="D1061" s="6" t="str">
        <f t="shared" si="16"/>
        <v>Gwangju</v>
      </c>
      <c r="E1061" s="9" t="s">
        <v>2007</v>
      </c>
      <c r="F1061" s="9" t="s">
        <v>2136</v>
      </c>
    </row>
    <row r="1062" spans="2:6">
      <c r="B1062" s="8">
        <v>1060</v>
      </c>
      <c r="C1062" s="10">
        <v>33918</v>
      </c>
      <c r="D1062" s="6" t="str">
        <f t="shared" si="16"/>
        <v>Gwangju</v>
      </c>
      <c r="E1062" s="9" t="s">
        <v>2007</v>
      </c>
      <c r="F1062" s="9" t="s">
        <v>2137</v>
      </c>
    </row>
    <row r="1063" spans="2:6">
      <c r="B1063" s="8">
        <v>1061</v>
      </c>
      <c r="C1063" s="10">
        <v>33875</v>
      </c>
      <c r="D1063" s="6" t="str">
        <f t="shared" si="16"/>
        <v>Gwangju</v>
      </c>
      <c r="E1063" s="9" t="s">
        <v>2007</v>
      </c>
      <c r="F1063" s="9" t="s">
        <v>2138</v>
      </c>
    </row>
    <row r="1064" spans="2:6">
      <c r="B1064" s="8">
        <v>1062</v>
      </c>
      <c r="C1064" s="10">
        <v>33920</v>
      </c>
      <c r="D1064" s="6" t="str">
        <f t="shared" si="16"/>
        <v>Gwangju</v>
      </c>
      <c r="E1064" s="9" t="s">
        <v>2007</v>
      </c>
      <c r="F1064" s="9" t="s">
        <v>2139</v>
      </c>
    </row>
    <row r="1065" spans="2:6">
      <c r="B1065" s="8">
        <v>1063</v>
      </c>
      <c r="C1065" s="10">
        <v>33910</v>
      </c>
      <c r="D1065" s="6" t="str">
        <f t="shared" si="16"/>
        <v>Gwangju</v>
      </c>
      <c r="E1065" s="9" t="s">
        <v>2007</v>
      </c>
      <c r="F1065" s="9" t="s">
        <v>2140</v>
      </c>
    </row>
    <row r="1066" spans="2:6">
      <c r="B1066" s="8">
        <v>1064</v>
      </c>
      <c r="C1066" s="10">
        <v>33929</v>
      </c>
      <c r="D1066" s="6" t="str">
        <f t="shared" si="16"/>
        <v>Gwangju</v>
      </c>
      <c r="E1066" s="9" t="s">
        <v>2007</v>
      </c>
      <c r="F1066" s="9" t="s">
        <v>2141</v>
      </c>
    </row>
    <row r="1067" spans="2:6">
      <c r="B1067" s="8">
        <v>1065</v>
      </c>
      <c r="C1067" s="10">
        <v>33921</v>
      </c>
      <c r="D1067" s="6" t="str">
        <f t="shared" si="16"/>
        <v>Gwangju</v>
      </c>
      <c r="E1067" s="9" t="s">
        <v>2007</v>
      </c>
      <c r="F1067" s="9" t="s">
        <v>2142</v>
      </c>
    </row>
    <row r="1068" spans="2:6">
      <c r="B1068" s="8">
        <v>1066</v>
      </c>
      <c r="C1068" s="10">
        <v>34434</v>
      </c>
      <c r="D1068" s="6" t="str">
        <f t="shared" si="16"/>
        <v>Gwangju</v>
      </c>
      <c r="E1068" s="9" t="s">
        <v>2007</v>
      </c>
      <c r="F1068" s="9" t="s">
        <v>2143</v>
      </c>
    </row>
    <row r="1069" spans="2:6">
      <c r="B1069" s="8">
        <v>1067</v>
      </c>
      <c r="C1069" s="10">
        <v>33907</v>
      </c>
      <c r="D1069" s="6" t="str">
        <f t="shared" si="16"/>
        <v>Gwangju</v>
      </c>
      <c r="E1069" s="9" t="s">
        <v>2007</v>
      </c>
      <c r="F1069" s="9" t="s">
        <v>2144</v>
      </c>
    </row>
    <row r="1070" spans="2:6">
      <c r="B1070" s="8">
        <v>1068</v>
      </c>
      <c r="C1070" s="10">
        <v>33937</v>
      </c>
      <c r="D1070" s="6" t="str">
        <f t="shared" si="16"/>
        <v>Gwangju</v>
      </c>
      <c r="E1070" s="9" t="s">
        <v>2007</v>
      </c>
      <c r="F1070" s="9" t="s">
        <v>2145</v>
      </c>
    </row>
    <row r="1071" spans="2:6">
      <c r="B1071" s="8">
        <v>1069</v>
      </c>
      <c r="C1071" s="10">
        <v>33903</v>
      </c>
      <c r="D1071" s="6" t="str">
        <f t="shared" si="16"/>
        <v>Gwangju</v>
      </c>
      <c r="E1071" s="9" t="s">
        <v>2007</v>
      </c>
      <c r="F1071" s="9" t="s">
        <v>2146</v>
      </c>
    </row>
    <row r="1072" spans="2:6">
      <c r="B1072" s="8">
        <v>1070</v>
      </c>
      <c r="C1072" s="10">
        <v>33925</v>
      </c>
      <c r="D1072" s="6" t="str">
        <f t="shared" si="16"/>
        <v>Gwangju</v>
      </c>
      <c r="E1072" s="9" t="s">
        <v>2007</v>
      </c>
      <c r="F1072" s="9" t="s">
        <v>2147</v>
      </c>
    </row>
    <row r="1073" spans="2:6">
      <c r="B1073" s="8">
        <v>1071</v>
      </c>
      <c r="C1073" s="10">
        <v>33931</v>
      </c>
      <c r="D1073" s="6" t="str">
        <f t="shared" si="16"/>
        <v>Gwangju</v>
      </c>
      <c r="E1073" s="9" t="s">
        <v>2007</v>
      </c>
      <c r="F1073" s="9" t="s">
        <v>2148</v>
      </c>
    </row>
    <row r="1074" spans="2:6">
      <c r="B1074" s="8">
        <v>1072</v>
      </c>
      <c r="C1074" s="10">
        <v>33924</v>
      </c>
      <c r="D1074" s="6" t="str">
        <f t="shared" si="16"/>
        <v>Gwangju</v>
      </c>
      <c r="E1074" s="9" t="s">
        <v>2007</v>
      </c>
      <c r="F1074" s="9" t="s">
        <v>2149</v>
      </c>
    </row>
    <row r="1075" spans="2:6">
      <c r="B1075" s="8">
        <v>1073</v>
      </c>
      <c r="C1075" s="10">
        <v>33886</v>
      </c>
      <c r="D1075" s="6" t="str">
        <f t="shared" si="16"/>
        <v>Gwangju</v>
      </c>
      <c r="E1075" s="9" t="s">
        <v>2007</v>
      </c>
      <c r="F1075" s="9" t="s">
        <v>2150</v>
      </c>
    </row>
    <row r="1076" spans="2:6">
      <c r="B1076" s="8">
        <v>1074</v>
      </c>
      <c r="C1076" s="10">
        <v>35124</v>
      </c>
      <c r="D1076" s="6" t="str">
        <f t="shared" si="16"/>
        <v>Gwangju</v>
      </c>
      <c r="E1076" s="9" t="s">
        <v>2007</v>
      </c>
      <c r="F1076" s="9" t="s">
        <v>2151</v>
      </c>
    </row>
    <row r="1077" spans="2:6">
      <c r="B1077" s="8">
        <v>1075</v>
      </c>
      <c r="C1077" s="10">
        <v>33887</v>
      </c>
      <c r="D1077" s="6" t="str">
        <f t="shared" si="16"/>
        <v>Gwangju</v>
      </c>
      <c r="E1077" s="9" t="s">
        <v>2007</v>
      </c>
      <c r="F1077" s="9" t="s">
        <v>2152</v>
      </c>
    </row>
    <row r="1078" spans="2:6">
      <c r="B1078" s="8">
        <v>1076</v>
      </c>
      <c r="C1078" s="10">
        <v>33915</v>
      </c>
      <c r="D1078" s="6" t="str">
        <f t="shared" si="16"/>
        <v>Gwangju</v>
      </c>
      <c r="E1078" s="9" t="s">
        <v>2007</v>
      </c>
      <c r="F1078" s="9" t="s">
        <v>2153</v>
      </c>
    </row>
    <row r="1079" spans="2:6">
      <c r="B1079" s="8">
        <v>1077</v>
      </c>
      <c r="C1079" s="10">
        <v>33916</v>
      </c>
      <c r="D1079" s="6" t="str">
        <f t="shared" si="16"/>
        <v>Gwangju</v>
      </c>
      <c r="E1079" s="9" t="s">
        <v>2007</v>
      </c>
      <c r="F1079" s="9" t="s">
        <v>2154</v>
      </c>
    </row>
    <row r="1080" spans="2:6">
      <c r="B1080" s="8">
        <v>1078</v>
      </c>
      <c r="C1080" s="10">
        <v>33909</v>
      </c>
      <c r="D1080" s="6" t="str">
        <f t="shared" si="16"/>
        <v>Gwangju</v>
      </c>
      <c r="E1080" s="9" t="s">
        <v>2007</v>
      </c>
      <c r="F1080" s="9" t="s">
        <v>2155</v>
      </c>
    </row>
    <row r="1081" spans="2:6">
      <c r="B1081" s="8">
        <v>1079</v>
      </c>
      <c r="C1081" s="10">
        <v>33934</v>
      </c>
      <c r="D1081" s="6" t="str">
        <f t="shared" si="16"/>
        <v>Gwangju</v>
      </c>
      <c r="E1081" s="9" t="s">
        <v>2007</v>
      </c>
      <c r="F1081" s="9" t="s">
        <v>2156</v>
      </c>
    </row>
    <row r="1082" spans="2:6">
      <c r="B1082" s="8">
        <v>1080</v>
      </c>
      <c r="C1082" s="10">
        <v>33933</v>
      </c>
      <c r="D1082" s="6" t="str">
        <f t="shared" si="16"/>
        <v>Gwangju</v>
      </c>
      <c r="E1082" s="9" t="s">
        <v>2007</v>
      </c>
      <c r="F1082" s="9" t="s">
        <v>2157</v>
      </c>
    </row>
    <row r="1083" spans="2:6">
      <c r="B1083" s="8">
        <v>1081</v>
      </c>
      <c r="C1083" s="10">
        <v>33943</v>
      </c>
      <c r="D1083" s="6" t="str">
        <f t="shared" si="16"/>
        <v>Gwangju</v>
      </c>
      <c r="E1083" s="9" t="s">
        <v>2007</v>
      </c>
      <c r="F1083" s="9" t="s">
        <v>2158</v>
      </c>
    </row>
    <row r="1084" spans="2:6">
      <c r="B1084" s="8">
        <v>1082</v>
      </c>
      <c r="C1084" s="10">
        <v>33940</v>
      </c>
      <c r="D1084" s="6" t="str">
        <f t="shared" si="16"/>
        <v>Gwangju</v>
      </c>
      <c r="E1084" s="9" t="s">
        <v>2007</v>
      </c>
      <c r="F1084" s="9" t="s">
        <v>2159</v>
      </c>
    </row>
    <row r="1085" spans="2:6">
      <c r="B1085" s="8">
        <v>1083</v>
      </c>
      <c r="C1085" s="10">
        <v>35082</v>
      </c>
      <c r="D1085" s="6" t="str">
        <f t="shared" si="16"/>
        <v>Gwangju</v>
      </c>
      <c r="E1085" s="9" t="s">
        <v>2007</v>
      </c>
      <c r="F1085" s="9" t="s">
        <v>2160</v>
      </c>
    </row>
    <row r="1086" spans="2:6">
      <c r="B1086" s="8">
        <v>1084</v>
      </c>
      <c r="C1086" s="10">
        <v>34818</v>
      </c>
      <c r="D1086" s="6" t="str">
        <f t="shared" si="16"/>
        <v>Gwangju</v>
      </c>
      <c r="E1086" s="9" t="s">
        <v>2007</v>
      </c>
      <c r="F1086" s="9" t="s">
        <v>2161</v>
      </c>
    </row>
    <row r="1087" spans="2:6">
      <c r="B1087" s="8">
        <v>1085</v>
      </c>
      <c r="C1087" s="10">
        <v>35138</v>
      </c>
      <c r="D1087" s="6" t="str">
        <f t="shared" si="16"/>
        <v>Gwangju</v>
      </c>
      <c r="E1087" s="9" t="s">
        <v>2007</v>
      </c>
      <c r="F1087" s="9" t="s">
        <v>2162</v>
      </c>
    </row>
    <row r="1088" spans="2:6">
      <c r="B1088" s="8">
        <v>1086</v>
      </c>
      <c r="C1088" s="10">
        <v>35287</v>
      </c>
      <c r="D1088" s="6" t="str">
        <f t="shared" si="16"/>
        <v>Gwangju</v>
      </c>
      <c r="E1088" s="9" t="s">
        <v>2007</v>
      </c>
      <c r="F1088" s="9" t="s">
        <v>2163</v>
      </c>
    </row>
    <row r="1089" spans="2:6">
      <c r="B1089" s="8">
        <v>1087</v>
      </c>
      <c r="C1089" s="10">
        <v>35382</v>
      </c>
      <c r="D1089" s="6" t="str">
        <f t="shared" si="16"/>
        <v>Gwangju</v>
      </c>
      <c r="E1089" s="9" t="s">
        <v>2007</v>
      </c>
      <c r="F1089" s="9" t="s">
        <v>2164</v>
      </c>
    </row>
    <row r="1090" spans="2:6">
      <c r="B1090" s="8">
        <v>1088</v>
      </c>
      <c r="C1090" s="10">
        <v>35416</v>
      </c>
      <c r="D1090" s="6" t="str">
        <f t="shared" si="16"/>
        <v>Gwangju</v>
      </c>
      <c r="E1090" s="9" t="s">
        <v>2007</v>
      </c>
      <c r="F1090" s="9" t="s">
        <v>2165</v>
      </c>
    </row>
    <row r="1091" spans="2:6">
      <c r="B1091" s="8">
        <v>1089</v>
      </c>
      <c r="C1091" s="10">
        <v>35535</v>
      </c>
      <c r="D1091" s="6" t="str">
        <f t="shared" si="16"/>
        <v>Gwangju</v>
      </c>
      <c r="E1091" s="9" t="s">
        <v>2007</v>
      </c>
      <c r="F1091" s="9" t="s">
        <v>2166</v>
      </c>
    </row>
    <row r="1092" spans="2:6">
      <c r="B1092" s="8">
        <v>1090</v>
      </c>
      <c r="C1092" s="10">
        <v>36355</v>
      </c>
      <c r="D1092" s="6" t="str">
        <f t="shared" ref="D1092:D1155" si="17">IFERROR(VLOOKUP(E1092,$H$3:$J$16,2,0),"")</f>
        <v>Gwangju</v>
      </c>
      <c r="E1092" s="9" t="s">
        <v>2007</v>
      </c>
      <c r="F1092" s="9" t="s">
        <v>2167</v>
      </c>
    </row>
    <row r="1093" spans="2:6">
      <c r="B1093" s="8">
        <v>1091</v>
      </c>
      <c r="C1093" s="10">
        <v>36554</v>
      </c>
      <c r="D1093" s="6" t="str">
        <f t="shared" si="17"/>
        <v>Gwangju</v>
      </c>
      <c r="E1093" s="9" t="s">
        <v>2007</v>
      </c>
      <c r="F1093" s="9" t="s">
        <v>2168</v>
      </c>
    </row>
    <row r="1094" spans="2:6">
      <c r="B1094" s="8">
        <v>1092</v>
      </c>
      <c r="C1094" s="10">
        <v>36397</v>
      </c>
      <c r="D1094" s="6" t="str">
        <f t="shared" si="17"/>
        <v>Gwangju</v>
      </c>
      <c r="E1094" s="9" t="s">
        <v>2007</v>
      </c>
      <c r="F1094" s="9" t="s">
        <v>2169</v>
      </c>
    </row>
    <row r="1095" spans="2:6">
      <c r="B1095" s="8">
        <v>1093</v>
      </c>
      <c r="C1095" s="10">
        <v>36393</v>
      </c>
      <c r="D1095" s="6" t="str">
        <f t="shared" si="17"/>
        <v>Gwangju</v>
      </c>
      <c r="E1095" s="9" t="s">
        <v>2007</v>
      </c>
      <c r="F1095" s="9" t="s">
        <v>2170</v>
      </c>
    </row>
    <row r="1096" spans="2:6">
      <c r="B1096" s="8">
        <v>1094</v>
      </c>
      <c r="C1096" s="10">
        <v>36733</v>
      </c>
      <c r="D1096" s="6" t="str">
        <f t="shared" si="17"/>
        <v>Gwangju</v>
      </c>
      <c r="E1096" s="9" t="s">
        <v>2007</v>
      </c>
      <c r="F1096" s="9" t="s">
        <v>2171</v>
      </c>
    </row>
    <row r="1097" spans="2:6">
      <c r="B1097" s="8">
        <v>1095</v>
      </c>
      <c r="C1097" s="10">
        <v>39639</v>
      </c>
      <c r="D1097" s="6" t="str">
        <f t="shared" si="17"/>
        <v>Gwangju</v>
      </c>
      <c r="E1097" s="9" t="s">
        <v>2007</v>
      </c>
      <c r="F1097" s="9" t="s">
        <v>2172</v>
      </c>
    </row>
    <row r="1098" spans="2:6">
      <c r="B1098" s="8">
        <v>1096</v>
      </c>
      <c r="C1098" s="10">
        <v>34293</v>
      </c>
      <c r="D1098" s="6" t="str">
        <f t="shared" si="17"/>
        <v>Gwangju</v>
      </c>
      <c r="E1098" s="9" t="s">
        <v>2007</v>
      </c>
      <c r="F1098" s="9" t="s">
        <v>2173</v>
      </c>
    </row>
    <row r="1099" spans="2:6">
      <c r="B1099" s="8">
        <v>1097</v>
      </c>
      <c r="C1099" s="10">
        <v>80253</v>
      </c>
      <c r="D1099" s="6" t="str">
        <f t="shared" si="17"/>
        <v>Gwangju</v>
      </c>
      <c r="E1099" s="9" t="s">
        <v>2007</v>
      </c>
      <c r="F1099" s="9" t="s">
        <v>2174</v>
      </c>
    </row>
    <row r="1100" spans="2:6">
      <c r="B1100" s="8">
        <v>1098</v>
      </c>
      <c r="C1100" s="10">
        <v>80280</v>
      </c>
      <c r="D1100" s="6" t="str">
        <f t="shared" si="17"/>
        <v>Gwangju</v>
      </c>
      <c r="E1100" s="9" t="s">
        <v>2007</v>
      </c>
      <c r="F1100" s="9" t="s">
        <v>2175</v>
      </c>
    </row>
    <row r="1101" spans="2:6">
      <c r="B1101" s="8">
        <v>1099</v>
      </c>
      <c r="C1101" s="10">
        <v>80304</v>
      </c>
      <c r="D1101" s="6" t="str">
        <f t="shared" si="17"/>
        <v>Gwangju</v>
      </c>
      <c r="E1101" s="9" t="s">
        <v>2007</v>
      </c>
      <c r="F1101" s="9" t="s">
        <v>2176</v>
      </c>
    </row>
    <row r="1102" spans="2:6">
      <c r="B1102" s="8">
        <v>1100</v>
      </c>
      <c r="C1102" s="10">
        <v>80955</v>
      </c>
      <c r="D1102" s="6" t="str">
        <f t="shared" si="17"/>
        <v>Gwangju</v>
      </c>
      <c r="E1102" s="9" t="s">
        <v>2007</v>
      </c>
      <c r="F1102" s="9" t="s">
        <v>2177</v>
      </c>
    </row>
    <row r="1103" spans="2:6">
      <c r="B1103" s="8">
        <v>1101</v>
      </c>
      <c r="C1103" s="10">
        <v>34819</v>
      </c>
      <c r="D1103" s="6" t="str">
        <f t="shared" si="17"/>
        <v>Gwangju</v>
      </c>
      <c r="E1103" s="9" t="s">
        <v>2007</v>
      </c>
      <c r="F1103" s="9" t="s">
        <v>2178</v>
      </c>
    </row>
    <row r="1104" spans="2:6">
      <c r="B1104" s="8">
        <v>1102</v>
      </c>
      <c r="C1104" s="10">
        <v>39066</v>
      </c>
      <c r="D1104" s="6" t="str">
        <f t="shared" si="17"/>
        <v>Gwangju</v>
      </c>
      <c r="E1104" s="9" t="s">
        <v>2007</v>
      </c>
      <c r="F1104" s="9" t="s">
        <v>2179</v>
      </c>
    </row>
    <row r="1105" spans="2:6">
      <c r="B1105" s="8">
        <v>1103</v>
      </c>
      <c r="C1105" s="10">
        <v>80303</v>
      </c>
      <c r="D1105" s="6" t="str">
        <f t="shared" si="17"/>
        <v>Gwangju</v>
      </c>
      <c r="E1105" s="9" t="s">
        <v>2007</v>
      </c>
      <c r="F1105" s="9" t="s">
        <v>2180</v>
      </c>
    </row>
    <row r="1106" spans="2:6">
      <c r="B1106" s="8">
        <v>1104</v>
      </c>
      <c r="C1106" s="10">
        <v>33941</v>
      </c>
      <c r="D1106" s="6" t="str">
        <f t="shared" si="17"/>
        <v>Gwangju</v>
      </c>
      <c r="E1106" s="9" t="s">
        <v>2007</v>
      </c>
      <c r="F1106" s="9" t="s">
        <v>2181</v>
      </c>
    </row>
    <row r="1107" spans="2:6">
      <c r="B1107" s="8">
        <v>1105</v>
      </c>
      <c r="C1107" s="10">
        <v>81909</v>
      </c>
      <c r="D1107" s="6" t="str">
        <f t="shared" si="17"/>
        <v>Gwangju</v>
      </c>
      <c r="E1107" s="9" t="s">
        <v>2007</v>
      </c>
      <c r="F1107" s="9" t="s">
        <v>2182</v>
      </c>
    </row>
    <row r="1108" spans="2:6">
      <c r="B1108" s="8">
        <v>1106</v>
      </c>
      <c r="C1108" s="10">
        <v>83676</v>
      </c>
      <c r="D1108" s="6" t="str">
        <f t="shared" si="17"/>
        <v>Gwangju</v>
      </c>
      <c r="E1108" s="9" t="s">
        <v>2007</v>
      </c>
      <c r="F1108" s="9" t="s">
        <v>2183</v>
      </c>
    </row>
    <row r="1109" spans="2:6">
      <c r="B1109" s="8">
        <v>1107</v>
      </c>
      <c r="C1109" s="10">
        <v>83791</v>
      </c>
      <c r="D1109" s="6" t="str">
        <f t="shared" si="17"/>
        <v>Gwangju</v>
      </c>
      <c r="E1109" s="9" t="s">
        <v>2007</v>
      </c>
      <c r="F1109" s="9" t="s">
        <v>2184</v>
      </c>
    </row>
    <row r="1110" spans="2:6">
      <c r="B1110" s="8">
        <v>1108</v>
      </c>
      <c r="C1110" s="10">
        <v>85507</v>
      </c>
      <c r="D1110" s="6" t="str">
        <f t="shared" si="17"/>
        <v>Gwangju</v>
      </c>
      <c r="E1110" s="9" t="s">
        <v>2007</v>
      </c>
      <c r="F1110" s="9" t="s">
        <v>2185</v>
      </c>
    </row>
    <row r="1111" spans="2:6">
      <c r="B1111" s="8">
        <v>1109</v>
      </c>
      <c r="C1111" s="10">
        <v>83947</v>
      </c>
      <c r="D1111" s="6" t="str">
        <f t="shared" si="17"/>
        <v>Gwangju</v>
      </c>
      <c r="E1111" s="9" t="s">
        <v>2007</v>
      </c>
      <c r="F1111" s="9" t="s">
        <v>2186</v>
      </c>
    </row>
    <row r="1112" spans="2:6">
      <c r="B1112" s="8">
        <v>1110</v>
      </c>
      <c r="C1112" s="10">
        <v>86022</v>
      </c>
      <c r="D1112" s="6" t="str">
        <f t="shared" si="17"/>
        <v>Gwangju</v>
      </c>
      <c r="E1112" s="9" t="s">
        <v>2007</v>
      </c>
      <c r="F1112" s="9" t="s">
        <v>2187</v>
      </c>
    </row>
    <row r="1113" spans="2:6">
      <c r="B1113" s="8">
        <v>1111</v>
      </c>
      <c r="C1113" s="10">
        <v>83952</v>
      </c>
      <c r="D1113" s="6" t="str">
        <f t="shared" si="17"/>
        <v>Gwangju</v>
      </c>
      <c r="E1113" s="9" t="s">
        <v>2007</v>
      </c>
      <c r="F1113" s="9" t="s">
        <v>2188</v>
      </c>
    </row>
    <row r="1114" spans="2:6">
      <c r="B1114" s="8">
        <v>1112</v>
      </c>
      <c r="C1114" s="10">
        <v>85491</v>
      </c>
      <c r="D1114" s="6" t="str">
        <f t="shared" si="17"/>
        <v>Gwangju</v>
      </c>
      <c r="E1114" s="9" t="s">
        <v>2007</v>
      </c>
      <c r="F1114" s="9" t="s">
        <v>2189</v>
      </c>
    </row>
    <row r="1115" spans="2:6">
      <c r="B1115" s="8">
        <v>1113</v>
      </c>
      <c r="C1115" s="10">
        <v>83875</v>
      </c>
      <c r="D1115" s="6" t="str">
        <f t="shared" si="17"/>
        <v>Gwangju</v>
      </c>
      <c r="E1115" s="9" t="s">
        <v>2007</v>
      </c>
      <c r="F1115" s="9" t="s">
        <v>2190</v>
      </c>
    </row>
    <row r="1116" spans="2:6">
      <c r="B1116" s="8">
        <v>1114</v>
      </c>
      <c r="C1116" s="10">
        <v>33066</v>
      </c>
      <c r="D1116" s="6" t="str">
        <f t="shared" si="17"/>
        <v>Seoul</v>
      </c>
      <c r="E1116" s="9" t="s">
        <v>91</v>
      </c>
      <c r="F1116" s="9" t="s">
        <v>2191</v>
      </c>
    </row>
    <row r="1117" spans="2:6">
      <c r="B1117" s="8">
        <v>1115</v>
      </c>
      <c r="C1117" s="10">
        <v>83891</v>
      </c>
      <c r="D1117" s="6" t="str">
        <f t="shared" si="17"/>
        <v>Busan</v>
      </c>
      <c r="E1117" s="9" t="s">
        <v>1596</v>
      </c>
      <c r="F1117" s="9" t="s">
        <v>2192</v>
      </c>
    </row>
    <row r="1118" spans="2:6">
      <c r="B1118" s="8">
        <v>1116</v>
      </c>
      <c r="C1118" s="10">
        <v>83793</v>
      </c>
      <c r="D1118" s="6" t="str">
        <f t="shared" si="17"/>
        <v>Daejeon</v>
      </c>
      <c r="E1118" s="9" t="s">
        <v>1870</v>
      </c>
      <c r="F1118" s="9" t="s">
        <v>2193</v>
      </c>
    </row>
    <row r="1119" spans="2:6">
      <c r="B1119" s="8">
        <v>1117</v>
      </c>
      <c r="C1119" s="10">
        <v>38099</v>
      </c>
      <c r="D1119" s="6" t="str">
        <f t="shared" si="17"/>
        <v>Seoul</v>
      </c>
      <c r="E1119" s="9" t="s">
        <v>552</v>
      </c>
      <c r="F1119" s="9" t="s">
        <v>2194</v>
      </c>
    </row>
    <row r="1120" spans="2:6">
      <c r="B1120" s="8">
        <v>1118</v>
      </c>
      <c r="C1120" s="10">
        <v>33238</v>
      </c>
      <c r="D1120" s="6" t="str">
        <f t="shared" si="17"/>
        <v>Seoul</v>
      </c>
      <c r="E1120" s="9" t="s">
        <v>993</v>
      </c>
      <c r="F1120" s="9" t="s">
        <v>2195</v>
      </c>
    </row>
    <row r="1121" spans="2:6">
      <c r="B1121" s="8">
        <v>1119</v>
      </c>
      <c r="C1121" s="10">
        <v>33389</v>
      </c>
      <c r="D1121" s="6" t="s">
        <v>1157</v>
      </c>
      <c r="E1121" s="9" t="s">
        <v>2005</v>
      </c>
      <c r="F1121" s="9" t="s">
        <v>2196</v>
      </c>
    </row>
    <row r="1122" spans="2:6">
      <c r="B1122" s="8">
        <v>1120</v>
      </c>
      <c r="C1122" s="10">
        <v>33312</v>
      </c>
      <c r="D1122" s="6" t="str">
        <f t="shared" si="17"/>
        <v>Seoul</v>
      </c>
      <c r="E1122" s="9" t="s">
        <v>109</v>
      </c>
      <c r="F1122" s="9" t="s">
        <v>2197</v>
      </c>
    </row>
    <row r="1123" spans="2:6">
      <c r="B1123" s="8">
        <v>1121</v>
      </c>
      <c r="C1123" s="10">
        <v>86318</v>
      </c>
      <c r="D1123" s="6" t="s">
        <v>1157</v>
      </c>
      <c r="E1123" s="9" t="s">
        <v>2005</v>
      </c>
      <c r="F1123" s="9" t="s">
        <v>2198</v>
      </c>
    </row>
    <row r="1124" spans="2:6">
      <c r="B1124" s="8">
        <v>1122</v>
      </c>
      <c r="C1124" s="10">
        <v>84083</v>
      </c>
      <c r="D1124" s="6" t="s">
        <v>1157</v>
      </c>
      <c r="E1124" s="9" t="s">
        <v>2005</v>
      </c>
      <c r="F1124" s="9" t="s">
        <v>2199</v>
      </c>
    </row>
    <row r="1125" spans="2:6">
      <c r="B1125" s="8">
        <v>1123</v>
      </c>
      <c r="C1125" s="10">
        <v>85470</v>
      </c>
      <c r="D1125" s="6" t="s">
        <v>1157</v>
      </c>
      <c r="E1125" s="9" t="s">
        <v>2005</v>
      </c>
      <c r="F1125" s="9" t="s">
        <v>2200</v>
      </c>
    </row>
    <row r="1126" spans="2:6">
      <c r="B1126" s="8">
        <v>1124</v>
      </c>
      <c r="C1126" s="10">
        <v>85743</v>
      </c>
      <c r="D1126" s="6" t="s">
        <v>1157</v>
      </c>
      <c r="E1126" s="9" t="s">
        <v>2003</v>
      </c>
      <c r="F1126" s="9" t="s">
        <v>2201</v>
      </c>
    </row>
    <row r="1127" spans="2:6">
      <c r="B1127" s="8">
        <v>1125</v>
      </c>
      <c r="C1127" s="10">
        <v>85748</v>
      </c>
      <c r="D1127" s="6" t="s">
        <v>1157</v>
      </c>
      <c r="E1127" s="9" t="s">
        <v>2003</v>
      </c>
      <c r="F1127" s="9" t="s">
        <v>2202</v>
      </c>
    </row>
    <row r="1128" spans="2:6">
      <c r="B1128" s="8">
        <v>1126</v>
      </c>
      <c r="C1128" s="10">
        <v>85820</v>
      </c>
      <c r="D1128" s="6" t="s">
        <v>1157</v>
      </c>
      <c r="E1128" s="9" t="s">
        <v>2003</v>
      </c>
      <c r="F1128" s="9" t="s">
        <v>2203</v>
      </c>
    </row>
    <row r="1129" spans="2:6">
      <c r="B1129" s="8">
        <v>1127</v>
      </c>
      <c r="C1129" s="10">
        <v>86268</v>
      </c>
      <c r="D1129" s="6" t="str">
        <f t="shared" si="17"/>
        <v>Seoul</v>
      </c>
      <c r="E1129" s="9" t="s">
        <v>259</v>
      </c>
      <c r="F1129" s="9" t="s">
        <v>2204</v>
      </c>
    </row>
    <row r="1130" spans="2:6">
      <c r="B1130" s="8">
        <v>1115</v>
      </c>
      <c r="C1130" s="10">
        <v>33049</v>
      </c>
      <c r="D1130" s="6" t="str">
        <f t="shared" si="17"/>
        <v>Seoul</v>
      </c>
      <c r="E1130" s="9" t="s">
        <v>259</v>
      </c>
      <c r="F1130" s="9" t="s">
        <v>2205</v>
      </c>
    </row>
    <row r="1131" spans="2:6">
      <c r="B1131" s="8">
        <v>1129</v>
      </c>
      <c r="C1131" s="10">
        <v>81982</v>
      </c>
      <c r="D1131" s="6" t="str">
        <f t="shared" si="17"/>
        <v>Seoul</v>
      </c>
      <c r="E1131" s="9" t="s">
        <v>259</v>
      </c>
      <c r="F1131" s="9" t="s">
        <v>426</v>
      </c>
    </row>
    <row r="1132" spans="2:6">
      <c r="B1132" s="8">
        <v>1130</v>
      </c>
      <c r="C1132" s="10">
        <v>83675</v>
      </c>
      <c r="D1132" s="6" t="s">
        <v>1157</v>
      </c>
      <c r="E1132" s="9" t="s">
        <v>2005</v>
      </c>
      <c r="F1132" s="9" t="s">
        <v>2206</v>
      </c>
    </row>
    <row r="1133" spans="2:6">
      <c r="B1133" s="8">
        <v>1131</v>
      </c>
      <c r="C1133" s="10">
        <v>83854</v>
      </c>
      <c r="D1133" s="6" t="s">
        <v>1157</v>
      </c>
      <c r="E1133" s="9" t="s">
        <v>2005</v>
      </c>
      <c r="F1133" s="9" t="s">
        <v>2207</v>
      </c>
    </row>
    <row r="1134" spans="2:6">
      <c r="B1134" s="8">
        <v>1132</v>
      </c>
      <c r="C1134" s="10">
        <v>83917</v>
      </c>
      <c r="D1134" s="6" t="s">
        <v>1157</v>
      </c>
      <c r="E1134" s="9" t="s">
        <v>2003</v>
      </c>
      <c r="F1134" s="9" t="s">
        <v>2208</v>
      </c>
    </row>
    <row r="1135" spans="2:6">
      <c r="B1135" s="8">
        <v>1133</v>
      </c>
      <c r="C1135" s="10">
        <v>83942</v>
      </c>
      <c r="D1135" s="6" t="s">
        <v>1157</v>
      </c>
      <c r="E1135" s="9" t="s">
        <v>2003</v>
      </c>
      <c r="F1135" s="9" t="s">
        <v>2209</v>
      </c>
    </row>
    <row r="1136" spans="2:6">
      <c r="B1136" s="8">
        <v>1134</v>
      </c>
      <c r="C1136" s="10">
        <v>84127</v>
      </c>
      <c r="D1136" s="6" t="str">
        <f t="shared" si="17"/>
        <v>Seoul</v>
      </c>
      <c r="E1136" s="9" t="s">
        <v>91</v>
      </c>
      <c r="F1136" s="9" t="s">
        <v>2210</v>
      </c>
    </row>
    <row r="1137" spans="2:6">
      <c r="B1137" s="8">
        <v>1135</v>
      </c>
      <c r="C1137" s="10">
        <v>84159</v>
      </c>
      <c r="D1137" s="6" t="s">
        <v>1157</v>
      </c>
      <c r="E1137" s="9" t="s">
        <v>2003</v>
      </c>
      <c r="F1137" s="9" t="s">
        <v>2211</v>
      </c>
    </row>
    <row r="1138" spans="2:6">
      <c r="B1138" s="8">
        <v>1136</v>
      </c>
      <c r="C1138" s="10">
        <v>85446</v>
      </c>
      <c r="D1138" s="6" t="s">
        <v>1157</v>
      </c>
      <c r="E1138" s="9" t="s">
        <v>2003</v>
      </c>
      <c r="F1138" s="9" t="s">
        <v>2212</v>
      </c>
    </row>
    <row r="1139" spans="2:6">
      <c r="B1139" s="8">
        <v>1137</v>
      </c>
      <c r="C1139" s="10">
        <v>85638</v>
      </c>
      <c r="D1139" s="6" t="s">
        <v>1157</v>
      </c>
      <c r="E1139" s="9" t="s">
        <v>2005</v>
      </c>
      <c r="F1139" s="9" t="s">
        <v>2213</v>
      </c>
    </row>
    <row r="1140" spans="2:6">
      <c r="B1140" s="8">
        <v>1138</v>
      </c>
      <c r="C1140" s="10">
        <v>85825</v>
      </c>
      <c r="D1140" s="6" t="s">
        <v>1157</v>
      </c>
      <c r="E1140" s="9" t="s">
        <v>2003</v>
      </c>
      <c r="F1140" s="9" t="s">
        <v>2214</v>
      </c>
    </row>
    <row r="1141" spans="2:6">
      <c r="B1141" s="8">
        <v>1139</v>
      </c>
      <c r="C1141" s="10">
        <v>84160</v>
      </c>
      <c r="D1141" s="6" t="s">
        <v>1157</v>
      </c>
      <c r="E1141" s="9" t="s">
        <v>2005</v>
      </c>
      <c r="F1141" s="9" t="s">
        <v>2215</v>
      </c>
    </row>
    <row r="1142" spans="2:6">
      <c r="B1142" s="8">
        <v>1140</v>
      </c>
      <c r="C1142" s="10">
        <v>86172</v>
      </c>
      <c r="D1142" s="6" t="s">
        <v>1157</v>
      </c>
      <c r="E1142" s="9" t="s">
        <v>2005</v>
      </c>
      <c r="F1142" s="9" t="s">
        <v>2216</v>
      </c>
    </row>
    <row r="1143" spans="2:6">
      <c r="B1143" s="8">
        <v>1141</v>
      </c>
      <c r="C1143" s="10">
        <v>83874</v>
      </c>
      <c r="D1143" s="6" t="str">
        <f t="shared" si="17"/>
        <v>Jeju</v>
      </c>
      <c r="E1143" s="9" t="s">
        <v>2217</v>
      </c>
      <c r="F1143" s="9" t="s">
        <v>2218</v>
      </c>
    </row>
    <row r="1144" spans="2:6">
      <c r="B1144" s="8">
        <v>1142</v>
      </c>
      <c r="C1144" s="10">
        <v>83857</v>
      </c>
      <c r="D1144" s="6" t="str">
        <f t="shared" si="17"/>
        <v>Daegu</v>
      </c>
      <c r="E1144" s="9" t="s">
        <v>1724</v>
      </c>
      <c r="F1144" s="9" t="s">
        <v>2219</v>
      </c>
    </row>
    <row r="1145" spans="2:6">
      <c r="B1145" s="8">
        <v>1143</v>
      </c>
      <c r="C1145" s="10">
        <v>33820</v>
      </c>
      <c r="D1145" s="6" t="str">
        <f t="shared" si="17"/>
        <v>Busan</v>
      </c>
      <c r="E1145" s="9" t="s">
        <v>1507</v>
      </c>
      <c r="F1145" s="9" t="s">
        <v>2220</v>
      </c>
    </row>
    <row r="1146" spans="2:6">
      <c r="B1146" s="8">
        <v>1144</v>
      </c>
      <c r="C1146" s="10">
        <v>33794</v>
      </c>
      <c r="D1146" s="6" t="str">
        <f t="shared" si="17"/>
        <v>Busan</v>
      </c>
      <c r="E1146" s="9" t="s">
        <v>1507</v>
      </c>
      <c r="F1146" s="9" t="s">
        <v>2221</v>
      </c>
    </row>
    <row r="1147" spans="2:6">
      <c r="B1147" s="8">
        <v>1145</v>
      </c>
      <c r="C1147" s="10">
        <v>33810</v>
      </c>
      <c r="D1147" s="6" t="str">
        <f t="shared" si="17"/>
        <v>Busan</v>
      </c>
      <c r="E1147" s="9" t="s">
        <v>1507</v>
      </c>
      <c r="F1147" s="9" t="s">
        <v>2222</v>
      </c>
    </row>
    <row r="1148" spans="2:6">
      <c r="B1148" s="8">
        <v>1146</v>
      </c>
      <c r="C1148" s="10">
        <v>34432</v>
      </c>
      <c r="D1148" s="6" t="str">
        <f t="shared" si="17"/>
        <v>Busan</v>
      </c>
      <c r="E1148" s="9" t="s">
        <v>1507</v>
      </c>
      <c r="F1148" s="9" t="s">
        <v>2223</v>
      </c>
    </row>
    <row r="1149" spans="2:6">
      <c r="B1149" s="8">
        <v>1147</v>
      </c>
      <c r="C1149" s="10">
        <v>33868</v>
      </c>
      <c r="D1149" s="6" t="str">
        <f t="shared" si="17"/>
        <v>Busan</v>
      </c>
      <c r="E1149" s="9" t="s">
        <v>1507</v>
      </c>
      <c r="F1149" s="9" t="s">
        <v>2224</v>
      </c>
    </row>
    <row r="1150" spans="2:6">
      <c r="B1150" s="8">
        <v>1148</v>
      </c>
      <c r="C1150" s="10">
        <v>35271</v>
      </c>
      <c r="D1150" s="6" t="str">
        <f t="shared" si="17"/>
        <v>Busan</v>
      </c>
      <c r="E1150" s="9" t="s">
        <v>1507</v>
      </c>
      <c r="F1150" s="9" t="s">
        <v>217</v>
      </c>
    </row>
    <row r="1151" spans="2:6">
      <c r="B1151" s="8">
        <v>1149</v>
      </c>
      <c r="C1151" s="10">
        <v>33817</v>
      </c>
      <c r="D1151" s="6" t="str">
        <f t="shared" si="17"/>
        <v>Busan</v>
      </c>
      <c r="E1151" s="9" t="s">
        <v>1507</v>
      </c>
      <c r="F1151" s="9" t="s">
        <v>2225</v>
      </c>
    </row>
    <row r="1152" spans="2:6">
      <c r="B1152" s="8">
        <v>1150</v>
      </c>
      <c r="C1152" s="10">
        <v>33808</v>
      </c>
      <c r="D1152" s="6" t="str">
        <f t="shared" si="17"/>
        <v>Busan</v>
      </c>
      <c r="E1152" s="9" t="s">
        <v>1507</v>
      </c>
      <c r="F1152" s="9" t="s">
        <v>2226</v>
      </c>
    </row>
    <row r="1153" spans="2:6">
      <c r="B1153" s="8">
        <v>1151</v>
      </c>
      <c r="C1153" s="10">
        <v>34433</v>
      </c>
      <c r="D1153" s="6" t="str">
        <f t="shared" si="17"/>
        <v>Busan</v>
      </c>
      <c r="E1153" s="9" t="s">
        <v>1507</v>
      </c>
      <c r="F1153" s="9" t="s">
        <v>2227</v>
      </c>
    </row>
    <row r="1154" spans="2:6">
      <c r="B1154" s="8">
        <v>1152</v>
      </c>
      <c r="C1154" s="10">
        <v>35326</v>
      </c>
      <c r="D1154" s="6" t="str">
        <f t="shared" si="17"/>
        <v>Busan</v>
      </c>
      <c r="E1154" s="9" t="s">
        <v>1507</v>
      </c>
      <c r="F1154" s="9" t="s">
        <v>2228</v>
      </c>
    </row>
    <row r="1155" spans="2:6">
      <c r="B1155" s="8">
        <v>1153</v>
      </c>
      <c r="C1155" s="10">
        <v>37656</v>
      </c>
      <c r="D1155" s="6" t="str">
        <f t="shared" si="17"/>
        <v>Busan</v>
      </c>
      <c r="E1155" s="9" t="s">
        <v>1507</v>
      </c>
      <c r="F1155" s="9" t="s">
        <v>2229</v>
      </c>
    </row>
    <row r="1156" spans="2:6">
      <c r="B1156" s="8">
        <v>1154</v>
      </c>
      <c r="C1156" s="10">
        <v>33807</v>
      </c>
      <c r="D1156" s="6" t="str">
        <f t="shared" ref="D1156:D1219" si="18">IFERROR(VLOOKUP(E1156,$H$3:$J$16,2,0),"")</f>
        <v>Busan</v>
      </c>
      <c r="E1156" s="9" t="s">
        <v>1507</v>
      </c>
      <c r="F1156" s="9" t="s">
        <v>2230</v>
      </c>
    </row>
    <row r="1157" spans="2:6">
      <c r="B1157" s="8">
        <v>1155</v>
      </c>
      <c r="C1157" s="10">
        <v>39157</v>
      </c>
      <c r="D1157" s="6" t="str">
        <f t="shared" si="18"/>
        <v>Busan</v>
      </c>
      <c r="E1157" s="9" t="s">
        <v>1507</v>
      </c>
      <c r="F1157" s="9" t="s">
        <v>1623</v>
      </c>
    </row>
    <row r="1158" spans="2:6">
      <c r="B1158" s="8">
        <v>1156</v>
      </c>
      <c r="C1158" s="10">
        <v>37518</v>
      </c>
      <c r="D1158" s="6" t="str">
        <f t="shared" si="18"/>
        <v>Busan</v>
      </c>
      <c r="E1158" s="9" t="s">
        <v>1507</v>
      </c>
      <c r="F1158" s="9" t="s">
        <v>2231</v>
      </c>
    </row>
    <row r="1159" spans="2:6">
      <c r="B1159" s="8">
        <v>1157</v>
      </c>
      <c r="C1159" s="10">
        <v>34430</v>
      </c>
      <c r="D1159" s="6" t="str">
        <f t="shared" si="18"/>
        <v>Busan</v>
      </c>
      <c r="E1159" s="9" t="s">
        <v>1507</v>
      </c>
      <c r="F1159" s="9" t="s">
        <v>2232</v>
      </c>
    </row>
    <row r="1160" spans="2:6">
      <c r="B1160" s="8">
        <v>1158</v>
      </c>
      <c r="C1160" s="10">
        <v>80126</v>
      </c>
      <c r="D1160" s="6" t="str">
        <f t="shared" si="18"/>
        <v>Busan</v>
      </c>
      <c r="E1160" s="9" t="s">
        <v>1507</v>
      </c>
      <c r="F1160" s="9" t="s">
        <v>2233</v>
      </c>
    </row>
    <row r="1161" spans="2:6">
      <c r="B1161" s="8">
        <v>1159</v>
      </c>
      <c r="C1161" s="10">
        <v>33826</v>
      </c>
      <c r="D1161" s="6" t="str">
        <f t="shared" si="18"/>
        <v>Busan</v>
      </c>
      <c r="E1161" s="9" t="s">
        <v>1507</v>
      </c>
      <c r="F1161" s="9" t="s">
        <v>2234</v>
      </c>
    </row>
    <row r="1162" spans="2:6">
      <c r="B1162" s="8">
        <v>1160</v>
      </c>
      <c r="C1162" s="10">
        <v>33839</v>
      </c>
      <c r="D1162" s="6" t="str">
        <f t="shared" si="18"/>
        <v>Busan</v>
      </c>
      <c r="E1162" s="9" t="s">
        <v>1507</v>
      </c>
      <c r="F1162" s="9" t="s">
        <v>2235</v>
      </c>
    </row>
    <row r="1163" spans="2:6">
      <c r="B1163" s="8">
        <v>1161</v>
      </c>
      <c r="C1163" s="10">
        <v>34283</v>
      </c>
      <c r="D1163" s="6" t="str">
        <f t="shared" si="18"/>
        <v>Busan</v>
      </c>
      <c r="E1163" s="9" t="s">
        <v>1507</v>
      </c>
      <c r="F1163" s="9" t="s">
        <v>2236</v>
      </c>
    </row>
    <row r="1164" spans="2:6">
      <c r="B1164" s="8">
        <v>1162</v>
      </c>
      <c r="C1164" s="10">
        <v>34992</v>
      </c>
      <c r="D1164" s="6" t="str">
        <f t="shared" si="18"/>
        <v>Busan</v>
      </c>
      <c r="E1164" s="9" t="s">
        <v>1507</v>
      </c>
      <c r="F1164" s="9" t="s">
        <v>2237</v>
      </c>
    </row>
    <row r="1165" spans="2:6">
      <c r="B1165" s="8">
        <v>1163</v>
      </c>
      <c r="C1165" s="10">
        <v>35325</v>
      </c>
      <c r="D1165" s="6" t="str">
        <f t="shared" si="18"/>
        <v>Busan</v>
      </c>
      <c r="E1165" s="9" t="s">
        <v>1507</v>
      </c>
      <c r="F1165" s="9" t="s">
        <v>2238</v>
      </c>
    </row>
    <row r="1166" spans="2:6">
      <c r="B1166" s="8">
        <v>1164</v>
      </c>
      <c r="C1166" s="10">
        <v>33809</v>
      </c>
      <c r="D1166" s="6" t="str">
        <f t="shared" si="18"/>
        <v>Busan</v>
      </c>
      <c r="E1166" s="9" t="s">
        <v>1507</v>
      </c>
      <c r="F1166" s="9" t="s">
        <v>2239</v>
      </c>
    </row>
    <row r="1167" spans="2:6">
      <c r="B1167" s="8">
        <v>1165</v>
      </c>
      <c r="C1167" s="10">
        <v>33864</v>
      </c>
      <c r="D1167" s="6" t="str">
        <f t="shared" si="18"/>
        <v>Busan</v>
      </c>
      <c r="E1167" s="9" t="s">
        <v>1507</v>
      </c>
      <c r="F1167" s="9" t="s">
        <v>605</v>
      </c>
    </row>
    <row r="1168" spans="2:6">
      <c r="B1168" s="8">
        <v>1166</v>
      </c>
      <c r="C1168" s="10">
        <v>84035</v>
      </c>
      <c r="D1168" s="6" t="str">
        <f t="shared" si="18"/>
        <v>Busan</v>
      </c>
      <c r="E1168" s="9" t="s">
        <v>1507</v>
      </c>
      <c r="F1168" s="9" t="s">
        <v>1814</v>
      </c>
    </row>
    <row r="1169" spans="2:6">
      <c r="B1169" s="8">
        <v>1167</v>
      </c>
      <c r="C1169" s="10">
        <v>83651</v>
      </c>
      <c r="D1169" s="6" t="str">
        <f t="shared" si="18"/>
        <v>Busan</v>
      </c>
      <c r="E1169" s="9" t="s">
        <v>1507</v>
      </c>
      <c r="F1169" s="9" t="s">
        <v>2240</v>
      </c>
    </row>
    <row r="1170" spans="2:6">
      <c r="B1170" s="8">
        <v>1168</v>
      </c>
      <c r="C1170" s="10">
        <v>35767</v>
      </c>
      <c r="D1170" s="6" t="str">
        <f t="shared" si="18"/>
        <v>Busan</v>
      </c>
      <c r="E1170" s="9" t="s">
        <v>1596</v>
      </c>
      <c r="F1170" s="9" t="s">
        <v>2241</v>
      </c>
    </row>
    <row r="1171" spans="2:6">
      <c r="B1171" s="8">
        <v>1169</v>
      </c>
      <c r="C1171" s="10">
        <v>33664</v>
      </c>
      <c r="D1171" s="6" t="str">
        <f t="shared" si="18"/>
        <v>Busan</v>
      </c>
      <c r="E1171" s="9" t="s">
        <v>1596</v>
      </c>
      <c r="F1171" s="9" t="s">
        <v>2242</v>
      </c>
    </row>
    <row r="1172" spans="2:6">
      <c r="B1172" s="8">
        <v>1170</v>
      </c>
      <c r="C1172" s="10">
        <v>33677</v>
      </c>
      <c r="D1172" s="6" t="str">
        <f t="shared" si="18"/>
        <v>Busan</v>
      </c>
      <c r="E1172" s="9" t="s">
        <v>1596</v>
      </c>
      <c r="F1172" s="9" t="s">
        <v>2243</v>
      </c>
    </row>
    <row r="1173" spans="2:6">
      <c r="B1173" s="8">
        <v>1171</v>
      </c>
      <c r="C1173" s="10">
        <v>33672</v>
      </c>
      <c r="D1173" s="6" t="str">
        <f t="shared" si="18"/>
        <v>Busan</v>
      </c>
      <c r="E1173" s="9" t="s">
        <v>1596</v>
      </c>
      <c r="F1173" s="9" t="s">
        <v>2244</v>
      </c>
    </row>
    <row r="1174" spans="2:6">
      <c r="B1174" s="8">
        <v>1172</v>
      </c>
      <c r="C1174" s="10">
        <v>34423</v>
      </c>
      <c r="D1174" s="6" t="str">
        <f t="shared" si="18"/>
        <v>Busan</v>
      </c>
      <c r="E1174" s="9" t="s">
        <v>1596</v>
      </c>
      <c r="F1174" s="9" t="s">
        <v>2245</v>
      </c>
    </row>
    <row r="1175" spans="2:6">
      <c r="B1175" s="8">
        <v>1173</v>
      </c>
      <c r="C1175" s="10">
        <v>33679</v>
      </c>
      <c r="D1175" s="6" t="str">
        <f t="shared" si="18"/>
        <v>Busan</v>
      </c>
      <c r="E1175" s="9" t="s">
        <v>1596</v>
      </c>
      <c r="F1175" s="9" t="s">
        <v>2246</v>
      </c>
    </row>
    <row r="1176" spans="2:6">
      <c r="B1176" s="8">
        <v>1174</v>
      </c>
      <c r="C1176" s="10">
        <v>33675</v>
      </c>
      <c r="D1176" s="6" t="str">
        <f t="shared" si="18"/>
        <v>Busan</v>
      </c>
      <c r="E1176" s="9" t="s">
        <v>1596</v>
      </c>
      <c r="F1176" s="9" t="s">
        <v>2247</v>
      </c>
    </row>
    <row r="1177" spans="2:6">
      <c r="B1177" s="8">
        <v>1175</v>
      </c>
      <c r="C1177" s="10">
        <v>34754</v>
      </c>
      <c r="D1177" s="6" t="str">
        <f t="shared" si="18"/>
        <v>Busan</v>
      </c>
      <c r="E1177" s="9" t="s">
        <v>1596</v>
      </c>
      <c r="F1177" s="9" t="s">
        <v>2248</v>
      </c>
    </row>
    <row r="1178" spans="2:6">
      <c r="B1178" s="8">
        <v>1176</v>
      </c>
      <c r="C1178" s="10">
        <v>33680</v>
      </c>
      <c r="D1178" s="6" t="str">
        <f t="shared" si="18"/>
        <v>Busan</v>
      </c>
      <c r="E1178" s="9" t="s">
        <v>1596</v>
      </c>
      <c r="F1178" s="9" t="s">
        <v>2249</v>
      </c>
    </row>
    <row r="1179" spans="2:6">
      <c r="B1179" s="8">
        <v>1177</v>
      </c>
      <c r="C1179" s="10">
        <v>33678</v>
      </c>
      <c r="D1179" s="6" t="str">
        <f t="shared" si="18"/>
        <v>Busan</v>
      </c>
      <c r="E1179" s="9" t="s">
        <v>1596</v>
      </c>
      <c r="F1179" s="9" t="s">
        <v>2250</v>
      </c>
    </row>
    <row r="1180" spans="2:6">
      <c r="B1180" s="8">
        <v>1178</v>
      </c>
      <c r="C1180" s="10">
        <v>33667</v>
      </c>
      <c r="D1180" s="6" t="str">
        <f t="shared" si="18"/>
        <v>Busan</v>
      </c>
      <c r="E1180" s="9" t="s">
        <v>1596</v>
      </c>
      <c r="F1180" s="9" t="s">
        <v>1758</v>
      </c>
    </row>
    <row r="1181" spans="2:6">
      <c r="B1181" s="8">
        <v>1179</v>
      </c>
      <c r="C1181" s="10">
        <v>33666</v>
      </c>
      <c r="D1181" s="6" t="str">
        <f t="shared" si="18"/>
        <v>Busan</v>
      </c>
      <c r="E1181" s="9" t="s">
        <v>1596</v>
      </c>
      <c r="F1181" s="9" t="s">
        <v>2251</v>
      </c>
    </row>
    <row r="1182" spans="2:6">
      <c r="B1182" s="8">
        <v>1180</v>
      </c>
      <c r="C1182" s="10">
        <v>34425</v>
      </c>
      <c r="D1182" s="6" t="str">
        <f t="shared" si="18"/>
        <v>Busan</v>
      </c>
      <c r="E1182" s="9" t="s">
        <v>1596</v>
      </c>
      <c r="F1182" s="9" t="s">
        <v>2252</v>
      </c>
    </row>
    <row r="1183" spans="2:6">
      <c r="B1183" s="8">
        <v>1181</v>
      </c>
      <c r="C1183" s="10">
        <v>33682</v>
      </c>
      <c r="D1183" s="6" t="str">
        <f t="shared" si="18"/>
        <v>Busan</v>
      </c>
      <c r="E1183" s="9" t="s">
        <v>1596</v>
      </c>
      <c r="F1183" s="9" t="s">
        <v>2253</v>
      </c>
    </row>
    <row r="1184" spans="2:6">
      <c r="B1184" s="8">
        <v>1182</v>
      </c>
      <c r="C1184" s="10">
        <v>33681</v>
      </c>
      <c r="D1184" s="6" t="str">
        <f t="shared" si="18"/>
        <v>Busan</v>
      </c>
      <c r="E1184" s="9" t="s">
        <v>1596</v>
      </c>
      <c r="F1184" s="9" t="s">
        <v>2254</v>
      </c>
    </row>
    <row r="1185" spans="2:6">
      <c r="B1185" s="8">
        <v>1183</v>
      </c>
      <c r="C1185" s="10">
        <v>34424</v>
      </c>
      <c r="D1185" s="6" t="str">
        <f t="shared" si="18"/>
        <v>Busan</v>
      </c>
      <c r="E1185" s="9" t="s">
        <v>1596</v>
      </c>
      <c r="F1185" s="9" t="s">
        <v>2255</v>
      </c>
    </row>
    <row r="1186" spans="2:6">
      <c r="B1186" s="8">
        <v>1184</v>
      </c>
      <c r="C1186" s="10">
        <v>36088</v>
      </c>
      <c r="D1186" s="6" t="str">
        <f t="shared" si="18"/>
        <v>Busan</v>
      </c>
      <c r="E1186" s="9" t="s">
        <v>1596</v>
      </c>
      <c r="F1186" s="9" t="s">
        <v>2256</v>
      </c>
    </row>
    <row r="1187" spans="2:6">
      <c r="B1187" s="8">
        <v>1185</v>
      </c>
      <c r="C1187" s="10">
        <v>33671</v>
      </c>
      <c r="D1187" s="6" t="str">
        <f t="shared" si="18"/>
        <v>Busan</v>
      </c>
      <c r="E1187" s="9" t="s">
        <v>1596</v>
      </c>
      <c r="F1187" s="9" t="s">
        <v>2257</v>
      </c>
    </row>
    <row r="1188" spans="2:6">
      <c r="B1188" s="8">
        <v>1186</v>
      </c>
      <c r="C1188" s="10">
        <v>86269</v>
      </c>
      <c r="D1188" s="6" t="str">
        <f t="shared" si="18"/>
        <v>Busan</v>
      </c>
      <c r="E1188" s="9" t="s">
        <v>1596</v>
      </c>
      <c r="F1188" s="9" t="s">
        <v>2258</v>
      </c>
    </row>
    <row r="1189" spans="2:6">
      <c r="B1189" s="8">
        <v>1187</v>
      </c>
      <c r="C1189" s="10">
        <v>34980</v>
      </c>
      <c r="D1189" s="6" t="str">
        <f t="shared" si="18"/>
        <v>Seoul</v>
      </c>
      <c r="E1189" s="9" t="s">
        <v>432</v>
      </c>
      <c r="F1189" s="9" t="s">
        <v>2259</v>
      </c>
    </row>
    <row r="1190" spans="2:6">
      <c r="B1190" s="8">
        <v>1188</v>
      </c>
      <c r="C1190" s="10">
        <v>84200</v>
      </c>
      <c r="D1190" s="6" t="str">
        <f t="shared" si="18"/>
        <v>Seoul</v>
      </c>
      <c r="E1190" s="9" t="s">
        <v>432</v>
      </c>
      <c r="F1190" s="9" t="s">
        <v>2260</v>
      </c>
    </row>
    <row r="1191" spans="2:6">
      <c r="B1191" s="8">
        <v>1189</v>
      </c>
      <c r="C1191" s="10">
        <v>33663</v>
      </c>
      <c r="D1191" s="6" t="str">
        <f t="shared" si="18"/>
        <v>Busan</v>
      </c>
      <c r="E1191" s="9" t="s">
        <v>1596</v>
      </c>
      <c r="F1191" s="9" t="s">
        <v>2261</v>
      </c>
    </row>
    <row r="1192" spans="2:6">
      <c r="B1192" s="8">
        <v>1190</v>
      </c>
      <c r="C1192" s="10">
        <v>86275</v>
      </c>
      <c r="D1192" s="6" t="str">
        <f t="shared" si="18"/>
        <v>Seoul</v>
      </c>
      <c r="E1192" s="9" t="s">
        <v>91</v>
      </c>
      <c r="F1192" s="9" t="s">
        <v>2262</v>
      </c>
    </row>
    <row r="1193" spans="2:6">
      <c r="B1193" s="8">
        <v>1191</v>
      </c>
      <c r="C1193" s="10">
        <v>33806</v>
      </c>
      <c r="D1193" s="6" t="str">
        <f t="shared" si="18"/>
        <v>Busan</v>
      </c>
      <c r="E1193" s="9" t="s">
        <v>1596</v>
      </c>
      <c r="F1193" s="9" t="s">
        <v>2263</v>
      </c>
    </row>
    <row r="1194" spans="2:6">
      <c r="B1194" s="8">
        <v>1192</v>
      </c>
      <c r="C1194" s="10">
        <v>33269</v>
      </c>
      <c r="D1194" s="6" t="str">
        <f t="shared" si="18"/>
        <v>Seoul</v>
      </c>
      <c r="E1194" s="9" t="s">
        <v>109</v>
      </c>
      <c r="F1194" s="9" t="s">
        <v>2264</v>
      </c>
    </row>
    <row r="1195" spans="2:6">
      <c r="B1195" s="8">
        <v>1193</v>
      </c>
      <c r="C1195" s="10">
        <v>84040</v>
      </c>
      <c r="D1195" s="6" t="s">
        <v>1157</v>
      </c>
      <c r="E1195" s="9" t="s">
        <v>2003</v>
      </c>
      <c r="F1195" s="9" t="s">
        <v>2265</v>
      </c>
    </row>
    <row r="1196" spans="2:6">
      <c r="B1196" s="8">
        <v>1194</v>
      </c>
      <c r="C1196" s="10">
        <v>86032</v>
      </c>
      <c r="D1196" s="6" t="s">
        <v>1157</v>
      </c>
      <c r="E1196" s="9" t="s">
        <v>2003</v>
      </c>
      <c r="F1196" s="9" t="s">
        <v>2266</v>
      </c>
    </row>
    <row r="1197" spans="2:6">
      <c r="B1197" s="8">
        <v>1195</v>
      </c>
      <c r="C1197" s="10">
        <v>83754</v>
      </c>
      <c r="D1197" s="6" t="str">
        <f t="shared" si="18"/>
        <v>Seoul</v>
      </c>
      <c r="E1197" s="9" t="s">
        <v>993</v>
      </c>
      <c r="F1197" s="9" t="s">
        <v>1222</v>
      </c>
    </row>
    <row r="1198" spans="2:6">
      <c r="B1198" s="8">
        <v>1196</v>
      </c>
      <c r="C1198" s="10">
        <v>86365</v>
      </c>
      <c r="D1198" s="6" t="str">
        <f t="shared" si="18"/>
        <v>Jeju</v>
      </c>
      <c r="E1198" s="9" t="s">
        <v>1690</v>
      </c>
      <c r="F1198" s="9" t="s">
        <v>2267</v>
      </c>
    </row>
    <row r="1199" spans="2:6">
      <c r="B1199" s="8">
        <v>1197</v>
      </c>
      <c r="C1199" s="10">
        <v>86368</v>
      </c>
      <c r="D1199" s="6" t="str">
        <f t="shared" si="18"/>
        <v>Seoul</v>
      </c>
      <c r="E1199" s="9" t="s">
        <v>432</v>
      </c>
      <c r="F1199" s="9" t="s">
        <v>1103</v>
      </c>
    </row>
    <row r="1200" spans="2:6">
      <c r="B1200" s="8">
        <v>1198</v>
      </c>
      <c r="C1200" s="10">
        <v>86363</v>
      </c>
      <c r="D1200" s="6" t="str">
        <f t="shared" si="18"/>
        <v>Seoul</v>
      </c>
      <c r="E1200" s="9" t="s">
        <v>91</v>
      </c>
      <c r="F1200" s="9" t="s">
        <v>2268</v>
      </c>
    </row>
    <row r="1201" spans="2:6">
      <c r="B1201" s="8">
        <v>1199</v>
      </c>
      <c r="C1201" s="10">
        <v>86411</v>
      </c>
      <c r="D1201" s="6" t="str">
        <f t="shared" si="18"/>
        <v>Daejeon</v>
      </c>
      <c r="E1201" s="9" t="s">
        <v>1870</v>
      </c>
      <c r="F1201" s="9" t="s">
        <v>2269</v>
      </c>
    </row>
    <row r="1202" spans="2:6">
      <c r="B1202" s="8">
        <v>1200</v>
      </c>
      <c r="C1202" s="10">
        <v>86409</v>
      </c>
      <c r="D1202" s="6" t="str">
        <f t="shared" si="18"/>
        <v>Seoul</v>
      </c>
      <c r="E1202" s="9" t="s">
        <v>993</v>
      </c>
      <c r="F1202" s="9" t="s">
        <v>2270</v>
      </c>
    </row>
    <row r="1203" spans="2:6">
      <c r="B1203" s="8">
        <v>1201</v>
      </c>
      <c r="C1203" s="10">
        <v>33338</v>
      </c>
      <c r="D1203" s="6" t="str">
        <f t="shared" si="18"/>
        <v>Seoul</v>
      </c>
      <c r="E1203" s="9" t="s">
        <v>432</v>
      </c>
      <c r="F1203" s="9" t="s">
        <v>2271</v>
      </c>
    </row>
    <row r="1204" spans="2:6">
      <c r="B1204" s="8">
        <v>1202</v>
      </c>
      <c r="C1204" s="10">
        <v>80372</v>
      </c>
      <c r="D1204" s="6" t="str">
        <f t="shared" si="18"/>
        <v>Seoul</v>
      </c>
      <c r="E1204" s="9" t="s">
        <v>993</v>
      </c>
      <c r="F1204" s="9" t="s">
        <v>2272</v>
      </c>
    </row>
    <row r="1205" spans="2:6">
      <c r="B1205" s="8">
        <v>1203</v>
      </c>
      <c r="C1205" s="10">
        <v>36580</v>
      </c>
      <c r="D1205" s="6" t="str">
        <f t="shared" si="18"/>
        <v>Seoul</v>
      </c>
      <c r="E1205" s="9" t="s">
        <v>105</v>
      </c>
      <c r="F1205" s="9" t="s">
        <v>2273</v>
      </c>
    </row>
    <row r="1206" spans="2:6">
      <c r="B1206" s="8">
        <v>1204</v>
      </c>
      <c r="C1206" s="10">
        <v>86424</v>
      </c>
      <c r="D1206" s="6" t="str">
        <f t="shared" si="18"/>
        <v>Seoul</v>
      </c>
      <c r="E1206" s="9" t="s">
        <v>1218</v>
      </c>
      <c r="F1206" s="9" t="s">
        <v>2274</v>
      </c>
    </row>
    <row r="1207" spans="2:6">
      <c r="B1207" s="8">
        <v>1205</v>
      </c>
      <c r="C1207" s="10">
        <v>86442</v>
      </c>
      <c r="D1207" s="6" t="str">
        <f t="shared" si="18"/>
        <v>Seoul</v>
      </c>
      <c r="E1207" s="9" t="s">
        <v>259</v>
      </c>
      <c r="F1207" s="9" t="s">
        <v>2275</v>
      </c>
    </row>
    <row r="1208" spans="2:6">
      <c r="B1208" s="8">
        <v>1206</v>
      </c>
      <c r="C1208" s="10">
        <v>86425</v>
      </c>
      <c r="D1208" s="6" t="str">
        <f t="shared" si="18"/>
        <v>Daegu</v>
      </c>
      <c r="E1208" s="9" t="s">
        <v>1724</v>
      </c>
      <c r="F1208" s="9" t="s">
        <v>2276</v>
      </c>
    </row>
    <row r="1209" spans="2:6">
      <c r="B1209" s="8">
        <v>1207</v>
      </c>
      <c r="C1209" s="10">
        <v>86464</v>
      </c>
      <c r="D1209" s="6" t="str">
        <f t="shared" si="18"/>
        <v>Seoul</v>
      </c>
      <c r="E1209" s="9" t="s">
        <v>993</v>
      </c>
      <c r="F1209" s="9" t="s">
        <v>2277</v>
      </c>
    </row>
    <row r="1210" spans="2:6">
      <c r="B1210" s="8">
        <v>1208</v>
      </c>
      <c r="C1210" s="10">
        <v>86468</v>
      </c>
      <c r="D1210" s="6" t="str">
        <f t="shared" si="18"/>
        <v>Daejeon</v>
      </c>
      <c r="E1210" s="9" t="s">
        <v>1870</v>
      </c>
      <c r="F1210" s="9" t="s">
        <v>2278</v>
      </c>
    </row>
    <row r="1211" spans="2:6">
      <c r="B1211" s="8">
        <v>1209</v>
      </c>
      <c r="C1211" s="10">
        <v>86484</v>
      </c>
      <c r="D1211" s="6" t="str">
        <f t="shared" si="18"/>
        <v>Seoul</v>
      </c>
      <c r="E1211" s="9" t="s">
        <v>91</v>
      </c>
      <c r="F1211" s="9" t="s">
        <v>2279</v>
      </c>
    </row>
    <row r="1212" spans="2:6">
      <c r="B1212" s="8">
        <v>1210</v>
      </c>
      <c r="C1212" s="10">
        <v>86486</v>
      </c>
      <c r="D1212" s="6" t="str">
        <f t="shared" si="18"/>
        <v>Seoul</v>
      </c>
      <c r="E1212" s="9" t="s">
        <v>259</v>
      </c>
      <c r="F1212" s="9" t="s">
        <v>2280</v>
      </c>
    </row>
    <row r="1213" spans="2:6">
      <c r="B1213" s="8">
        <v>1211</v>
      </c>
      <c r="C1213" s="10">
        <v>86459</v>
      </c>
      <c r="D1213" s="6" t="str">
        <f t="shared" si="18"/>
        <v>Daejeon</v>
      </c>
      <c r="E1213" s="9" t="s">
        <v>1870</v>
      </c>
      <c r="F1213" s="9" t="s">
        <v>2281</v>
      </c>
    </row>
    <row r="1214" spans="2:6">
      <c r="B1214" s="8">
        <v>1212</v>
      </c>
      <c r="C1214" s="10">
        <v>33105</v>
      </c>
      <c r="D1214" s="6" t="str">
        <f t="shared" si="18"/>
        <v>Seoul</v>
      </c>
      <c r="E1214" s="9" t="s">
        <v>993</v>
      </c>
      <c r="F1214" s="9" t="s">
        <v>2282</v>
      </c>
    </row>
    <row r="1215" spans="2:6">
      <c r="B1215" s="8">
        <v>1213</v>
      </c>
      <c r="C1215" s="10">
        <v>86463</v>
      </c>
      <c r="D1215" s="6" t="str">
        <f t="shared" si="18"/>
        <v>Daejeon</v>
      </c>
      <c r="E1215" s="9" t="s">
        <v>1870</v>
      </c>
      <c r="F1215" s="9" t="s">
        <v>2283</v>
      </c>
    </row>
    <row r="1216" spans="2:6">
      <c r="B1216" s="8">
        <v>1214</v>
      </c>
      <c r="C1216" s="10">
        <v>86500</v>
      </c>
      <c r="D1216" s="6" t="str">
        <f t="shared" si="18"/>
        <v>Seoul</v>
      </c>
      <c r="E1216" s="9" t="s">
        <v>109</v>
      </c>
      <c r="F1216" s="9" t="s">
        <v>2284</v>
      </c>
    </row>
    <row r="1217" spans="2:6">
      <c r="B1217" s="8">
        <v>1215</v>
      </c>
      <c r="C1217" s="10">
        <v>86546</v>
      </c>
      <c r="D1217" s="6" t="str">
        <f t="shared" si="18"/>
        <v>Seoul</v>
      </c>
      <c r="E1217" s="9" t="s">
        <v>993</v>
      </c>
      <c r="F1217" s="9" t="s">
        <v>2285</v>
      </c>
    </row>
    <row r="1218" spans="2:6">
      <c r="B1218" s="8">
        <v>1216</v>
      </c>
      <c r="C1218" s="10">
        <v>86469</v>
      </c>
      <c r="D1218" s="6" t="str">
        <f t="shared" si="18"/>
        <v>Daejeon</v>
      </c>
      <c r="E1218" s="9" t="s">
        <v>1870</v>
      </c>
      <c r="F1218" s="9" t="s">
        <v>2286</v>
      </c>
    </row>
    <row r="1219" spans="2:6">
      <c r="B1219" s="8">
        <v>1217</v>
      </c>
      <c r="C1219" s="10">
        <v>86531</v>
      </c>
      <c r="D1219" s="6" t="str">
        <f t="shared" si="18"/>
        <v>Busan</v>
      </c>
      <c r="E1219" s="9" t="s">
        <v>1596</v>
      </c>
      <c r="F1219" s="9" t="s">
        <v>2287</v>
      </c>
    </row>
    <row r="1220" spans="2:6">
      <c r="B1220" s="8">
        <v>1218</v>
      </c>
      <c r="C1220" s="10">
        <v>86560</v>
      </c>
      <c r="D1220" s="6" t="str">
        <f t="shared" ref="D1220:D1223" si="19">IFERROR(VLOOKUP(E1220,$H$3:$J$16,2,0),"")</f>
        <v>Seoul</v>
      </c>
      <c r="E1220" s="9" t="s">
        <v>259</v>
      </c>
      <c r="F1220" s="9" t="s">
        <v>2288</v>
      </c>
    </row>
    <row r="1221" spans="2:6">
      <c r="B1221" s="8">
        <v>1219</v>
      </c>
      <c r="C1221" s="11" t="s">
        <v>2289</v>
      </c>
      <c r="D1221" s="6" t="str">
        <f t="shared" si="19"/>
        <v>Seoul</v>
      </c>
      <c r="E1221" s="9" t="s">
        <v>1218</v>
      </c>
      <c r="F1221" s="9" t="s">
        <v>2290</v>
      </c>
    </row>
    <row r="1222" spans="2:6">
      <c r="B1222" s="8">
        <v>1220</v>
      </c>
      <c r="C1222" s="10">
        <v>86199</v>
      </c>
      <c r="D1222" s="6" t="s">
        <v>1157</v>
      </c>
      <c r="E1222" s="9" t="s">
        <v>2003</v>
      </c>
      <c r="F1222" s="10" t="s">
        <v>2291</v>
      </c>
    </row>
    <row r="1223" spans="2:6">
      <c r="B1223" s="8">
        <v>1221</v>
      </c>
      <c r="C1223" s="10">
        <v>86392</v>
      </c>
      <c r="D1223" s="6" t="str">
        <f t="shared" si="19"/>
        <v>Daegu</v>
      </c>
      <c r="E1223" s="9" t="s">
        <v>1724</v>
      </c>
      <c r="F1223" s="10" t="s">
        <v>2292</v>
      </c>
    </row>
  </sheetData>
  <mergeCells count="5">
    <mergeCell ref="B1:B2"/>
    <mergeCell ref="E1:E2"/>
    <mergeCell ref="C1:C2"/>
    <mergeCell ref="F1:F2"/>
    <mergeCell ref="D1:D2"/>
  </mergeCells>
  <phoneticPr fontId="3" type="noConversion"/>
  <conditionalFormatting sqref="C3:D3 D3:D1223">
    <cfRule type="duplicateValues" dxfId="38" priority="34"/>
    <cfRule type="duplicateValues" dxfId="37" priority="35"/>
    <cfRule type="duplicateValues" dxfId="36" priority="36"/>
    <cfRule type="duplicateValues" dxfId="35" priority="37"/>
    <cfRule type="duplicateValues" dxfId="34" priority="38"/>
    <cfRule type="duplicateValues" dxfId="33" priority="39"/>
  </conditionalFormatting>
  <conditionalFormatting sqref="C6:D6 C1222:D1223 C4:C5 C8:D1220 C7">
    <cfRule type="duplicateValues" dxfId="32" priority="40"/>
    <cfRule type="duplicateValues" dxfId="31" priority="41"/>
    <cfRule type="duplicateValues" dxfId="30" priority="42"/>
  </conditionalFormatting>
  <conditionalFormatting sqref="C1145:D1169">
    <cfRule type="duplicateValues" dxfId="29" priority="31"/>
    <cfRule type="duplicateValues" dxfId="28" priority="32"/>
    <cfRule type="duplicateValues" dxfId="27" priority="33"/>
  </conditionalFormatting>
  <conditionalFormatting sqref="C1170:D1220 C1222:D1223">
    <cfRule type="duplicateValues" dxfId="26" priority="43"/>
    <cfRule type="duplicateValues" dxfId="25" priority="44"/>
    <cfRule type="duplicateValues" dxfId="24" priority="45"/>
  </conditionalFormatting>
  <conditionalFormatting sqref="C1221:D1221">
    <cfRule type="duplicateValues" dxfId="23" priority="26"/>
    <cfRule type="duplicateValues" dxfId="22" priority="25"/>
    <cfRule type="duplicateValues" dxfId="21" priority="27"/>
  </conditionalFormatting>
  <conditionalFormatting sqref="D4"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</conditionalFormatting>
  <conditionalFormatting sqref="D5">
    <cfRule type="duplicateValues" dxfId="14" priority="15"/>
    <cfRule type="duplicateValues" dxfId="13" priority="16"/>
    <cfRule type="duplicateValues" dxfId="12" priority="17"/>
    <cfRule type="duplicateValues" dxfId="11" priority="18"/>
    <cfRule type="duplicateValues" dxfId="10" priority="13"/>
    <cfRule type="duplicateValues" dxfId="9" priority="14"/>
  </conditionalFormatting>
  <conditionalFormatting sqref="D7">
    <cfRule type="duplicateValues" dxfId="8" priority="6"/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</conditionalFormatting>
  <conditionalFormatting sqref="F926:F930 C926:D930">
    <cfRule type="duplicateValues" dxfId="2" priority="52"/>
    <cfRule type="duplicateValues" dxfId="1" priority="53"/>
    <cfRule type="duplicateValues" dxfId="0" priority="5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Seoul</vt:lpstr>
      <vt:lpstr>Busan</vt:lpstr>
      <vt:lpstr>Daegu</vt:lpstr>
      <vt:lpstr>Jeju</vt:lpstr>
      <vt:lpstr>Daejeon</vt:lpstr>
      <vt:lpstr>Gwangju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Gilho Lee</dc:creator>
  <cp:lastModifiedBy>user</cp:lastModifiedBy>
  <dcterms:created xsi:type="dcterms:W3CDTF">2026-03-17T02:42:58Z</dcterms:created>
  <dcterms:modified xsi:type="dcterms:W3CDTF">2026-04-03T05:30:50Z</dcterms:modified>
</cp:coreProperties>
</file>