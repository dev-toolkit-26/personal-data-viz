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IMS07\Downloads\"/>
    </mc:Choice>
  </mc:AlternateContent>
  <xr:revisionPtr revIDLastSave="0" documentId="13_ncr:1_{E14D1A1E-249C-4177-9D05-9A51501517B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총합" sheetId="1" r:id="rId1"/>
    <sheet name="월별 weight" sheetId="2" state="hidden" r:id="rId2"/>
    <sheet name="서울" sheetId="3" r:id="rId3"/>
    <sheet name="부산" sheetId="4" r:id="rId4"/>
    <sheet name="대전" sheetId="5" r:id="rId5"/>
    <sheet name="대구" sheetId="6" r:id="rId6"/>
    <sheet name="광주" sheetId="7" r:id="rId7"/>
  </sheets>
  <calcPr calcId="191029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7" l="1"/>
  <c r="O23" i="7"/>
  <c r="N23" i="7"/>
  <c r="M23" i="7"/>
  <c r="L23" i="7"/>
  <c r="K23" i="7"/>
  <c r="J23" i="7"/>
  <c r="I23" i="7"/>
  <c r="H23" i="7"/>
  <c r="G23" i="7"/>
  <c r="F23" i="7"/>
  <c r="E23" i="7"/>
  <c r="D23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P21" i="7"/>
  <c r="P24" i="7" s="1"/>
  <c r="O21" i="7"/>
  <c r="N21" i="7"/>
  <c r="M21" i="7"/>
  <c r="L21" i="7"/>
  <c r="L24" i="7" s="1"/>
  <c r="K21" i="7"/>
  <c r="J21" i="7"/>
  <c r="I21" i="7"/>
  <c r="I24" i="7" s="1"/>
  <c r="H21" i="7"/>
  <c r="H24" i="7" s="1"/>
  <c r="G21" i="7"/>
  <c r="F21" i="7"/>
  <c r="E21" i="7"/>
  <c r="E24" i="7" s="1"/>
  <c r="D21" i="7"/>
  <c r="D24" i="7" s="1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P18" i="7"/>
  <c r="O18" i="7"/>
  <c r="N18" i="7"/>
  <c r="M18" i="7"/>
  <c r="L18" i="7"/>
  <c r="K18" i="7"/>
  <c r="J18" i="7"/>
  <c r="I18" i="7"/>
  <c r="I30" i="1" s="1"/>
  <c r="H18" i="7"/>
  <c r="G18" i="7"/>
  <c r="F18" i="7"/>
  <c r="E18" i="7"/>
  <c r="D18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P16" i="7"/>
  <c r="O16" i="7"/>
  <c r="N16" i="7"/>
  <c r="N20" i="7" s="1"/>
  <c r="M16" i="7"/>
  <c r="M20" i="7" s="1"/>
  <c r="L16" i="7"/>
  <c r="K16" i="7"/>
  <c r="J16" i="7"/>
  <c r="I16" i="7"/>
  <c r="I20" i="7" s="1"/>
  <c r="H16" i="7"/>
  <c r="G16" i="7"/>
  <c r="F16" i="7"/>
  <c r="E16" i="7"/>
  <c r="D16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P9" i="7"/>
  <c r="O9" i="7"/>
  <c r="N9" i="7"/>
  <c r="N12" i="7" s="1"/>
  <c r="M9" i="7"/>
  <c r="M12" i="7" s="1"/>
  <c r="L9" i="7"/>
  <c r="K9" i="7"/>
  <c r="J9" i="7"/>
  <c r="J12" i="7" s="1"/>
  <c r="I9" i="7"/>
  <c r="H9" i="7"/>
  <c r="G9" i="7"/>
  <c r="F9" i="7"/>
  <c r="F12" i="7" s="1"/>
  <c r="E9" i="7"/>
  <c r="E12" i="7" s="1"/>
  <c r="D9" i="7"/>
  <c r="P7" i="7"/>
  <c r="O7" i="7"/>
  <c r="N7" i="7"/>
  <c r="M7" i="7"/>
  <c r="L7" i="7"/>
  <c r="K7" i="7"/>
  <c r="J7" i="7"/>
  <c r="I7" i="7"/>
  <c r="H7" i="7"/>
  <c r="G7" i="7"/>
  <c r="F7" i="7"/>
  <c r="E7" i="7"/>
  <c r="D7" i="7"/>
  <c r="P6" i="7"/>
  <c r="O6" i="7"/>
  <c r="N6" i="7"/>
  <c r="M6" i="7"/>
  <c r="L6" i="7"/>
  <c r="K6" i="7"/>
  <c r="J6" i="7"/>
  <c r="I6" i="7"/>
  <c r="H6" i="7"/>
  <c r="G6" i="7"/>
  <c r="F6" i="7"/>
  <c r="E6" i="7"/>
  <c r="D6" i="7"/>
  <c r="P5" i="7"/>
  <c r="O5" i="7"/>
  <c r="N5" i="7"/>
  <c r="M5" i="7"/>
  <c r="L5" i="7"/>
  <c r="K5" i="7"/>
  <c r="J5" i="7"/>
  <c r="I5" i="7"/>
  <c r="H5" i="7"/>
  <c r="G5" i="7"/>
  <c r="F5" i="7"/>
  <c r="E5" i="7"/>
  <c r="D5" i="7"/>
  <c r="P4" i="7"/>
  <c r="O4" i="7"/>
  <c r="N4" i="7"/>
  <c r="M4" i="7"/>
  <c r="L4" i="7"/>
  <c r="K4" i="7"/>
  <c r="K8" i="7" s="1"/>
  <c r="J4" i="7"/>
  <c r="J8" i="7" s="1"/>
  <c r="I4" i="7"/>
  <c r="H4" i="7"/>
  <c r="G4" i="7"/>
  <c r="F4" i="7"/>
  <c r="F8" i="7" s="1"/>
  <c r="E4" i="7"/>
  <c r="D4" i="7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P22" i="6"/>
  <c r="O22" i="6"/>
  <c r="N22" i="6"/>
  <c r="M22" i="6"/>
  <c r="L22" i="6"/>
  <c r="K22" i="6"/>
  <c r="J22" i="6"/>
  <c r="I22" i="6"/>
  <c r="H22" i="6"/>
  <c r="G22" i="6"/>
  <c r="F22" i="6"/>
  <c r="E22" i="6"/>
  <c r="E24" i="6" s="1"/>
  <c r="D22" i="6"/>
  <c r="P21" i="6"/>
  <c r="O21" i="6"/>
  <c r="O24" i="6" s="1"/>
  <c r="N21" i="6"/>
  <c r="N24" i="6" s="1"/>
  <c r="M21" i="6"/>
  <c r="M24" i="6" s="1"/>
  <c r="L21" i="6"/>
  <c r="L24" i="6" s="1"/>
  <c r="K21" i="6"/>
  <c r="K24" i="6" s="1"/>
  <c r="J21" i="6"/>
  <c r="J24" i="6" s="1"/>
  <c r="I21" i="6"/>
  <c r="H21" i="6"/>
  <c r="G21" i="6"/>
  <c r="F21" i="6"/>
  <c r="E21" i="6"/>
  <c r="D21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P16" i="6"/>
  <c r="P20" i="6" s="1"/>
  <c r="O16" i="6"/>
  <c r="O20" i="6" s="1"/>
  <c r="N16" i="6"/>
  <c r="M16" i="6"/>
  <c r="L16" i="6"/>
  <c r="K16" i="6"/>
  <c r="J16" i="6"/>
  <c r="I16" i="6"/>
  <c r="I20" i="6" s="1"/>
  <c r="H16" i="6"/>
  <c r="G16" i="6"/>
  <c r="G20" i="6" s="1"/>
  <c r="F16" i="6"/>
  <c r="F20" i="6" s="1"/>
  <c r="E16" i="6"/>
  <c r="E20" i="6" s="1"/>
  <c r="D16" i="6"/>
  <c r="D20" i="6" s="1"/>
  <c r="N12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P9" i="6"/>
  <c r="O9" i="6"/>
  <c r="N9" i="6"/>
  <c r="M9" i="6"/>
  <c r="L9" i="6"/>
  <c r="L12" i="6" s="1"/>
  <c r="K9" i="6"/>
  <c r="K12" i="6" s="1"/>
  <c r="J9" i="6"/>
  <c r="J12" i="6" s="1"/>
  <c r="I9" i="6"/>
  <c r="I12" i="6" s="1"/>
  <c r="H9" i="6"/>
  <c r="H12" i="6" s="1"/>
  <c r="G9" i="6"/>
  <c r="G12" i="6" s="1"/>
  <c r="F9" i="6"/>
  <c r="E9" i="6"/>
  <c r="D9" i="6"/>
  <c r="P7" i="6"/>
  <c r="O7" i="6"/>
  <c r="N7" i="6"/>
  <c r="M7" i="6"/>
  <c r="L7" i="6"/>
  <c r="K7" i="6"/>
  <c r="J7" i="6"/>
  <c r="I7" i="6"/>
  <c r="H7" i="6"/>
  <c r="G7" i="6"/>
  <c r="F7" i="6"/>
  <c r="E7" i="6"/>
  <c r="D7" i="6"/>
  <c r="P6" i="6"/>
  <c r="O6" i="6"/>
  <c r="N6" i="6"/>
  <c r="M6" i="6"/>
  <c r="L6" i="6"/>
  <c r="K6" i="6"/>
  <c r="J6" i="6"/>
  <c r="I6" i="6"/>
  <c r="H6" i="6"/>
  <c r="G6" i="6"/>
  <c r="F6" i="6"/>
  <c r="F8" i="6" s="1"/>
  <c r="E6" i="6"/>
  <c r="D6" i="6"/>
  <c r="P5" i="6"/>
  <c r="O5" i="6"/>
  <c r="N5" i="6"/>
  <c r="M5" i="6"/>
  <c r="L5" i="6"/>
  <c r="K5" i="6"/>
  <c r="J5" i="6"/>
  <c r="I5" i="6"/>
  <c r="H5" i="6"/>
  <c r="G5" i="6"/>
  <c r="F5" i="6"/>
  <c r="E5" i="6"/>
  <c r="D5" i="6"/>
  <c r="P4" i="6"/>
  <c r="P8" i="6" s="1"/>
  <c r="O4" i="6"/>
  <c r="O8" i="6" s="1"/>
  <c r="N4" i="6"/>
  <c r="N8" i="6" s="1"/>
  <c r="M4" i="6"/>
  <c r="M8" i="6" s="1"/>
  <c r="L4" i="6"/>
  <c r="L8" i="6" s="1"/>
  <c r="K4" i="6"/>
  <c r="J4" i="6"/>
  <c r="I4" i="6"/>
  <c r="H4" i="6"/>
  <c r="G4" i="6"/>
  <c r="F4" i="6"/>
  <c r="E4" i="6"/>
  <c r="D4" i="6"/>
  <c r="D8" i="6" s="1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P21" i="5"/>
  <c r="O21" i="5"/>
  <c r="O24" i="5" s="1"/>
  <c r="N21" i="5"/>
  <c r="N24" i="5" s="1"/>
  <c r="M21" i="5"/>
  <c r="M24" i="5" s="1"/>
  <c r="L21" i="5"/>
  <c r="L24" i="5" s="1"/>
  <c r="K21" i="5"/>
  <c r="K24" i="5" s="1"/>
  <c r="J21" i="5"/>
  <c r="I21" i="5"/>
  <c r="H21" i="5"/>
  <c r="G21" i="5"/>
  <c r="F21" i="5"/>
  <c r="E21" i="5"/>
  <c r="E24" i="5" s="1"/>
  <c r="D21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P16" i="5"/>
  <c r="P20" i="5" s="1"/>
  <c r="O16" i="5"/>
  <c r="O20" i="5" s="1"/>
  <c r="N16" i="5"/>
  <c r="M16" i="5"/>
  <c r="L16" i="5"/>
  <c r="K16" i="5"/>
  <c r="J16" i="5"/>
  <c r="I16" i="5"/>
  <c r="I20" i="5" s="1"/>
  <c r="H16" i="5"/>
  <c r="H20" i="5" s="1"/>
  <c r="G16" i="5"/>
  <c r="F16" i="5"/>
  <c r="E16" i="5"/>
  <c r="D16" i="5"/>
  <c r="D20" i="5" s="1"/>
  <c r="N12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P9" i="5"/>
  <c r="O9" i="5"/>
  <c r="N9" i="5"/>
  <c r="M9" i="5"/>
  <c r="L9" i="5"/>
  <c r="L12" i="5" s="1"/>
  <c r="K9" i="5"/>
  <c r="K12" i="5" s="1"/>
  <c r="J9" i="5"/>
  <c r="J12" i="5" s="1"/>
  <c r="I9" i="5"/>
  <c r="H9" i="5"/>
  <c r="G9" i="5"/>
  <c r="G12" i="5" s="1"/>
  <c r="F9" i="5"/>
  <c r="E9" i="5"/>
  <c r="D9" i="5"/>
  <c r="P7" i="5"/>
  <c r="O7" i="5"/>
  <c r="N7" i="5"/>
  <c r="M7" i="5"/>
  <c r="L7" i="5"/>
  <c r="K7" i="5"/>
  <c r="J7" i="5"/>
  <c r="I7" i="5"/>
  <c r="H7" i="5"/>
  <c r="G7" i="5"/>
  <c r="F7" i="5"/>
  <c r="E7" i="5"/>
  <c r="D7" i="5"/>
  <c r="P6" i="5"/>
  <c r="O6" i="5"/>
  <c r="N6" i="5"/>
  <c r="M6" i="5"/>
  <c r="L6" i="5"/>
  <c r="K6" i="5"/>
  <c r="J6" i="5"/>
  <c r="I6" i="5"/>
  <c r="H6" i="5"/>
  <c r="G6" i="5"/>
  <c r="F6" i="5"/>
  <c r="E6" i="5"/>
  <c r="D6" i="5"/>
  <c r="P5" i="5"/>
  <c r="O5" i="5"/>
  <c r="N5" i="5"/>
  <c r="M5" i="5"/>
  <c r="L5" i="5"/>
  <c r="K5" i="5"/>
  <c r="J5" i="5"/>
  <c r="I5" i="5"/>
  <c r="H5" i="5"/>
  <c r="G5" i="5"/>
  <c r="F5" i="5"/>
  <c r="E5" i="5"/>
  <c r="D5" i="5"/>
  <c r="P4" i="5"/>
  <c r="P8" i="5" s="1"/>
  <c r="O4" i="5"/>
  <c r="O8" i="5" s="1"/>
  <c r="N4" i="5"/>
  <c r="M4" i="5"/>
  <c r="M8" i="5" s="1"/>
  <c r="L4" i="5"/>
  <c r="L8" i="5" s="1"/>
  <c r="K4" i="5"/>
  <c r="J4" i="5"/>
  <c r="I4" i="5"/>
  <c r="H4" i="5"/>
  <c r="G4" i="5"/>
  <c r="F4" i="5"/>
  <c r="F8" i="5" s="1"/>
  <c r="E4" i="5"/>
  <c r="E8" i="5" s="1"/>
  <c r="D4" i="5"/>
  <c r="D8" i="5" s="1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P21" i="4"/>
  <c r="P24" i="4" s="1"/>
  <c r="O21" i="4"/>
  <c r="N21" i="4"/>
  <c r="M21" i="4"/>
  <c r="M24" i="4" s="1"/>
  <c r="L21" i="4"/>
  <c r="K21" i="4"/>
  <c r="J21" i="4"/>
  <c r="J24" i="4" s="1"/>
  <c r="I21" i="4"/>
  <c r="H21" i="4"/>
  <c r="G21" i="4"/>
  <c r="F21" i="4"/>
  <c r="E21" i="4"/>
  <c r="E24" i="4" s="1"/>
  <c r="D21" i="4"/>
  <c r="D24" i="4" s="1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P16" i="4"/>
  <c r="O16" i="4"/>
  <c r="N16" i="4"/>
  <c r="M16" i="4"/>
  <c r="L16" i="4"/>
  <c r="K16" i="4"/>
  <c r="J16" i="4"/>
  <c r="J20" i="4" s="1"/>
  <c r="I16" i="4"/>
  <c r="I20" i="4" s="1"/>
  <c r="H16" i="4"/>
  <c r="G16" i="4"/>
  <c r="F16" i="4"/>
  <c r="E16" i="4"/>
  <c r="D16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P9" i="4"/>
  <c r="O9" i="4"/>
  <c r="N9" i="4"/>
  <c r="M9" i="4"/>
  <c r="L9" i="4"/>
  <c r="K9" i="4"/>
  <c r="J9" i="4"/>
  <c r="J12" i="4" s="1"/>
  <c r="I9" i="4"/>
  <c r="H9" i="4"/>
  <c r="G9" i="4"/>
  <c r="F9" i="4"/>
  <c r="F12" i="4" s="1"/>
  <c r="E9" i="4"/>
  <c r="D9" i="4"/>
  <c r="P7" i="4"/>
  <c r="O7" i="4"/>
  <c r="N7" i="4"/>
  <c r="M7" i="4"/>
  <c r="L7" i="4"/>
  <c r="K7" i="4"/>
  <c r="J7" i="4"/>
  <c r="I7" i="4"/>
  <c r="H7" i="4"/>
  <c r="G7" i="4"/>
  <c r="F7" i="4"/>
  <c r="E7" i="4"/>
  <c r="D7" i="4"/>
  <c r="P6" i="4"/>
  <c r="O6" i="4"/>
  <c r="N6" i="4"/>
  <c r="M6" i="4"/>
  <c r="L6" i="4"/>
  <c r="K6" i="4"/>
  <c r="J6" i="4"/>
  <c r="I6" i="4"/>
  <c r="H6" i="4"/>
  <c r="G6" i="4"/>
  <c r="F6" i="4"/>
  <c r="E6" i="4"/>
  <c r="D6" i="4"/>
  <c r="P5" i="4"/>
  <c r="O5" i="4"/>
  <c r="N5" i="4"/>
  <c r="M5" i="4"/>
  <c r="L5" i="4"/>
  <c r="K5" i="4"/>
  <c r="J5" i="4"/>
  <c r="I5" i="4"/>
  <c r="H5" i="4"/>
  <c r="G5" i="4"/>
  <c r="G8" i="4" s="1"/>
  <c r="F5" i="4"/>
  <c r="E5" i="4"/>
  <c r="D5" i="4"/>
  <c r="P4" i="4"/>
  <c r="O4" i="4"/>
  <c r="N4" i="4"/>
  <c r="N8" i="4" s="1"/>
  <c r="M4" i="4"/>
  <c r="L4" i="4"/>
  <c r="K4" i="4"/>
  <c r="J4" i="4"/>
  <c r="I4" i="4"/>
  <c r="H4" i="4"/>
  <c r="G4" i="4"/>
  <c r="F4" i="4"/>
  <c r="E4" i="4"/>
  <c r="D4" i="4"/>
  <c r="D31" i="1"/>
  <c r="U60" i="7"/>
  <c r="U44" i="7"/>
  <c r="U28" i="7"/>
  <c r="U24" i="7"/>
  <c r="U13" i="7"/>
  <c r="U12" i="7"/>
  <c r="U8" i="7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P22" i="3"/>
  <c r="O22" i="3"/>
  <c r="N22" i="3"/>
  <c r="M22" i="3"/>
  <c r="L22" i="3"/>
  <c r="K22" i="3"/>
  <c r="J22" i="3"/>
  <c r="I22" i="3"/>
  <c r="H22" i="3"/>
  <c r="G22" i="3"/>
  <c r="F22" i="3"/>
  <c r="F24" i="3" s="1"/>
  <c r="E22" i="3"/>
  <c r="D22" i="3"/>
  <c r="P21" i="3"/>
  <c r="O21" i="3"/>
  <c r="O24" i="3" s="1"/>
  <c r="N21" i="3"/>
  <c r="M21" i="3"/>
  <c r="L21" i="3"/>
  <c r="K21" i="3"/>
  <c r="J21" i="3"/>
  <c r="I21" i="3"/>
  <c r="H21" i="3"/>
  <c r="H24" i="3" s="1"/>
  <c r="G21" i="3"/>
  <c r="F21" i="3"/>
  <c r="E21" i="3"/>
  <c r="D21" i="3"/>
  <c r="P19" i="3"/>
  <c r="O19" i="3"/>
  <c r="N19" i="3"/>
  <c r="M19" i="3"/>
  <c r="L19" i="3"/>
  <c r="K19" i="3"/>
  <c r="K20" i="3" s="1"/>
  <c r="J19" i="3"/>
  <c r="I19" i="3"/>
  <c r="H19" i="3"/>
  <c r="G19" i="3"/>
  <c r="F19" i="3"/>
  <c r="E19" i="3"/>
  <c r="D19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P17" i="3"/>
  <c r="O17" i="3"/>
  <c r="N17" i="3"/>
  <c r="M17" i="3"/>
  <c r="M20" i="3" s="1"/>
  <c r="L17" i="3"/>
  <c r="K17" i="3"/>
  <c r="J17" i="3"/>
  <c r="I17" i="3"/>
  <c r="H17" i="3"/>
  <c r="G17" i="3"/>
  <c r="F17" i="3"/>
  <c r="E17" i="3"/>
  <c r="D17" i="3"/>
  <c r="P16" i="3"/>
  <c r="O16" i="3"/>
  <c r="N16" i="3"/>
  <c r="N20" i="3" s="1"/>
  <c r="M16" i="3"/>
  <c r="L16" i="3"/>
  <c r="L20" i="3" s="1"/>
  <c r="K16" i="3"/>
  <c r="J16" i="3"/>
  <c r="J20" i="3" s="1"/>
  <c r="I16" i="3"/>
  <c r="H16" i="3"/>
  <c r="G16" i="3"/>
  <c r="F16" i="3"/>
  <c r="E16" i="3"/>
  <c r="D16" i="3"/>
  <c r="P11" i="3"/>
  <c r="P12" i="3" s="1"/>
  <c r="O11" i="3"/>
  <c r="N11" i="3"/>
  <c r="M11" i="3"/>
  <c r="L11" i="3"/>
  <c r="K11" i="3"/>
  <c r="J11" i="3"/>
  <c r="I11" i="3"/>
  <c r="H11" i="3"/>
  <c r="G11" i="3"/>
  <c r="F11" i="3"/>
  <c r="E11" i="3"/>
  <c r="D11" i="3"/>
  <c r="D12" i="3" s="1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P9" i="3"/>
  <c r="O9" i="3"/>
  <c r="O12" i="3" s="1"/>
  <c r="N9" i="3"/>
  <c r="N12" i="3" s="1"/>
  <c r="M9" i="3"/>
  <c r="L9" i="3"/>
  <c r="K9" i="3"/>
  <c r="J9" i="3"/>
  <c r="J12" i="3" s="1"/>
  <c r="I9" i="3"/>
  <c r="H9" i="3"/>
  <c r="H12" i="3" s="1"/>
  <c r="G9" i="3"/>
  <c r="F9" i="3"/>
  <c r="E9" i="3"/>
  <c r="D9" i="3"/>
  <c r="P7" i="3"/>
  <c r="O7" i="3"/>
  <c r="N7" i="3"/>
  <c r="M7" i="3"/>
  <c r="L7" i="3"/>
  <c r="K7" i="3"/>
  <c r="J7" i="3"/>
  <c r="I7" i="3"/>
  <c r="H7" i="3"/>
  <c r="G7" i="3"/>
  <c r="F7" i="3"/>
  <c r="E7" i="3"/>
  <c r="D7" i="3"/>
  <c r="P6" i="3"/>
  <c r="O6" i="3"/>
  <c r="N6" i="3"/>
  <c r="M6" i="3"/>
  <c r="L6" i="3"/>
  <c r="K6" i="3"/>
  <c r="J6" i="3"/>
  <c r="I6" i="3"/>
  <c r="H6" i="3"/>
  <c r="G6" i="3"/>
  <c r="F6" i="3"/>
  <c r="E6" i="3"/>
  <c r="D6" i="3"/>
  <c r="P5" i="3"/>
  <c r="O5" i="3"/>
  <c r="N5" i="3"/>
  <c r="M5" i="3"/>
  <c r="L5" i="3"/>
  <c r="K5" i="3"/>
  <c r="J5" i="3"/>
  <c r="I5" i="3"/>
  <c r="H5" i="3"/>
  <c r="G5" i="3"/>
  <c r="F5" i="3"/>
  <c r="E5" i="3"/>
  <c r="D5" i="3"/>
  <c r="P4" i="3"/>
  <c r="P8" i="3" s="1"/>
  <c r="O4" i="3"/>
  <c r="O8" i="3" s="1"/>
  <c r="N4" i="3"/>
  <c r="M4" i="3"/>
  <c r="M8" i="3" s="1"/>
  <c r="L4" i="3"/>
  <c r="K4" i="3"/>
  <c r="J4" i="3"/>
  <c r="I4" i="3"/>
  <c r="H4" i="3"/>
  <c r="G4" i="3"/>
  <c r="F4" i="3"/>
  <c r="E4" i="3"/>
  <c r="E8" i="3" s="1"/>
  <c r="D4" i="3"/>
  <c r="D8" i="3" s="1"/>
  <c r="O9" i="2"/>
  <c r="N9" i="2"/>
  <c r="M9" i="2"/>
  <c r="L9" i="2"/>
  <c r="K9" i="2"/>
  <c r="J9" i="2"/>
  <c r="I9" i="2"/>
  <c r="H9" i="2"/>
  <c r="G9" i="2"/>
  <c r="F9" i="2"/>
  <c r="E9" i="2"/>
  <c r="D9" i="2"/>
  <c r="O5" i="2"/>
  <c r="N5" i="2"/>
  <c r="M5" i="2"/>
  <c r="L5" i="2"/>
  <c r="K5" i="2"/>
  <c r="J5" i="2"/>
  <c r="I5" i="2"/>
  <c r="H5" i="2"/>
  <c r="G5" i="2"/>
  <c r="F5" i="2"/>
  <c r="E5" i="2"/>
  <c r="D5" i="2"/>
  <c r="O4" i="2"/>
  <c r="N4" i="2"/>
  <c r="M4" i="2"/>
  <c r="L4" i="2"/>
  <c r="K4" i="2"/>
  <c r="J4" i="2"/>
  <c r="I4" i="2"/>
  <c r="H4" i="2"/>
  <c r="G4" i="2"/>
  <c r="F4" i="2"/>
  <c r="E4" i="2"/>
  <c r="D4" i="2"/>
  <c r="O3" i="2"/>
  <c r="N3" i="2"/>
  <c r="M3" i="2"/>
  <c r="L3" i="2"/>
  <c r="K3" i="2"/>
  <c r="J3" i="2"/>
  <c r="I3" i="2"/>
  <c r="H3" i="2"/>
  <c r="G3" i="2"/>
  <c r="F3" i="2"/>
  <c r="E3" i="2"/>
  <c r="D3" i="2"/>
  <c r="O34" i="1" l="1"/>
  <c r="G31" i="1"/>
  <c r="P34" i="1"/>
  <c r="H8" i="7"/>
  <c r="O12" i="7"/>
  <c r="G24" i="7"/>
  <c r="J29" i="1"/>
  <c r="H31" i="1"/>
  <c r="D12" i="7"/>
  <c r="J20" i="7"/>
  <c r="L28" i="1"/>
  <c r="N11" i="1"/>
  <c r="L8" i="7"/>
  <c r="G12" i="7"/>
  <c r="O20" i="7"/>
  <c r="J24" i="7"/>
  <c r="F31" i="1"/>
  <c r="P33" i="1"/>
  <c r="D34" i="1"/>
  <c r="I8" i="7"/>
  <c r="P12" i="7"/>
  <c r="L20" i="7"/>
  <c r="H12" i="7"/>
  <c r="D20" i="7"/>
  <c r="P20" i="7"/>
  <c r="K24" i="7"/>
  <c r="E30" i="1"/>
  <c r="I29" i="1"/>
  <c r="F32" i="1"/>
  <c r="K28" i="1"/>
  <c r="G8" i="7"/>
  <c r="K20" i="7"/>
  <c r="F24" i="7"/>
  <c r="M8" i="7"/>
  <c r="M8" i="1" s="1"/>
  <c r="N8" i="7"/>
  <c r="I12" i="7"/>
  <c r="E20" i="7"/>
  <c r="M24" i="7"/>
  <c r="N24" i="7"/>
  <c r="O8" i="7"/>
  <c r="F20" i="7"/>
  <c r="D8" i="7"/>
  <c r="P8" i="7"/>
  <c r="K12" i="7"/>
  <c r="G20" i="7"/>
  <c r="K29" i="1"/>
  <c r="E8" i="7"/>
  <c r="L12" i="7"/>
  <c r="H20" i="7"/>
  <c r="O24" i="7"/>
  <c r="M11" i="1"/>
  <c r="E8" i="6"/>
  <c r="H20" i="6"/>
  <c r="M12" i="6"/>
  <c r="D24" i="6"/>
  <c r="P24" i="6"/>
  <c r="J8" i="6"/>
  <c r="I8" i="6"/>
  <c r="H8" i="6"/>
  <c r="G8" i="6"/>
  <c r="E12" i="6"/>
  <c r="D12" i="6"/>
  <c r="P12" i="6"/>
  <c r="O12" i="6"/>
  <c r="M20" i="6"/>
  <c r="L20" i="6"/>
  <c r="K20" i="6"/>
  <c r="J20" i="6"/>
  <c r="H24" i="6"/>
  <c r="G24" i="6"/>
  <c r="F24" i="6"/>
  <c r="K8" i="6"/>
  <c r="F12" i="6"/>
  <c r="N20" i="6"/>
  <c r="I24" i="6"/>
  <c r="M12" i="5"/>
  <c r="D24" i="5"/>
  <c r="P24" i="5"/>
  <c r="J8" i="5"/>
  <c r="I8" i="5"/>
  <c r="H8" i="5"/>
  <c r="G8" i="5"/>
  <c r="E12" i="5"/>
  <c r="D12" i="5"/>
  <c r="P12" i="5"/>
  <c r="O12" i="5"/>
  <c r="M20" i="5"/>
  <c r="L20" i="5"/>
  <c r="K20" i="5"/>
  <c r="J20" i="5"/>
  <c r="H24" i="5"/>
  <c r="G24" i="5"/>
  <c r="F24" i="5"/>
  <c r="P31" i="1"/>
  <c r="K8" i="5"/>
  <c r="F12" i="5"/>
  <c r="N20" i="5"/>
  <c r="I24" i="5"/>
  <c r="J24" i="5"/>
  <c r="N8" i="5"/>
  <c r="I12" i="5"/>
  <c r="E20" i="5"/>
  <c r="F20" i="5"/>
  <c r="G20" i="5"/>
  <c r="G20" i="4"/>
  <c r="K10" i="1"/>
  <c r="J11" i="1"/>
  <c r="O12" i="4"/>
  <c r="N12" i="4"/>
  <c r="M6" i="1"/>
  <c r="N24" i="4"/>
  <c r="I24" i="4"/>
  <c r="G29" i="1"/>
  <c r="M34" i="1"/>
  <c r="N33" i="1"/>
  <c r="K8" i="4"/>
  <c r="G12" i="4"/>
  <c r="O24" i="4"/>
  <c r="L8" i="4"/>
  <c r="H12" i="4"/>
  <c r="L24" i="4"/>
  <c r="M8" i="4"/>
  <c r="I12" i="4"/>
  <c r="E20" i="4"/>
  <c r="O8" i="4"/>
  <c r="D20" i="4"/>
  <c r="P20" i="4"/>
  <c r="K24" i="4"/>
  <c r="I8" i="4"/>
  <c r="E12" i="4"/>
  <c r="P12" i="4"/>
  <c r="P12" i="1" s="1"/>
  <c r="F24" i="4"/>
  <c r="I28" i="1"/>
  <c r="N20" i="4"/>
  <c r="K20" i="4"/>
  <c r="H24" i="4"/>
  <c r="H8" i="4"/>
  <c r="M20" i="4"/>
  <c r="G24" i="4"/>
  <c r="N10" i="1"/>
  <c r="J28" i="1"/>
  <c r="E8" i="4"/>
  <c r="L12" i="4"/>
  <c r="K12" i="4"/>
  <c r="J8" i="4"/>
  <c r="D12" i="4"/>
  <c r="O9" i="1"/>
  <c r="L20" i="4"/>
  <c r="G32" i="1"/>
  <c r="E34" i="1"/>
  <c r="F20" i="4"/>
  <c r="F8" i="4"/>
  <c r="F8" i="1" s="1"/>
  <c r="D8" i="4"/>
  <c r="P8" i="4"/>
  <c r="P8" i="1" s="1"/>
  <c r="M12" i="4"/>
  <c r="H20" i="4"/>
  <c r="H9" i="1"/>
  <c r="G28" i="1"/>
  <c r="F29" i="1"/>
  <c r="M5" i="1"/>
  <c r="L6" i="1"/>
  <c r="D29" i="1"/>
  <c r="R29" i="1" s="1"/>
  <c r="N29" i="1"/>
  <c r="L31" i="1"/>
  <c r="I11" i="1"/>
  <c r="H28" i="1"/>
  <c r="E28" i="1"/>
  <c r="K7" i="1"/>
  <c r="H10" i="1"/>
  <c r="G11" i="1"/>
  <c r="O28" i="1"/>
  <c r="P29" i="1"/>
  <c r="H12" i="5"/>
  <c r="I5" i="1"/>
  <c r="L7" i="1"/>
  <c r="H32" i="1"/>
  <c r="F10" i="1"/>
  <c r="E11" i="1"/>
  <c r="L29" i="1"/>
  <c r="J31" i="1"/>
  <c r="G10" i="1"/>
  <c r="F11" i="1"/>
  <c r="G9" i="1"/>
  <c r="P6" i="1"/>
  <c r="O7" i="1"/>
  <c r="N4" i="1"/>
  <c r="G4" i="1"/>
  <c r="O20" i="4"/>
  <c r="E5" i="1"/>
  <c r="D6" i="1"/>
  <c r="G30" i="1"/>
  <c r="H4" i="1"/>
  <c r="G5" i="1"/>
  <c r="F6" i="1"/>
  <c r="E7" i="1"/>
  <c r="E33" i="1"/>
  <c r="H30" i="1"/>
  <c r="I9" i="1"/>
  <c r="E31" i="1"/>
  <c r="O32" i="1"/>
  <c r="L35" i="1"/>
  <c r="N35" i="1"/>
  <c r="M35" i="1"/>
  <c r="K35" i="1"/>
  <c r="M28" i="1"/>
  <c r="G7" i="1"/>
  <c r="K30" i="1"/>
  <c r="E10" i="1"/>
  <c r="I34" i="1"/>
  <c r="K4" i="1"/>
  <c r="I6" i="1"/>
  <c r="H7" i="1"/>
  <c r="N30" i="1"/>
  <c r="M31" i="1"/>
  <c r="F34" i="1"/>
  <c r="K5" i="1"/>
  <c r="J6" i="1"/>
  <c r="I7" i="1"/>
  <c r="K34" i="1"/>
  <c r="E9" i="1"/>
  <c r="K6" i="1"/>
  <c r="J7" i="1"/>
  <c r="P30" i="1"/>
  <c r="O31" i="1"/>
  <c r="N32" i="1"/>
  <c r="M33" i="1"/>
  <c r="L34" i="1"/>
  <c r="H6" i="1"/>
  <c r="K9" i="1"/>
  <c r="J10" i="1"/>
  <c r="D32" i="1"/>
  <c r="P32" i="1"/>
  <c r="O33" i="1"/>
  <c r="N34" i="1"/>
  <c r="P4" i="1"/>
  <c r="O5" i="1"/>
  <c r="N6" i="1"/>
  <c r="M7" i="1"/>
  <c r="H29" i="1"/>
  <c r="D5" i="1"/>
  <c r="P5" i="1"/>
  <c r="O6" i="1"/>
  <c r="N7" i="1"/>
  <c r="L10" i="1"/>
  <c r="K11" i="1"/>
  <c r="J35" i="1"/>
  <c r="L8" i="3"/>
  <c r="D4" i="1"/>
  <c r="R4" i="1" s="1"/>
  <c r="G12" i="3"/>
  <c r="G24" i="3"/>
  <c r="N31" i="1"/>
  <c r="L32" i="1"/>
  <c r="N8" i="3"/>
  <c r="H34" i="1"/>
  <c r="D33" i="1"/>
  <c r="E6" i="1"/>
  <c r="D7" i="1"/>
  <c r="P7" i="1"/>
  <c r="J34" i="1"/>
  <c r="D11" i="1"/>
  <c r="F8" i="3"/>
  <c r="L12" i="3"/>
  <c r="N28" i="1"/>
  <c r="M12" i="3"/>
  <c r="I20" i="3"/>
  <c r="I35" i="1" s="1"/>
  <c r="G6" i="1"/>
  <c r="F7" i="1"/>
  <c r="M10" i="1"/>
  <c r="L11" i="1"/>
  <c r="G33" i="1"/>
  <c r="J4" i="1"/>
  <c r="G8" i="3"/>
  <c r="K8" i="3"/>
  <c r="E24" i="3"/>
  <c r="L4" i="1"/>
  <c r="D10" i="1"/>
  <c r="P10" i="1"/>
  <c r="O11" i="1"/>
  <c r="M4" i="1"/>
  <c r="E29" i="1"/>
  <c r="E20" i="3"/>
  <c r="E35" i="1" s="1"/>
  <c r="J33" i="1"/>
  <c r="F28" i="1"/>
  <c r="F20" i="3"/>
  <c r="F35" i="1" s="1"/>
  <c r="F43" i="1" s="1"/>
  <c r="D30" i="1"/>
  <c r="O4" i="1"/>
  <c r="H8" i="3"/>
  <c r="K32" i="1"/>
  <c r="K24" i="3"/>
  <c r="O10" i="1"/>
  <c r="F33" i="1"/>
  <c r="I8" i="3"/>
  <c r="F30" i="1"/>
  <c r="M32" i="1"/>
  <c r="M24" i="3"/>
  <c r="L24" i="3"/>
  <c r="L33" i="1"/>
  <c r="F5" i="1"/>
  <c r="J8" i="3"/>
  <c r="J5" i="1"/>
  <c r="I4" i="1"/>
  <c r="H5" i="1"/>
  <c r="N9" i="1"/>
  <c r="N12" i="1"/>
  <c r="J30" i="1"/>
  <c r="I33" i="1"/>
  <c r="I31" i="1"/>
  <c r="L5" i="1"/>
  <c r="P9" i="1"/>
  <c r="E32" i="1"/>
  <c r="E12" i="3"/>
  <c r="K33" i="1"/>
  <c r="L30" i="1"/>
  <c r="P11" i="1"/>
  <c r="D8" i="1"/>
  <c r="J9" i="1"/>
  <c r="F12" i="3"/>
  <c r="F9" i="1"/>
  <c r="D9" i="1"/>
  <c r="N5" i="1"/>
  <c r="J12" i="1"/>
  <c r="I12" i="3"/>
  <c r="I10" i="1"/>
  <c r="H11" i="1"/>
  <c r="D20" i="3"/>
  <c r="D35" i="1" s="1"/>
  <c r="D28" i="1"/>
  <c r="P20" i="3"/>
  <c r="P35" i="1" s="1"/>
  <c r="P28" i="1"/>
  <c r="O29" i="1"/>
  <c r="O20" i="3"/>
  <c r="O35" i="1" s="1"/>
  <c r="I24" i="3"/>
  <c r="H33" i="1"/>
  <c r="J24" i="3"/>
  <c r="E4" i="1"/>
  <c r="I32" i="1"/>
  <c r="F4" i="1"/>
  <c r="L9" i="1"/>
  <c r="K31" i="1"/>
  <c r="J32" i="1"/>
  <c r="K12" i="3"/>
  <c r="N24" i="3"/>
  <c r="M9" i="1"/>
  <c r="M30" i="1"/>
  <c r="G20" i="3"/>
  <c r="G35" i="1" s="1"/>
  <c r="M29" i="1"/>
  <c r="G34" i="1"/>
  <c r="O30" i="1"/>
  <c r="H20" i="3"/>
  <c r="H35" i="1" s="1"/>
  <c r="D24" i="3"/>
  <c r="P24" i="3"/>
  <c r="E42" i="1" l="1"/>
  <c r="H12" i="1"/>
  <c r="O8" i="1"/>
  <c r="D12" i="1"/>
  <c r="E8" i="1"/>
  <c r="D45" i="1"/>
  <c r="G8" i="1"/>
  <c r="K8" i="1"/>
  <c r="F12" i="1"/>
  <c r="F21" i="1" s="1"/>
  <c r="O12" i="1"/>
  <c r="I8" i="1"/>
  <c r="E12" i="1"/>
  <c r="E24" i="1" s="1"/>
  <c r="K12" i="1"/>
  <c r="M12" i="1"/>
  <c r="F41" i="1"/>
  <c r="I12" i="1"/>
  <c r="N8" i="1"/>
  <c r="G12" i="1"/>
  <c r="E40" i="1"/>
  <c r="F40" i="1"/>
  <c r="D19" i="1"/>
  <c r="F44" i="1"/>
  <c r="L8" i="1"/>
  <c r="D43" i="1"/>
  <c r="L12" i="1"/>
  <c r="F20" i="1"/>
  <c r="F19" i="1"/>
  <c r="F18" i="1"/>
  <c r="D24" i="1"/>
  <c r="D22" i="1"/>
  <c r="D23" i="1"/>
  <c r="E20" i="1"/>
  <c r="E19" i="1"/>
  <c r="E43" i="1"/>
  <c r="E17" i="1"/>
  <c r="E46" i="1"/>
  <c r="E39" i="1"/>
  <c r="E41" i="1"/>
  <c r="D20" i="1"/>
  <c r="D16" i="1"/>
  <c r="D21" i="1"/>
  <c r="R9" i="1"/>
  <c r="H8" i="1"/>
  <c r="D40" i="1"/>
  <c r="D46" i="1"/>
  <c r="D42" i="1"/>
  <c r="D44" i="1"/>
  <c r="E44" i="1"/>
  <c r="E45" i="1"/>
  <c r="D41" i="1"/>
  <c r="E18" i="1"/>
  <c r="F17" i="1"/>
  <c r="F46" i="1"/>
  <c r="F42" i="1"/>
  <c r="F16" i="1"/>
  <c r="R28" i="1"/>
  <c r="D39" i="1"/>
  <c r="E16" i="1"/>
  <c r="F24" i="1"/>
  <c r="F22" i="1"/>
  <c r="F23" i="1"/>
  <c r="F39" i="1"/>
  <c r="D17" i="1"/>
  <c r="F45" i="1"/>
  <c r="J8" i="1"/>
  <c r="D18" i="1"/>
  <c r="E22" i="1" l="1"/>
  <c r="E23" i="1"/>
  <c r="E21" i="1"/>
</calcChain>
</file>

<file path=xl/sharedStrings.xml><?xml version="1.0" encoding="utf-8"?>
<sst xmlns="http://schemas.openxmlformats.org/spreadsheetml/2006/main" count="2549" uniqueCount="114">
  <si>
    <t>1. Bottle market (Sales volume)</t>
  </si>
  <si>
    <t>[unit : c/s]</t>
  </si>
  <si>
    <t>SKU</t>
  </si>
  <si>
    <t>Y2025</t>
  </si>
  <si>
    <t>Jan'26</t>
  </si>
  <si>
    <t>Feb'26</t>
  </si>
  <si>
    <t>Mar'26</t>
  </si>
  <si>
    <t>Apr'26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</si>
  <si>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</si>
  <si>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</si>
  <si>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</si>
  <si>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</si>
  <si>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</si>
  <si>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</si>
  <si>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</si>
  <si>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</si>
  <si>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Western</t>
  </si>
  <si>
    <t>Heineken 33cl bottle</t>
  </si>
  <si>
    <t>Stellar 33cl bottle</t>
  </si>
  <si>
    <t>Bud 33cl bottle</t>
  </si>
  <si>
    <t>Corona 33cl bottle</t>
  </si>
  <si>
    <t>Total</t>
  </si>
  <si>
    <t>Chinese</t>
  </si>
  <si>
    <t>Sulwha 50cl bottle</t>
  </si>
  <si>
    <t>Harbin 50cl &amp; 64cl bottle</t>
  </si>
  <si>
    <t>Tsingtao 64cl bottle</t>
  </si>
  <si>
    <t>1-1. Bottle market (Market share)</t>
  </si>
  <si>
    <t>[단위:케이스]</t>
  </si>
  <si>
    <t>2. Draught market (Sales volume)</t>
  </si>
  <si>
    <t>Lager</t>
  </si>
  <si>
    <t>Heineken 8L</t>
  </si>
  <si>
    <t>Heineken 20L</t>
  </si>
  <si>
    <t>Stellar 20L</t>
  </si>
  <si>
    <t>Asahi 10L &amp; 19L</t>
  </si>
  <si>
    <t>Wheat</t>
  </si>
  <si>
    <t>Paulaner 20L</t>
  </si>
  <si>
    <t>Hoegaarden 20L</t>
  </si>
  <si>
    <t>Blanc 20L &amp; 30L</t>
  </si>
  <si>
    <t>2-1. Draught market (Market share)</t>
  </si>
  <si>
    <t>Draught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</si>
  <si>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</si>
  <si>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</si>
  <si>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</si>
  <si>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</si>
  <si>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</si>
  <si>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</si>
  <si>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</si>
  <si>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</si>
  <si>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</si>
  <si>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</si>
  <si>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</si>
  <si>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</si>
  <si>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</si>
  <si>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Chinease</t>
  </si>
  <si>
    <t>HKR</t>
  </si>
  <si>
    <t>ABI</t>
  </si>
  <si>
    <t>1. Bottle market</t>
  </si>
  <si>
    <t>[단위:QTY]</t>
  </si>
  <si>
    <t>3. WS List (22)</t>
  </si>
  <si>
    <t>WS</t>
  </si>
  <si>
    <t>원천종합</t>
  </si>
  <si>
    <t>Stellar 12L &amp; 20L</t>
  </si>
  <si>
    <t>2. Draught market</t>
  </si>
  <si>
    <t>중앙종합</t>
  </si>
  <si>
    <t>신합상사</t>
  </si>
  <si>
    <t>포도의왕</t>
  </si>
  <si>
    <t>미소주류(중국계)</t>
  </si>
  <si>
    <t>세계수원</t>
  </si>
  <si>
    <t>현대주류</t>
  </si>
  <si>
    <t>서영주류</t>
  </si>
  <si>
    <t>중국주류(중국계)</t>
  </si>
  <si>
    <t>해동주류</t>
  </si>
  <si>
    <t>신내주류</t>
  </si>
  <si>
    <t>송화주류</t>
  </si>
  <si>
    <t>청도코리아(중국계)</t>
  </si>
  <si>
    <t>대진주류</t>
  </si>
  <si>
    <t>태양주류</t>
  </si>
  <si>
    <t>서정주류(중국계)</t>
  </si>
  <si>
    <t>대정</t>
  </si>
  <si>
    <t>세계주류 신림</t>
  </si>
  <si>
    <t>정현종합주류</t>
  </si>
  <si>
    <t>세계주류㈜춘천</t>
  </si>
  <si>
    <t>충청주류상사㈜</t>
  </si>
  <si>
    <t>청주주류상사㈜</t>
  </si>
  <si>
    <t>보은주류합동㈜</t>
  </si>
  <si>
    <t>아성주류상사㈜</t>
  </si>
  <si>
    <t>대덕상사㈜</t>
  </si>
  <si>
    <t>동서주류상사㈜</t>
  </si>
  <si>
    <t>세계주류상사(주)대구</t>
  </si>
  <si>
    <t>에스엠종합주류</t>
  </si>
  <si>
    <t>대성주류상사(주)</t>
  </si>
  <si>
    <t>세계물산주식회사</t>
  </si>
  <si>
    <t>제일주류주식회사</t>
  </si>
  <si>
    <t>대림주류유통(주)</t>
  </si>
  <si>
    <t>(합)호담주류</t>
  </si>
  <si>
    <t>동천(주)</t>
  </si>
  <si>
    <t>디오니</t>
  </si>
  <si>
    <t>고창주류</t>
  </si>
  <si>
    <t>대일주류</t>
  </si>
  <si>
    <t>강남종합주류</t>
  </si>
  <si>
    <t>(유)일신중국주류</t>
  </si>
  <si>
    <t>포도분당</t>
    <phoneticPr fontId="1" type="noConversion"/>
  </si>
  <si>
    <t>Stellar 33cl bottle</t>
    <phoneticPr fontId="1" type="noConversion"/>
  </si>
  <si>
    <t>북창기업</t>
    <phoneticPr fontId="1" type="noConversion"/>
  </si>
  <si>
    <t>3. WS List</t>
    <phoneticPr fontId="1" type="noConversion"/>
  </si>
  <si>
    <t>부성주류㈜</t>
  </si>
  <si>
    <t>동래상사㈜</t>
  </si>
  <si>
    <t>삼진㈜</t>
  </si>
  <si>
    <t>신세계수입주류 합자회사</t>
  </si>
  <si>
    <t>예원 합자회사</t>
  </si>
  <si>
    <t>세계주류(주)마산</t>
  </si>
  <si>
    <t>홍익주류합자회사</t>
  </si>
  <si>
    <t>(주)세화주류</t>
  </si>
  <si>
    <t>신일주류(유)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</si>
</sst>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Aptos Narrow"/>
      <family val="2"/>
    </font>
    <font>
      <b/>
      <sz val="12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2" fillId="0" borderId="0"/>
    <xf numFmtId="9" fontId="2" fillId="0" borderId="0">
      <alignment vertical="center"/>
    </xf>
  </cellStyleXfs>
  <cellXfs count="6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0" xfId="0" applyAlignment="1">
      <alignment horizontal="right" vertical="center"/>
    </xf>
    <xf numFmtId="0" fontId="0" fillId="0" borderId="2" xfId="0" applyBorder="1">
      <alignment vertical="center"/>
    </xf>
    <xf numFmtId="0" fontId="0" fillId="2" borderId="5" xfId="0" applyFill="1" applyBorder="1">
      <alignment vertical="center"/>
    </xf>
    <xf numFmtId="0" fontId="0" fillId="3" borderId="9" xfId="0" applyFill="1" applyBorder="1">
      <alignment vertical="center"/>
    </xf>
    <xf numFmtId="0" fontId="0" fillId="2" borderId="5" xfId="0" applyFill="1" applyBorder="1" applyAlignment="1">
      <alignment horizontal="center" vertical="center"/>
    </xf>
    <xf numFmtId="41" fontId="0" fillId="3" borderId="1" xfId="1" applyFont="1" applyFill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3" fillId="0" borderId="11" xfId="0" applyFont="1" applyBorder="1">
      <alignment vertical="center"/>
    </xf>
    <xf numFmtId="41" fontId="0" fillId="0" borderId="0" xfId="1" applyFont="1" applyAlignment="1">
      <alignment horizontal="center" vertical="center"/>
    </xf>
    <xf numFmtId="176" fontId="0" fillId="0" borderId="1" xfId="2" applyNumberFormat="1" applyFont="1" applyBorder="1" applyAlignment="1">
      <alignment horizontal="center" vertical="center"/>
    </xf>
    <xf numFmtId="176" fontId="0" fillId="3" borderId="1" xfId="2" applyNumberFormat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5" borderId="5" xfId="0" applyFill="1" applyBorder="1">
      <alignment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6" borderId="9" xfId="0" applyFill="1" applyBorder="1">
      <alignment vertical="center"/>
    </xf>
    <xf numFmtId="0" fontId="0" fillId="6" borderId="1" xfId="0" applyFill="1" applyBorder="1">
      <alignment vertical="center"/>
    </xf>
    <xf numFmtId="41" fontId="0" fillId="6" borderId="1" xfId="1" applyFont="1" applyFill="1" applyBorder="1" applyAlignment="1">
      <alignment horizontal="center" vertical="center"/>
    </xf>
    <xf numFmtId="176" fontId="0" fillId="4" borderId="1" xfId="2" applyNumberFormat="1" applyFont="1" applyFill="1" applyBorder="1" applyAlignment="1">
      <alignment horizontal="center" vertical="center"/>
    </xf>
    <xf numFmtId="176" fontId="0" fillId="6" borderId="1" xfId="2" applyNumberFormat="1" applyFont="1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4" fillId="0" borderId="0" xfId="0" applyFont="1">
      <alignment vertical="center"/>
    </xf>
    <xf numFmtId="9" fontId="0" fillId="0" borderId="0" xfId="0" applyNumberFormat="1">
      <alignment vertical="center"/>
    </xf>
    <xf numFmtId="41" fontId="0" fillId="0" borderId="0" xfId="1" applyFont="1" applyAlignment="1">
      <alignment vertical="center"/>
    </xf>
    <xf numFmtId="41" fontId="0" fillId="0" borderId="0" xfId="0" applyNumberFormat="1">
      <alignment vertical="center"/>
    </xf>
    <xf numFmtId="176" fontId="0" fillId="0" borderId="0" xfId="2" applyNumberFormat="1" applyFont="1">
      <alignment vertical="center"/>
    </xf>
    <xf numFmtId="0" fontId="0" fillId="3" borderId="0" xfId="0" applyFill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41" fontId="0" fillId="7" borderId="1" xfId="1" applyFont="1" applyFill="1" applyBorder="1" applyAlignment="1">
      <alignment horizontal="center" vertical="center"/>
    </xf>
    <xf numFmtId="41" fontId="3" fillId="0" borderId="11" xfId="1" applyFont="1" applyBorder="1" applyAlignment="1">
      <alignment vertical="center"/>
    </xf>
    <xf numFmtId="9" fontId="0" fillId="0" borderId="0" xfId="2" applyFont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3" xfId="0" applyBorder="1">
      <alignment vertical="center"/>
    </xf>
    <xf numFmtId="0" fontId="0" fillId="0" borderId="0" xfId="0" applyAlignment="1"/>
    <xf numFmtId="0" fontId="2" fillId="0" borderId="2" xfId="0" applyFont="1" applyBorder="1">
      <alignment vertical="center"/>
    </xf>
    <xf numFmtId="41" fontId="2" fillId="0" borderId="1" xfId="0" applyNumberFormat="1" applyFont="1" applyBorder="1" applyAlignment="1">
      <alignment horizontal="center" vertical="center"/>
    </xf>
    <xf numFmtId="41" fontId="2" fillId="3" borderId="1" xfId="0" applyNumberFormat="1" applyFont="1" applyFill="1" applyBorder="1" applyAlignment="1">
      <alignment horizontal="center" vertical="center"/>
    </xf>
    <xf numFmtId="41" fontId="2" fillId="7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1" fontId="3" fillId="0" borderId="11" xfId="0" applyNumberFormat="1" applyFont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/>
    <xf numFmtId="0" fontId="0" fillId="0" borderId="14" xfId="0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4" borderId="9" xfId="0" applyFill="1" applyBorder="1" applyAlignment="1">
      <alignment horizontal="center" vertical="center"/>
    </xf>
    <xf numFmtId="0" fontId="0" fillId="0" borderId="11" xfId="0" applyBorder="1" applyAlignment="1"/>
    <xf numFmtId="0" fontId="0" fillId="0" borderId="1" xfId="0" applyBorder="1" applyAlignment="1">
      <alignment horizontal="center" vertical="center"/>
    </xf>
    <xf numFmtId="0" fontId="0" fillId="0" borderId="10" xfId="0" applyBorder="1" applyAlignment="1"/>
    <xf numFmtId="0" fontId="0" fillId="0" borderId="9" xfId="0" applyBorder="1" applyAlignment="1"/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/>
    <xf numFmtId="0" fontId="0" fillId="0" borderId="8" xfId="0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46"/>
  <sheetViews>
    <sheetView showGridLines="0" tabSelected="1" zoomScaleNormal="100" workbookViewId="0">
      <selection activeCell="D29" sqref="D29"/>
    </sheetView>
  </sheetViews>
  <sheetFormatPr defaultRowHeight="21" customHeight="1"/>
  <cols>
    <col min="1" max="1" width="2.25" style="43" customWidth="1"/>
    <col min="2" max="2" width="17.25" style="43" customWidth="1"/>
    <col min="3" max="3" width="23.08203125" style="43" bestFit="1" customWidth="1"/>
    <col min="4" max="4" width="10.75" style="1" bestFit="1" customWidth="1"/>
    <col min="5" max="16" width="9" style="1" customWidth="1"/>
  </cols>
  <sheetData>
    <row r="2" spans="2:18" ht="21" customHeight="1">
      <c r="B2" s="28" t="s">
        <v>0</v>
      </c>
      <c r="P2" s="7" t="s">
        <v>1</v>
      </c>
    </row>
    <row r="3" spans="2:18" ht="21" customHeight="1">
      <c r="B3" s="9"/>
      <c r="C3" s="4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</row>
    <row r="4" spans="2:18" ht="21" customHeight="1">
      <c r="B4" s="52" t="s">
        <v>16</v>
      </c>
      <c r="C4" s="8" t="s">
        <v>17</v>
      </c>
      <c r="D4" s="13">
        <f>서울!D4+부산!D4+대전!D4+대구!D4+광주!D4</f>
        <v>47973</v>
      </c>
      <c r="E4" s="13">
        <f>서울!E4+부산!E4+대전!E4+대구!E4+광주!E4</f>
        <v>1911</v>
      </c>
      <c r="F4" s="13">
        <f>서울!F4+부산!F4+대전!F4+대구!F4+광주!F4</f>
        <v>2803</v>
      </c>
      <c r="G4" s="13">
        <f>서울!G4+부산!G4+대전!G4+대구!G4+광주!G4</f>
        <v>0</v>
      </c>
      <c r="H4" s="13">
        <f>서울!H4+부산!H4+대전!H4+대구!H4+광주!H4</f>
        <v>0</v>
      </c>
      <c r="I4" s="13">
        <f>서울!I4+부산!I4+대전!I4+대구!I4+광주!I4</f>
        <v>0</v>
      </c>
      <c r="J4" s="13">
        <f>서울!J4+부산!J4+대전!J4+대구!J4+광주!J4</f>
        <v>0</v>
      </c>
      <c r="K4" s="13">
        <f>서울!K4+부산!K4+대전!K4+대구!K4+광주!K4</f>
        <v>0</v>
      </c>
      <c r="L4" s="13">
        <f>서울!L4+부산!L4+대전!L4+대구!L4+광주!L4</f>
        <v>0</v>
      </c>
      <c r="M4" s="13">
        <f>서울!M4+부산!M4+대전!M4+대구!M4+광주!M4</f>
        <v>0</v>
      </c>
      <c r="N4" s="13">
        <f>서울!N4+부산!N4+대전!N4+대구!N4+광주!N4</f>
        <v>0</v>
      </c>
      <c r="O4" s="13">
        <f>서울!O4+부산!O4+대전!O4+대구!O4+광주!O4</f>
        <v>0</v>
      </c>
      <c r="P4" s="13">
        <f>서울!P4+부산!P4+대전!P4+대구!P4+광주!P4</f>
        <v>0</v>
      </c>
      <c r="R4" s="37">
        <f>D4/152878</f>
        <v>0.31379923860856368</v>
      </c>
    </row>
    <row r="5" spans="2:18" ht="21" customHeight="1">
      <c r="B5" s="53"/>
      <c r="C5" s="8" t="s">
        <v>18</v>
      </c>
      <c r="D5" s="13">
        <f>서울!D5+부산!D5+대전!D5+대구!D5+광주!D5</f>
        <v>29646</v>
      </c>
      <c r="E5" s="13">
        <f>서울!E5+부산!E5+대전!E5+대구!E5+광주!E5</f>
        <v>1926</v>
      </c>
      <c r="F5" s="13">
        <f>서울!F5+부산!F5+대전!F5+대구!F5+광주!F5</f>
        <v>2054</v>
      </c>
      <c r="G5" s="13">
        <f>서울!G5+부산!G5+대전!G5+대구!G5+광주!G5</f>
        <v>0</v>
      </c>
      <c r="H5" s="13">
        <f>서울!H5+부산!H5+대전!H5+대구!H5+광주!H5</f>
        <v>0</v>
      </c>
      <c r="I5" s="13">
        <f>서울!I5+부산!I5+대전!I5+대구!I5+광주!I5</f>
        <v>0</v>
      </c>
      <c r="J5" s="13">
        <f>서울!J5+부산!J5+대전!J5+대구!J5+광주!J5</f>
        <v>0</v>
      </c>
      <c r="K5" s="13">
        <f>서울!K5+부산!K5+대전!K5+대구!K5+광주!K5</f>
        <v>0</v>
      </c>
      <c r="L5" s="13">
        <f>서울!L5+부산!L5+대전!L5+대구!L5+광주!L5</f>
        <v>0</v>
      </c>
      <c r="M5" s="13">
        <f>서울!M5+부산!M5+대전!M5+대구!M5+광주!M5</f>
        <v>0</v>
      </c>
      <c r="N5" s="13">
        <f>서울!N5+부산!N5+대전!N5+대구!N5+광주!N5</f>
        <v>0</v>
      </c>
      <c r="O5" s="13">
        <f>서울!O5+부산!O5+대전!O5+대구!O5+광주!O5</f>
        <v>0</v>
      </c>
      <c r="P5" s="13">
        <f>서울!P5+부산!P5+대전!P5+대구!P5+광주!P5</f>
        <v>0</v>
      </c>
    </row>
    <row r="6" spans="2:18" ht="21" customHeight="1">
      <c r="B6" s="53"/>
      <c r="C6" s="8" t="s">
        <v>19</v>
      </c>
      <c r="D6" s="13">
        <f>서울!D6+부산!D6+대전!D6+대구!D6+광주!D6</f>
        <v>107897</v>
      </c>
      <c r="E6" s="13">
        <f>서울!E6+부산!E6+대전!E6+대구!E6+광주!E6</f>
        <v>6326</v>
      </c>
      <c r="F6" s="13">
        <f>서울!F6+부산!F6+대전!F6+대구!F6+광주!F6</f>
        <v>6806</v>
      </c>
      <c r="G6" s="13">
        <f>서울!G6+부산!G6+대전!G6+대구!G6+광주!G6</f>
        <v>0</v>
      </c>
      <c r="H6" s="13">
        <f>서울!H6+부산!H6+대전!H6+대구!H6+광주!H6</f>
        <v>0</v>
      </c>
      <c r="I6" s="13">
        <f>서울!I6+부산!I6+대전!I6+대구!I6+광주!I6</f>
        <v>0</v>
      </c>
      <c r="J6" s="13">
        <f>서울!J6+부산!J6+대전!J6+대구!J6+광주!J6</f>
        <v>0</v>
      </c>
      <c r="K6" s="13">
        <f>서울!K6+부산!K6+대전!K6+대구!K6+광주!K6</f>
        <v>0</v>
      </c>
      <c r="L6" s="13">
        <f>서울!L6+부산!L6+대전!L6+대구!L6+광주!L6</f>
        <v>0</v>
      </c>
      <c r="M6" s="13">
        <f>서울!M6+부산!M6+대전!M6+대구!M6+광주!M6</f>
        <v>0</v>
      </c>
      <c r="N6" s="13">
        <f>서울!N6+부산!N6+대전!N6+대구!N6+광주!N6</f>
        <v>0</v>
      </c>
      <c r="O6" s="13">
        <f>서울!O6+부산!O6+대전!O6+대구!O6+광주!O6</f>
        <v>0</v>
      </c>
      <c r="P6" s="13">
        <f>서울!P6+부산!P6+대전!P6+대구!P6+광주!P6</f>
        <v>0</v>
      </c>
    </row>
    <row r="7" spans="2:18" ht="21" customHeight="1">
      <c r="B7" s="54"/>
      <c r="C7" s="8" t="s">
        <v>20</v>
      </c>
      <c r="D7" s="13">
        <f>서울!D7+부산!D7+대전!D7+대구!D7+광주!D7</f>
        <v>59502</v>
      </c>
      <c r="E7" s="13">
        <f>서울!E7+부산!E7+대전!E7+대구!E7+광주!E7</f>
        <v>4096</v>
      </c>
      <c r="F7" s="13">
        <f>서울!F7+부산!F7+대전!F7+대구!F7+광주!F7</f>
        <v>4389</v>
      </c>
      <c r="G7" s="13">
        <f>서울!G7+부산!G7+대전!G7+대구!G7+광주!G7</f>
        <v>0</v>
      </c>
      <c r="H7" s="13">
        <f>서울!H7+부산!H7+대전!H7+대구!H7+광주!H7</f>
        <v>0</v>
      </c>
      <c r="I7" s="13">
        <f>서울!I7+부산!I7+대전!I7+대구!I7+광주!I7</f>
        <v>0</v>
      </c>
      <c r="J7" s="13">
        <f>서울!J7+부산!J7+대전!J7+대구!J7+광주!J7</f>
        <v>0</v>
      </c>
      <c r="K7" s="13">
        <f>서울!K7+부산!K7+대전!K7+대구!K7+광주!K7</f>
        <v>0</v>
      </c>
      <c r="L7" s="13">
        <f>서울!L7+부산!L7+대전!L7+대구!L7+광주!L7</f>
        <v>0</v>
      </c>
      <c r="M7" s="13">
        <f>서울!M7+부산!M7+대전!M7+대구!M7+광주!M7</f>
        <v>0</v>
      </c>
      <c r="N7" s="13">
        <f>서울!N7+부산!N7+대전!N7+대구!N7+광주!N7</f>
        <v>0</v>
      </c>
      <c r="O7" s="13">
        <f>서울!O7+부산!O7+대전!O7+대구!O7+광주!O7</f>
        <v>0</v>
      </c>
      <c r="P7" s="13">
        <f>서울!P7+부산!P7+대전!P7+대구!P7+광주!P7</f>
        <v>0</v>
      </c>
    </row>
    <row r="8" spans="2:18" ht="21" customHeight="1">
      <c r="B8" s="55" t="s">
        <v>21</v>
      </c>
      <c r="C8" s="56"/>
      <c r="D8" s="18">
        <f>서울!D8+부산!D8+대전!D8+대구!D8+광주!D8</f>
        <v>245018</v>
      </c>
      <c r="E8" s="18">
        <f>서울!E8+부산!E8+대전!E8+대구!E8+광주!E8</f>
        <v>14259</v>
      </c>
      <c r="F8" s="18">
        <f>서울!F8+부산!F8+대전!F8+대구!F8+광주!F8</f>
        <v>16052</v>
      </c>
      <c r="G8" s="18">
        <f>서울!G8+부산!G8+대전!G8+대구!G8+광주!G8</f>
        <v>0</v>
      </c>
      <c r="H8" s="18">
        <f>서울!H8+부산!H8+대전!H8+대구!H8+광주!H8</f>
        <v>0</v>
      </c>
      <c r="I8" s="18">
        <f>서울!I8+부산!I8+대전!I8+대구!I8+광주!I8</f>
        <v>0</v>
      </c>
      <c r="J8" s="18">
        <f>서울!J8+부산!J8+대전!J8+대구!J8+광주!J8</f>
        <v>0</v>
      </c>
      <c r="K8" s="18">
        <f>서울!K8+부산!K8+대전!K8+대구!K8+광주!K8</f>
        <v>0</v>
      </c>
      <c r="L8" s="18">
        <f>서울!L8+부산!L8+대전!L8+대구!L8+광주!L8</f>
        <v>0</v>
      </c>
      <c r="M8" s="18">
        <f>서울!M8+부산!M8+대전!M8+대구!M8+광주!M8</f>
        <v>0</v>
      </c>
      <c r="N8" s="18">
        <f>서울!N8+부산!N8+대전!N8+대구!N8+광주!N8</f>
        <v>0</v>
      </c>
      <c r="O8" s="18">
        <f>서울!O8+부산!O8+대전!O8+대구!O8+광주!O8</f>
        <v>0</v>
      </c>
      <c r="P8" s="18">
        <f>서울!P8+부산!P8+대전!P8+대구!P8+광주!P8</f>
        <v>0</v>
      </c>
    </row>
    <row r="9" spans="2:18" ht="21" customHeight="1">
      <c r="B9" s="57" t="s">
        <v>22</v>
      </c>
      <c r="C9" s="2" t="s">
        <v>23</v>
      </c>
      <c r="D9" s="13">
        <f>서울!D9+부산!D9+대전!D9+대구!D9+광주!D9</f>
        <v>9199</v>
      </c>
      <c r="E9" s="13">
        <f>서울!E9+부산!E9+대전!E9+대구!E9+광주!E9</f>
        <v>750.2</v>
      </c>
      <c r="F9" s="13">
        <f>서울!F9+부산!F9+대전!F9+대구!F9+광주!F9</f>
        <v>873</v>
      </c>
      <c r="G9" s="13">
        <f>서울!G9+부산!G9+대전!G9+대구!G9+광주!G9</f>
        <v>0</v>
      </c>
      <c r="H9" s="13">
        <f>서울!H9+부산!H9+대전!H9+대구!H9+광주!H9</f>
        <v>0</v>
      </c>
      <c r="I9" s="13">
        <f>서울!I9+부산!I9+대전!I9+대구!I9+광주!I9</f>
        <v>0</v>
      </c>
      <c r="J9" s="13">
        <f>서울!J9+부산!J9+대전!J9+대구!J9+광주!J9</f>
        <v>0</v>
      </c>
      <c r="K9" s="13">
        <f>서울!K9+부산!K9+대전!K9+대구!K9+광주!K9</f>
        <v>0</v>
      </c>
      <c r="L9" s="13">
        <f>서울!L9+부산!L9+대전!L9+대구!L9+광주!L9</f>
        <v>0</v>
      </c>
      <c r="M9" s="13">
        <f>서울!M9+부산!M9+대전!M9+대구!M9+광주!M9</f>
        <v>0</v>
      </c>
      <c r="N9" s="13">
        <f>서울!N9+부산!N9+대전!N9+대구!N9+광주!N9</f>
        <v>0</v>
      </c>
      <c r="O9" s="13">
        <f>서울!O9+부산!O9+대전!O9+대구!O9+광주!O9</f>
        <v>0</v>
      </c>
      <c r="P9" s="13">
        <f>서울!P9+부산!P9+대전!P9+대구!P9+광주!P9</f>
        <v>0</v>
      </c>
      <c r="R9" s="37">
        <f>D9/19116</f>
        <v>0.4812199204854572</v>
      </c>
    </row>
    <row r="10" spans="2:18" ht="21" customHeight="1">
      <c r="B10" s="58"/>
      <c r="C10" s="2" t="s">
        <v>24</v>
      </c>
      <c r="D10" s="13">
        <f>서울!D10+부산!D10+대전!D10+대구!D10+광주!D10</f>
        <v>51637</v>
      </c>
      <c r="E10" s="13">
        <f>서울!E10+부산!E10+대전!E10+대구!E10+광주!E10</f>
        <v>3785</v>
      </c>
      <c r="F10" s="13">
        <f>서울!F10+부산!F10+대전!F10+대구!F10+광주!F10</f>
        <v>4594</v>
      </c>
      <c r="G10" s="13">
        <f>서울!G10+부산!G10+대전!G10+대구!G10+광주!G10</f>
        <v>0</v>
      </c>
      <c r="H10" s="13">
        <f>서울!H10+부산!H10+대전!H10+대구!H10+광주!H10</f>
        <v>0</v>
      </c>
      <c r="I10" s="13">
        <f>서울!I10+부산!I10+대전!I10+대구!I10+광주!I10</f>
        <v>0</v>
      </c>
      <c r="J10" s="13">
        <f>서울!J10+부산!J10+대전!J10+대구!J10+광주!J10</f>
        <v>0</v>
      </c>
      <c r="K10" s="13">
        <f>서울!K10+부산!K10+대전!K10+대구!K10+광주!K10</f>
        <v>0</v>
      </c>
      <c r="L10" s="13">
        <f>서울!L10+부산!L10+대전!L10+대구!L10+광주!L10</f>
        <v>0</v>
      </c>
      <c r="M10" s="13">
        <f>서울!M10+부산!M10+대전!M10+대구!M10+광주!M10</f>
        <v>0</v>
      </c>
      <c r="N10" s="13">
        <f>서울!N10+부산!N10+대전!N10+대구!N10+광주!N10</f>
        <v>0</v>
      </c>
      <c r="O10" s="13">
        <f>서울!O10+부산!O10+대전!O10+대구!O10+광주!O10</f>
        <v>0</v>
      </c>
      <c r="P10" s="13">
        <f>서울!P10+부산!P10+대전!P10+대구!P10+광주!P10</f>
        <v>0</v>
      </c>
    </row>
    <row r="11" spans="2:18" ht="21" customHeight="1">
      <c r="B11" s="59"/>
      <c r="C11" s="2" t="s">
        <v>25</v>
      </c>
      <c r="D11" s="13">
        <f>서울!D11+부산!D11+대전!D11+대구!D11+광주!D11</f>
        <v>183825</v>
      </c>
      <c r="E11" s="13">
        <f>서울!E11+부산!E11+대전!E11+대구!E11+광주!E11</f>
        <v>15511</v>
      </c>
      <c r="F11" s="13">
        <f>서울!F11+부산!F11+대전!F11+대구!F11+광주!F11</f>
        <v>16264</v>
      </c>
      <c r="G11" s="13">
        <f>서울!G11+부산!G11+대전!G11+대구!G11+광주!G11</f>
        <v>0</v>
      </c>
      <c r="H11" s="13">
        <f>서울!H11+부산!H11+대전!H11+대구!H11+광주!H11</f>
        <v>0</v>
      </c>
      <c r="I11" s="13">
        <f>서울!I11+부산!I11+대전!I11+대구!I11+광주!I11</f>
        <v>0</v>
      </c>
      <c r="J11" s="13">
        <f>서울!J11+부산!J11+대전!J11+대구!J11+광주!J11</f>
        <v>0</v>
      </c>
      <c r="K11" s="13">
        <f>서울!K11+부산!K11+대전!K11+대구!K11+광주!K11</f>
        <v>0</v>
      </c>
      <c r="L11" s="13">
        <f>서울!L11+부산!L11+대전!L11+대구!L11+광주!L11</f>
        <v>0</v>
      </c>
      <c r="M11" s="13">
        <f>서울!M11+부산!M11+대전!M11+대구!M11+광주!M11</f>
        <v>0</v>
      </c>
      <c r="N11" s="13">
        <f>서울!N11+부산!N11+대전!N11+대구!N11+광주!N11</f>
        <v>0</v>
      </c>
      <c r="O11" s="13">
        <f>서울!O11+부산!O11+대전!O11+대구!O11+광주!O11</f>
        <v>0</v>
      </c>
      <c r="P11" s="13">
        <f>서울!P11+부산!P11+대전!P11+대구!P11+광주!P11</f>
        <v>0</v>
      </c>
    </row>
    <row r="12" spans="2:18" ht="21" customHeight="1">
      <c r="B12" s="50" t="s">
        <v>21</v>
      </c>
      <c r="C12" s="51"/>
      <c r="D12" s="18">
        <f>서울!D12+부산!D12+대전!D12+대구!D12+광주!D12</f>
        <v>244661</v>
      </c>
      <c r="E12" s="18">
        <f>서울!E12+부산!E12+대전!E12+대구!E12+광주!E12</f>
        <v>20046.2</v>
      </c>
      <c r="F12" s="18">
        <f>서울!F12+부산!F12+대전!F12+대구!F12+광주!F12</f>
        <v>21731</v>
      </c>
      <c r="G12" s="18">
        <f>서울!G12+부산!G12+대전!G12+대구!G12+광주!G12</f>
        <v>0</v>
      </c>
      <c r="H12" s="18">
        <f>서울!H12+부산!H12+대전!H12+대구!H12+광주!H12</f>
        <v>0</v>
      </c>
      <c r="I12" s="18">
        <f>서울!I12+부산!I12+대전!I12+대구!I12+광주!I12</f>
        <v>0</v>
      </c>
      <c r="J12" s="18">
        <f>서울!J12+부산!J12+대전!J12+대구!J12+광주!J12</f>
        <v>0</v>
      </c>
      <c r="K12" s="18">
        <f>서울!K12+부산!K12+대전!K12+대구!K12+광주!K12</f>
        <v>0</v>
      </c>
      <c r="L12" s="18">
        <f>서울!L12+부산!L12+대전!L12+대구!L12+광주!L12</f>
        <v>0</v>
      </c>
      <c r="M12" s="18">
        <f>서울!M12+부산!M12+대전!M12+대구!M12+광주!M12</f>
        <v>0</v>
      </c>
      <c r="N12" s="18">
        <f>서울!N12+부산!N12+대전!N12+대구!N12+광주!N12</f>
        <v>0</v>
      </c>
      <c r="O12" s="18">
        <f>서울!O12+부산!O12+대전!O12+대구!O12+광주!O12</f>
        <v>0</v>
      </c>
      <c r="P12" s="18">
        <f>서울!P12+부산!P12+대전!P12+대구!P12+광주!P12</f>
        <v>0</v>
      </c>
    </row>
    <row r="13" spans="2:18" ht="21" customHeight="1">
      <c r="D13" s="15"/>
    </row>
    <row r="14" spans="2:18" ht="21" customHeight="1">
      <c r="B14" s="28" t="s">
        <v>26</v>
      </c>
      <c r="P14" s="7" t="s">
        <v>27</v>
      </c>
    </row>
    <row r="15" spans="2:18" ht="21" customHeight="1">
      <c r="B15" s="9"/>
      <c r="C15" s="4" t="s">
        <v>2</v>
      </c>
      <c r="D15" s="5" t="s">
        <v>3</v>
      </c>
      <c r="E15" s="5" t="s">
        <v>4</v>
      </c>
      <c r="F15" s="5" t="s">
        <v>5</v>
      </c>
      <c r="G15" s="5" t="s">
        <v>6</v>
      </c>
      <c r="H15" s="5" t="s">
        <v>7</v>
      </c>
      <c r="I15" s="5" t="s">
        <v>8</v>
      </c>
      <c r="J15" s="5" t="s">
        <v>9</v>
      </c>
      <c r="K15" s="5" t="s">
        <v>10</v>
      </c>
      <c r="L15" s="5" t="s">
        <v>11</v>
      </c>
      <c r="M15" s="5" t="s">
        <v>12</v>
      </c>
      <c r="N15" s="5" t="s">
        <v>13</v>
      </c>
      <c r="O15" s="5" t="s">
        <v>14</v>
      </c>
      <c r="P15" s="5" t="s">
        <v>15</v>
      </c>
    </row>
    <row r="16" spans="2:18" ht="21" customHeight="1">
      <c r="B16" s="52" t="s">
        <v>16</v>
      </c>
      <c r="C16" s="27" t="s">
        <v>17</v>
      </c>
      <c r="D16" s="17">
        <f>D4/$D$8</f>
        <v>0.19579377841627962</v>
      </c>
      <c r="E16" s="17">
        <f>E4/$E$8</f>
        <v>0.13402061855670103</v>
      </c>
      <c r="F16" s="17">
        <f>F4/$F$8</f>
        <v>0.17461998504859208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2:18" ht="21" customHeight="1">
      <c r="B17" s="53"/>
      <c r="C17" s="8" t="s">
        <v>18</v>
      </c>
      <c r="D17" s="16">
        <f>D5/$D$8</f>
        <v>0.12099519218996155</v>
      </c>
      <c r="E17" s="16">
        <f>E5/$E$8</f>
        <v>0.13507258573532505</v>
      </c>
      <c r="F17" s="16">
        <f>F5/$F$8</f>
        <v>0.1279591328183404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2:18" ht="21" customHeight="1">
      <c r="B18" s="53"/>
      <c r="C18" s="8" t="s">
        <v>19</v>
      </c>
      <c r="D18" s="16">
        <f>D6/$D$8</f>
        <v>0.44036356512582747</v>
      </c>
      <c r="E18" s="16">
        <f>E6/$E$8</f>
        <v>0.44364962479837294</v>
      </c>
      <c r="F18" s="16">
        <f>F6/$F$8</f>
        <v>0.42399700971841514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2:18" ht="21" customHeight="1">
      <c r="B19" s="54"/>
      <c r="C19" s="8" t="s">
        <v>20</v>
      </c>
      <c r="D19" s="16">
        <f>D7/$D$8</f>
        <v>0.24284746426793133</v>
      </c>
      <c r="E19" s="16">
        <f>E7/$E$8</f>
        <v>0.28725717090960096</v>
      </c>
      <c r="F19" s="16">
        <f>F7/$F$8</f>
        <v>0.27342387241465238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</row>
    <row r="20" spans="2:18" ht="21" customHeight="1">
      <c r="B20" s="55" t="s">
        <v>21</v>
      </c>
      <c r="C20" s="56"/>
      <c r="D20" s="25">
        <f>D8/$D$8</f>
        <v>1</v>
      </c>
      <c r="E20" s="25">
        <f>E8/$E$8</f>
        <v>1</v>
      </c>
      <c r="F20" s="25">
        <f>F8/$F$8</f>
        <v>1</v>
      </c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2:18" ht="21" customHeight="1">
      <c r="B21" s="57" t="s">
        <v>22</v>
      </c>
      <c r="C21" s="6" t="s">
        <v>23</v>
      </c>
      <c r="D21" s="17">
        <f>D9/$D$12</f>
        <v>3.7598963463731448E-2</v>
      </c>
      <c r="E21" s="17">
        <f>E9/$E$12</f>
        <v>3.7423551595813669E-2</v>
      </c>
      <c r="F21" s="17">
        <f>F9/$F$12</f>
        <v>4.0173024711242004E-2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</row>
    <row r="22" spans="2:18" ht="21" customHeight="1">
      <c r="B22" s="58"/>
      <c r="C22" s="2" t="s">
        <v>24</v>
      </c>
      <c r="D22" s="16">
        <f>D10/$D$12</f>
        <v>0.21105529692104585</v>
      </c>
      <c r="E22" s="16">
        <f>E10/$E$12</f>
        <v>0.18881384002953178</v>
      </c>
      <c r="F22" s="16">
        <f>F10/$F$12</f>
        <v>0.21140306474621509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</row>
    <row r="23" spans="2:18" ht="21" customHeight="1">
      <c r="B23" s="59"/>
      <c r="C23" s="2" t="s">
        <v>25</v>
      </c>
      <c r="D23" s="16">
        <f>D11/$D$12</f>
        <v>0.75134573961522266</v>
      </c>
      <c r="E23" s="16">
        <f>E11/$E$12</f>
        <v>0.77376260837465449</v>
      </c>
      <c r="F23" s="16">
        <f>F11/$F$12</f>
        <v>0.74842391054254287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</row>
    <row r="24" spans="2:18" ht="21" customHeight="1">
      <c r="B24" s="50" t="s">
        <v>21</v>
      </c>
      <c r="C24" s="51"/>
      <c r="D24" s="25">
        <f>D12/$D$12</f>
        <v>1</v>
      </c>
      <c r="E24" s="25">
        <f>E12/$E$12</f>
        <v>1</v>
      </c>
      <c r="F24" s="25">
        <f>F12/$F$12</f>
        <v>1</v>
      </c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spans="2:18" ht="21" customHeight="1">
      <c r="B25" s="1"/>
      <c r="C25" s="1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2:18" ht="21" customHeight="1">
      <c r="B26" s="28" t="s">
        <v>28</v>
      </c>
      <c r="P26" s="7" t="s">
        <v>27</v>
      </c>
    </row>
    <row r="27" spans="2:18" ht="21" customHeight="1">
      <c r="B27" s="19"/>
      <c r="C27" s="20" t="s">
        <v>2</v>
      </c>
      <c r="D27" s="21" t="s">
        <v>3</v>
      </c>
      <c r="E27" s="21" t="s">
        <v>4</v>
      </c>
      <c r="F27" s="21" t="s">
        <v>5</v>
      </c>
      <c r="G27" s="21" t="s">
        <v>6</v>
      </c>
      <c r="H27" s="21" t="s">
        <v>7</v>
      </c>
      <c r="I27" s="21" t="s">
        <v>8</v>
      </c>
      <c r="J27" s="21" t="s">
        <v>9</v>
      </c>
      <c r="K27" s="21" t="s">
        <v>10</v>
      </c>
      <c r="L27" s="21" t="s">
        <v>11</v>
      </c>
      <c r="M27" s="21" t="s">
        <v>12</v>
      </c>
      <c r="N27" s="21" t="s">
        <v>13</v>
      </c>
      <c r="O27" s="21" t="s">
        <v>14</v>
      </c>
      <c r="P27" s="21" t="s">
        <v>15</v>
      </c>
    </row>
    <row r="28" spans="2:18" ht="21" customHeight="1">
      <c r="B28" s="39" t="s">
        <v>29</v>
      </c>
      <c r="C28" s="8" t="s">
        <v>30</v>
      </c>
      <c r="D28" s="13">
        <f>서울!D16+부산!D16+대전!D16+대구!D16+광주!D16</f>
        <v>29787</v>
      </c>
      <c r="E28" s="13">
        <f>서울!E16+부산!E16+대전!E16+대구!E16+광주!E16</f>
        <v>1654</v>
      </c>
      <c r="F28" s="13">
        <f>서울!F16+부산!F16+대전!F16+대구!F16+광주!F16</f>
        <v>2004</v>
      </c>
      <c r="G28" s="13">
        <f>서울!G16+부산!G16+대전!G16+대구!G16+광주!G16</f>
        <v>0</v>
      </c>
      <c r="H28" s="13">
        <f>서울!H16+부산!H16+대전!H16+대구!H16+광주!H16</f>
        <v>0</v>
      </c>
      <c r="I28" s="13">
        <f>서울!I16+부산!I16+대전!I16+대구!I16+광주!I16</f>
        <v>0</v>
      </c>
      <c r="J28" s="13">
        <f>서울!J16+부산!J16+대전!J16+대구!J16+광주!J16</f>
        <v>0</v>
      </c>
      <c r="K28" s="13">
        <f>서울!K16+부산!K16+대전!K16+대구!K16+광주!K16</f>
        <v>0</v>
      </c>
      <c r="L28" s="13">
        <f>서울!L16+부산!L16+대전!L16+대구!L16+광주!L16</f>
        <v>0</v>
      </c>
      <c r="M28" s="13">
        <f>서울!M16+부산!M16+대전!M16+대구!M16+광주!M16</f>
        <v>0</v>
      </c>
      <c r="N28" s="13">
        <f>서울!N16+부산!N16+대전!N16+대구!N16+광주!N16</f>
        <v>0</v>
      </c>
      <c r="O28" s="13">
        <f>서울!O16+부산!O16+대전!O16+대구!O16+광주!O16</f>
        <v>0</v>
      </c>
      <c r="P28" s="13">
        <f>서울!P16+부산!P16+대전!P16+대구!P16+광주!P16</f>
        <v>0</v>
      </c>
      <c r="R28" s="37">
        <f>D28/68725</f>
        <v>0.43342306293197524</v>
      </c>
    </row>
    <row r="29" spans="2:18" ht="21" customHeight="1">
      <c r="B29" s="40"/>
      <c r="C29" s="8" t="s">
        <v>31</v>
      </c>
      <c r="D29" s="13">
        <f>서울!D17+부산!D17+대전!D17+대구!D17+광주!D17</f>
        <v>27735</v>
      </c>
      <c r="E29" s="13">
        <f>서울!E17+부산!E17+대전!E17+대구!E17+광주!E17</f>
        <v>1188.5</v>
      </c>
      <c r="F29" s="13">
        <f>서울!F17+부산!F17+대전!F17+대구!F17+광주!F17</f>
        <v>1721</v>
      </c>
      <c r="G29" s="13">
        <f>서울!G17+부산!G17+대전!G17+대구!G17+광주!G17</f>
        <v>0</v>
      </c>
      <c r="H29" s="13">
        <f>서울!H17+부산!H17+대전!H17+대구!H17+광주!H17</f>
        <v>0</v>
      </c>
      <c r="I29" s="13">
        <f>서울!I17+부산!I17+대전!I17+대구!I17+광주!I17</f>
        <v>0</v>
      </c>
      <c r="J29" s="13">
        <f>서울!J17+부산!J17+대전!J17+대구!J17+광주!J17</f>
        <v>0</v>
      </c>
      <c r="K29" s="13">
        <f>서울!K17+부산!K17+대전!K17+대구!K17+광주!K17</f>
        <v>0</v>
      </c>
      <c r="L29" s="13">
        <f>서울!L17+부산!L17+대전!L17+대구!L17+광주!L17</f>
        <v>0</v>
      </c>
      <c r="M29" s="13">
        <f>서울!M17+부산!M17+대전!M17+대구!M17+광주!M17</f>
        <v>0</v>
      </c>
      <c r="N29" s="13">
        <f>서울!N17+부산!N17+대전!N17+대구!N17+광주!N17</f>
        <v>0</v>
      </c>
      <c r="O29" s="13">
        <f>서울!O17+부산!O17+대전!O17+대구!O17+광주!O17</f>
        <v>0</v>
      </c>
      <c r="P29" s="13">
        <f>서울!P17+부산!P17+대전!P17+대구!P17+광주!P17</f>
        <v>0</v>
      </c>
      <c r="R29" s="37">
        <f>D29/47990</f>
        <v>0.57793290268805997</v>
      </c>
    </row>
    <row r="30" spans="2:18" ht="21" customHeight="1">
      <c r="B30" s="40"/>
      <c r="C30" s="8" t="s">
        <v>32</v>
      </c>
      <c r="D30" s="13">
        <f>서울!D18+부산!D18+대전!D18+대구!D18+광주!D18</f>
        <v>51522</v>
      </c>
      <c r="E30" s="13">
        <f>서울!E18+부산!E18+대전!E18+대구!E18+광주!E18</f>
        <v>3136</v>
      </c>
      <c r="F30" s="13">
        <f>서울!F18+부산!F18+대전!F18+대구!F18+광주!F18</f>
        <v>3044</v>
      </c>
      <c r="G30" s="13">
        <f>서울!G18+부산!G18+대전!G18+대구!G18+광주!G18</f>
        <v>0</v>
      </c>
      <c r="H30" s="13">
        <f>서울!H18+부산!H18+대전!H18+대구!H18+광주!H18</f>
        <v>0</v>
      </c>
      <c r="I30" s="13">
        <f>서울!I18+부산!I18+대전!I18+대구!I18+광주!I18</f>
        <v>0</v>
      </c>
      <c r="J30" s="13">
        <f>서울!J18+부산!J18+대전!J18+대구!J18+광주!J18</f>
        <v>0</v>
      </c>
      <c r="K30" s="13">
        <f>서울!K18+부산!K18+대전!K18+대구!K18+광주!K18</f>
        <v>0</v>
      </c>
      <c r="L30" s="13">
        <f>서울!L18+부산!L18+대전!L18+대구!L18+광주!L18</f>
        <v>0</v>
      </c>
      <c r="M30" s="13">
        <f>서울!M18+부산!M18+대전!M18+대구!M18+광주!M18</f>
        <v>0</v>
      </c>
      <c r="N30" s="13">
        <f>서울!N18+부산!N18+대전!N18+대구!N18+광주!N18</f>
        <v>0</v>
      </c>
      <c r="O30" s="13">
        <f>서울!O18+부산!O18+대전!O18+대구!O18+광주!O18</f>
        <v>0</v>
      </c>
      <c r="P30" s="13">
        <f>서울!P18+부산!P18+대전!P18+대구!P18+광주!P18</f>
        <v>0</v>
      </c>
    </row>
    <row r="31" spans="2:18" ht="21" customHeight="1">
      <c r="B31" s="40"/>
      <c r="C31" s="8" t="s">
        <v>33</v>
      </c>
      <c r="D31" s="13">
        <f>서울!D19+부산!D19+대전!D19+대구!D19+광주!D19</f>
        <v>49801</v>
      </c>
      <c r="E31" s="13">
        <f>서울!E19+부산!E19+대전!E19+대구!E19+광주!E19</f>
        <v>3388</v>
      </c>
      <c r="F31" s="13">
        <f>서울!F19+부산!F19+대전!F19+대구!F19+광주!F19</f>
        <v>3999</v>
      </c>
      <c r="G31" s="13">
        <f>서울!G19+부산!G19+대전!G19+대구!G19+광주!G19</f>
        <v>0</v>
      </c>
      <c r="H31" s="13">
        <f>서울!H19+부산!H19+대전!H19+대구!H19+광주!H19</f>
        <v>0</v>
      </c>
      <c r="I31" s="13">
        <f>서울!I19+부산!I19+대전!I19+대구!I19+광주!I19</f>
        <v>0</v>
      </c>
      <c r="J31" s="13">
        <f>서울!J19+부산!J19+대전!J19+대구!J19+광주!J19</f>
        <v>0</v>
      </c>
      <c r="K31" s="13">
        <f>서울!K19+부산!K19+대전!K19+대구!K19+광주!K19</f>
        <v>0</v>
      </c>
      <c r="L31" s="13">
        <f>서울!L19+부산!L19+대전!L19+대구!L19+광주!L19</f>
        <v>0</v>
      </c>
      <c r="M31" s="13">
        <f>서울!M19+부산!M19+대전!M19+대구!M19+광주!M19</f>
        <v>0</v>
      </c>
      <c r="N31" s="13">
        <f>서울!N19+부산!N19+대전!N19+대구!N19+광주!N19</f>
        <v>0</v>
      </c>
      <c r="O31" s="13">
        <f>서울!O19+부산!O19+대전!O19+대구!O19+광주!O19</f>
        <v>0</v>
      </c>
      <c r="P31" s="13">
        <f>서울!P19+부산!P19+대전!P19+대구!P19+광주!P19</f>
        <v>0</v>
      </c>
    </row>
    <row r="32" spans="2:18" ht="21" customHeight="1">
      <c r="B32" s="42" t="s">
        <v>34</v>
      </c>
      <c r="C32" s="8" t="s">
        <v>35</v>
      </c>
      <c r="D32" s="13">
        <f>서울!D21+부산!D21+대전!D21+대구!D21+광주!D21</f>
        <v>0</v>
      </c>
      <c r="E32" s="13">
        <f>서울!E21+부산!E21+대전!E21+대구!E21+광주!E21</f>
        <v>0</v>
      </c>
      <c r="F32" s="13">
        <f>서울!F21+부산!F21+대전!F21+대구!F21+광주!F21</f>
        <v>0</v>
      </c>
      <c r="G32" s="13">
        <f>서울!G21+부산!G21+대전!G21+대구!G21+광주!G21</f>
        <v>0</v>
      </c>
      <c r="H32" s="13">
        <f>서울!H21+부산!H21+대전!H21+대구!H21+광주!H21</f>
        <v>0</v>
      </c>
      <c r="I32" s="13">
        <f>서울!I21+부산!I21+대전!I21+대구!I21+광주!I21</f>
        <v>0</v>
      </c>
      <c r="J32" s="13">
        <f>서울!J21+부산!J21+대전!J21+대구!J21+광주!J21</f>
        <v>0</v>
      </c>
      <c r="K32" s="13">
        <f>서울!K21+부산!K21+대전!K21+대구!K21+광주!K21</f>
        <v>0</v>
      </c>
      <c r="L32" s="13">
        <f>서울!L21+부산!L21+대전!L21+대구!L21+광주!L21</f>
        <v>0</v>
      </c>
      <c r="M32" s="13">
        <f>서울!M21+부산!M21+대전!M21+대구!M21+광주!M21</f>
        <v>0</v>
      </c>
      <c r="N32" s="13">
        <f>서울!N21+부산!N21+대전!N21+대구!N21+광주!N21</f>
        <v>0</v>
      </c>
      <c r="O32" s="13">
        <f>서울!O21+부산!O21+대전!O21+대구!O21+광주!O21</f>
        <v>0</v>
      </c>
      <c r="P32" s="13">
        <f>서울!P21+부산!P21+대전!P21+대구!P21+광주!P21</f>
        <v>0</v>
      </c>
    </row>
    <row r="33" spans="2:16" ht="21" customHeight="1">
      <c r="B33" s="42"/>
      <c r="C33" s="8" t="s">
        <v>36</v>
      </c>
      <c r="D33" s="13">
        <f>서울!D22+부산!D22+대전!D22+대구!D22+광주!D22</f>
        <v>0</v>
      </c>
      <c r="E33" s="13">
        <f>서울!E22+부산!E22+대전!E22+대구!E22+광주!E22</f>
        <v>0</v>
      </c>
      <c r="F33" s="13">
        <f>서울!F22+부산!F22+대전!F22+대구!F22+광주!F22</f>
        <v>0</v>
      </c>
      <c r="G33" s="13">
        <f>서울!G22+부산!G22+대전!G22+대구!G22+광주!G22</f>
        <v>0</v>
      </c>
      <c r="H33" s="13">
        <f>서울!H22+부산!H22+대전!H22+대구!H22+광주!H22</f>
        <v>0</v>
      </c>
      <c r="I33" s="13">
        <f>서울!I22+부산!I22+대전!I22+대구!I22+광주!I22</f>
        <v>0</v>
      </c>
      <c r="J33" s="13">
        <f>서울!J22+부산!J22+대전!J22+대구!J22+광주!J22</f>
        <v>0</v>
      </c>
      <c r="K33" s="13">
        <f>서울!K22+부산!K22+대전!K22+대구!K22+광주!K22</f>
        <v>0</v>
      </c>
      <c r="L33" s="13">
        <f>서울!L22+부산!L22+대전!L22+대구!L22+광주!L22</f>
        <v>0</v>
      </c>
      <c r="M33" s="13">
        <f>서울!M22+부산!M22+대전!M22+대구!M22+광주!M22</f>
        <v>0</v>
      </c>
      <c r="N33" s="13">
        <f>서울!N22+부산!N22+대전!N22+대구!N22+광주!N22</f>
        <v>0</v>
      </c>
      <c r="O33" s="13">
        <f>서울!O22+부산!O22+대전!O22+대구!O22+광주!O22</f>
        <v>0</v>
      </c>
      <c r="P33" s="13">
        <f>서울!P22+부산!P22+대전!P22+대구!P22+광주!P22</f>
        <v>0</v>
      </c>
    </row>
    <row r="34" spans="2:16" ht="21" customHeight="1">
      <c r="B34" s="41"/>
      <c r="C34" s="8" t="s">
        <v>37</v>
      </c>
      <c r="D34" s="13">
        <f>서울!D23+부산!D23+대전!D23+대구!D23+광주!D23</f>
        <v>7150</v>
      </c>
      <c r="E34" s="13">
        <f>서울!E23+부산!E23+대전!E23+대구!E23+광주!E23</f>
        <v>466</v>
      </c>
      <c r="F34" s="13">
        <f>서울!F23+부산!F23+대전!F23+대구!F23+광주!F23</f>
        <v>429</v>
      </c>
      <c r="G34" s="13">
        <f>서울!G23+부산!G23+대전!G23+대구!G23+광주!G23</f>
        <v>0</v>
      </c>
      <c r="H34" s="13">
        <f>서울!H23+부산!H23+대전!H23+대구!H23+광주!H23</f>
        <v>0</v>
      </c>
      <c r="I34" s="13">
        <f>서울!I23+부산!I23+대전!I23+대구!I23+광주!I23</f>
        <v>0</v>
      </c>
      <c r="J34" s="13">
        <f>서울!J23+부산!J23+대전!J23+대구!J23+광주!J23</f>
        <v>0</v>
      </c>
      <c r="K34" s="13">
        <f>서울!K23+부산!K23+대전!K23+대구!K23+광주!K23</f>
        <v>0</v>
      </c>
      <c r="L34" s="13">
        <f>서울!L23+부산!L23+대전!L23+대구!L23+광주!L23</f>
        <v>0</v>
      </c>
      <c r="M34" s="13">
        <f>서울!M23+부산!M23+대전!M23+대구!M23+광주!M23</f>
        <v>0</v>
      </c>
      <c r="N34" s="13">
        <f>서울!N23+부산!N23+대전!N23+대구!N23+광주!N23</f>
        <v>0</v>
      </c>
      <c r="O34" s="13">
        <f>서울!O23+부산!O23+대전!O23+대구!O23+광주!O23</f>
        <v>0</v>
      </c>
      <c r="P34" s="13">
        <f>서울!P23+부산!P23+대전!P23+대구!P23+광주!P23</f>
        <v>0</v>
      </c>
    </row>
    <row r="35" spans="2:16" ht="21" customHeight="1">
      <c r="B35" s="22"/>
      <c r="C35" s="23" t="s">
        <v>21</v>
      </c>
      <c r="D35" s="24">
        <f>서울!D20+부산!D21+대전!D21+대구!D21+광주!D21</f>
        <v>102047</v>
      </c>
      <c r="E35" s="24">
        <f>서울!E20+부산!E21+대전!E21+대구!E21+광주!E21</f>
        <v>5907</v>
      </c>
      <c r="F35" s="24">
        <f>서울!F20+부산!F21+대전!F21+대구!F21+광주!F21</f>
        <v>7312</v>
      </c>
      <c r="G35" s="24">
        <f>서울!G20+부산!G21+대전!G21+대구!G21+광주!G21</f>
        <v>0</v>
      </c>
      <c r="H35" s="24">
        <f>서울!H20+부산!H21+대전!H21+대구!H21+광주!H21</f>
        <v>0</v>
      </c>
      <c r="I35" s="24">
        <f>서울!I20+부산!I21+대전!I21+대구!I21+광주!I21</f>
        <v>0</v>
      </c>
      <c r="J35" s="24">
        <f>서울!J20+부산!J21+대전!J21+대구!J21+광주!J21</f>
        <v>0</v>
      </c>
      <c r="K35" s="24">
        <f>서울!K20+부산!K21+대전!K21+대구!K21+광주!K21</f>
        <v>0</v>
      </c>
      <c r="L35" s="24">
        <f>서울!L20+부산!L21+대전!L21+대구!L21+광주!L21</f>
        <v>0</v>
      </c>
      <c r="M35" s="24">
        <f>서울!M20+부산!M21+대전!M21+대구!M21+광주!M21</f>
        <v>0</v>
      </c>
      <c r="N35" s="24">
        <f>서울!N20+부산!N21+대전!N21+대구!N21+광주!N21</f>
        <v>0</v>
      </c>
      <c r="O35" s="24">
        <f>서울!O20+부산!O21+대전!O21+대구!O21+광주!O21</f>
        <v>0</v>
      </c>
      <c r="P35" s="24">
        <f>서울!P20+부산!P21+대전!P21+대구!P21+광주!P21</f>
        <v>0</v>
      </c>
    </row>
    <row r="36" spans="2:16" ht="21" customHeight="1">
      <c r="D36" s="15"/>
    </row>
    <row r="37" spans="2:16" ht="21" customHeight="1">
      <c r="B37" s="28" t="s">
        <v>38</v>
      </c>
      <c r="P37" s="7" t="s">
        <v>27</v>
      </c>
    </row>
    <row r="38" spans="2:16" ht="21" customHeight="1">
      <c r="B38" s="19"/>
      <c r="C38" s="20" t="s">
        <v>2</v>
      </c>
      <c r="D38" s="21" t="s">
        <v>3</v>
      </c>
      <c r="E38" s="21" t="s">
        <v>4</v>
      </c>
      <c r="F38" s="21" t="s">
        <v>5</v>
      </c>
      <c r="G38" s="21" t="s">
        <v>6</v>
      </c>
      <c r="H38" s="21" t="s">
        <v>7</v>
      </c>
      <c r="I38" s="21" t="s">
        <v>8</v>
      </c>
      <c r="J38" s="21" t="s">
        <v>9</v>
      </c>
      <c r="K38" s="21" t="s">
        <v>10</v>
      </c>
      <c r="L38" s="21" t="s">
        <v>11</v>
      </c>
      <c r="M38" s="21" t="s">
        <v>12</v>
      </c>
      <c r="N38" s="21" t="s">
        <v>13</v>
      </c>
      <c r="O38" s="21" t="s">
        <v>14</v>
      </c>
      <c r="P38" s="21" t="s">
        <v>15</v>
      </c>
    </row>
    <row r="39" spans="2:16" ht="21" customHeight="1">
      <c r="B39" s="39" t="s">
        <v>39</v>
      </c>
      <c r="C39" s="27" t="s">
        <v>30</v>
      </c>
      <c r="D39" s="17">
        <f t="shared" ref="D39:D46" si="0">D28/$D$35</f>
        <v>0.29189491116838318</v>
      </c>
      <c r="E39" s="17">
        <f t="shared" ref="E39:E46" si="1">E28/$E$35</f>
        <v>0.28000677162688337</v>
      </c>
      <c r="F39" s="17">
        <f t="shared" ref="F39:F46" si="2">F28/$F$35</f>
        <v>0.2740700218818381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</row>
    <row r="40" spans="2:16" ht="21" customHeight="1">
      <c r="B40" s="40"/>
      <c r="C40" s="27" t="s">
        <v>31</v>
      </c>
      <c r="D40" s="17">
        <f t="shared" si="0"/>
        <v>0.27178652973629797</v>
      </c>
      <c r="E40" s="17">
        <f t="shared" si="1"/>
        <v>0.20120196377179617</v>
      </c>
      <c r="F40" s="17">
        <f t="shared" si="2"/>
        <v>0.23536652078774617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</row>
    <row r="41" spans="2:16" ht="21" customHeight="1">
      <c r="B41" s="40"/>
      <c r="C41" s="8" t="s">
        <v>32</v>
      </c>
      <c r="D41" s="16">
        <f t="shared" si="0"/>
        <v>0.50488500396875946</v>
      </c>
      <c r="E41" s="16">
        <f t="shared" si="1"/>
        <v>0.53089554765532421</v>
      </c>
      <c r="F41" s="16">
        <f t="shared" si="2"/>
        <v>0.41630196936542668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</row>
    <row r="42" spans="2:16" ht="21" customHeight="1">
      <c r="B42" s="40"/>
      <c r="C42" s="8" t="s">
        <v>33</v>
      </c>
      <c r="D42" s="16">
        <f t="shared" si="0"/>
        <v>0.48802022597430594</v>
      </c>
      <c r="E42" s="16">
        <f t="shared" si="1"/>
        <v>0.57355679702048412</v>
      </c>
      <c r="F42" s="16">
        <f t="shared" si="2"/>
        <v>0.54690919037199126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</row>
    <row r="43" spans="2:16" ht="21" customHeight="1">
      <c r="B43" s="42" t="s">
        <v>34</v>
      </c>
      <c r="C43" s="8" t="s">
        <v>35</v>
      </c>
      <c r="D43" s="16">
        <f t="shared" si="0"/>
        <v>0</v>
      </c>
      <c r="E43" s="16">
        <f t="shared" si="1"/>
        <v>0</v>
      </c>
      <c r="F43" s="16">
        <f t="shared" si="2"/>
        <v>0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</row>
    <row r="44" spans="2:16" ht="21" customHeight="1">
      <c r="B44" s="42"/>
      <c r="C44" s="8" t="s">
        <v>36</v>
      </c>
      <c r="D44" s="16">
        <f t="shared" si="0"/>
        <v>0</v>
      </c>
      <c r="E44" s="16">
        <f t="shared" si="1"/>
        <v>0</v>
      </c>
      <c r="F44" s="16">
        <f t="shared" si="2"/>
        <v>0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</row>
    <row r="45" spans="2:16" ht="21" customHeight="1">
      <c r="B45" s="41"/>
      <c r="C45" s="8" t="s">
        <v>37</v>
      </c>
      <c r="D45" s="16">
        <f t="shared" si="0"/>
        <v>7.0065754015306667E-2</v>
      </c>
      <c r="E45" s="16">
        <f t="shared" si="1"/>
        <v>7.8889453191129166E-2</v>
      </c>
      <c r="F45" s="16">
        <f t="shared" si="2"/>
        <v>5.8670678336980309E-2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</row>
    <row r="46" spans="2:16" ht="21" customHeight="1">
      <c r="B46" s="22"/>
      <c r="C46" s="23" t="s">
        <v>21</v>
      </c>
      <c r="D46" s="26">
        <f t="shared" si="0"/>
        <v>1</v>
      </c>
      <c r="E46" s="26">
        <f t="shared" si="1"/>
        <v>1</v>
      </c>
      <c r="F46" s="26">
        <f t="shared" si="2"/>
        <v>1</v>
      </c>
      <c r="G46" s="26"/>
      <c r="H46" s="26"/>
      <c r="I46" s="26"/>
      <c r="J46" s="26"/>
      <c r="K46" s="26"/>
      <c r="L46" s="26"/>
      <c r="M46" s="26"/>
      <c r="N46" s="26"/>
      <c r="O46" s="26"/>
      <c r="P46" s="26"/>
    </row>
  </sheetData>
  <mergeCells count="8">
    <mergeCell ref="B24:C24"/>
    <mergeCell ref="B16:B19"/>
    <mergeCell ref="B4:B7"/>
    <mergeCell ref="B20:C20"/>
    <mergeCell ref="B21:B23"/>
    <mergeCell ref="B9:B11"/>
    <mergeCell ref="B8:C8"/>
    <mergeCell ref="B12:C12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10"/>
  <sheetViews>
    <sheetView zoomScaleNormal="100" workbookViewId="0">
      <selection activeCell="C10" sqref="C10"/>
    </sheetView>
  </sheetViews>
  <sheetFormatPr defaultRowHeight="17"/>
  <cols>
    <col min="3" max="3" width="11.33203125" style="43" customWidth="1"/>
    <col min="4" max="4" width="10.25" style="43" customWidth="1"/>
    <col min="5" max="5" width="10.58203125" style="43" customWidth="1"/>
    <col min="6" max="6" width="11.58203125" style="43" customWidth="1"/>
    <col min="7" max="7" width="10.83203125" style="43" customWidth="1"/>
    <col min="8" max="8" width="10.5" style="43" customWidth="1"/>
    <col min="9" max="9" width="10.33203125" style="43" customWidth="1"/>
    <col min="10" max="10" width="11.33203125" style="43" customWidth="1"/>
    <col min="11" max="11" width="10.33203125" style="43" customWidth="1"/>
    <col min="12" max="12" width="11.83203125" style="43" customWidth="1"/>
    <col min="13" max="14" width="11.08203125" style="43" customWidth="1"/>
    <col min="15" max="15" width="10.5" style="43" customWidth="1"/>
    <col min="16" max="16" width="11" style="43" bestFit="1" customWidth="1"/>
  </cols>
  <sheetData>
    <row r="2" spans="2:16"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</row>
    <row r="3" spans="2:16">
      <c r="B3" t="s">
        <v>16</v>
      </c>
      <c r="C3" s="30">
        <v>223682</v>
      </c>
      <c r="D3" s="30">
        <f t="shared" ref="D3:O3" si="0">$C$3*D10</f>
        <v>0</v>
      </c>
      <c r="E3" s="30">
        <f t="shared" si="0"/>
        <v>0</v>
      </c>
      <c r="F3" s="30">
        <f t="shared" si="0"/>
        <v>0</v>
      </c>
      <c r="G3" s="30">
        <f t="shared" si="0"/>
        <v>0</v>
      </c>
      <c r="H3" s="30">
        <f t="shared" si="0"/>
        <v>0</v>
      </c>
      <c r="I3" s="30">
        <f t="shared" si="0"/>
        <v>0</v>
      </c>
      <c r="J3" s="30">
        <f t="shared" si="0"/>
        <v>0</v>
      </c>
      <c r="K3" s="30">
        <f t="shared" si="0"/>
        <v>0</v>
      </c>
      <c r="L3" s="30">
        <f t="shared" si="0"/>
        <v>0</v>
      </c>
      <c r="M3" s="30">
        <f t="shared" si="0"/>
        <v>0</v>
      </c>
      <c r="N3" s="30">
        <f t="shared" si="0"/>
        <v>0</v>
      </c>
      <c r="O3" s="30">
        <f t="shared" si="0"/>
        <v>0</v>
      </c>
      <c r="P3" s="29"/>
    </row>
    <row r="4" spans="2:16">
      <c r="B4" t="s">
        <v>53</v>
      </c>
      <c r="C4" s="30">
        <v>223635</v>
      </c>
      <c r="D4" s="30">
        <f t="shared" ref="D4:O4" si="1">$C$4*D10</f>
        <v>0</v>
      </c>
      <c r="E4" s="30">
        <f t="shared" si="1"/>
        <v>0</v>
      </c>
      <c r="F4" s="30">
        <f t="shared" si="1"/>
        <v>0</v>
      </c>
      <c r="G4" s="30">
        <f t="shared" si="1"/>
        <v>0</v>
      </c>
      <c r="H4" s="30">
        <f t="shared" si="1"/>
        <v>0</v>
      </c>
      <c r="I4" s="30">
        <f t="shared" si="1"/>
        <v>0</v>
      </c>
      <c r="J4" s="30">
        <f t="shared" si="1"/>
        <v>0</v>
      </c>
      <c r="K4" s="30">
        <f t="shared" si="1"/>
        <v>0</v>
      </c>
      <c r="L4" s="30">
        <f t="shared" si="1"/>
        <v>0</v>
      </c>
      <c r="M4" s="30">
        <f t="shared" si="1"/>
        <v>0</v>
      </c>
      <c r="N4" s="30">
        <f t="shared" si="1"/>
        <v>0</v>
      </c>
      <c r="O4" s="30">
        <f t="shared" si="1"/>
        <v>0</v>
      </c>
      <c r="P4" s="29"/>
    </row>
    <row r="5" spans="2:16">
      <c r="B5" t="s">
        <v>39</v>
      </c>
      <c r="C5" s="30">
        <v>148896</v>
      </c>
      <c r="D5" s="30">
        <f t="shared" ref="D5:O5" si="2">$C$5*D10</f>
        <v>0</v>
      </c>
      <c r="E5" s="30">
        <f t="shared" si="2"/>
        <v>0</v>
      </c>
      <c r="F5" s="30">
        <f t="shared" si="2"/>
        <v>0</v>
      </c>
      <c r="G5" s="30">
        <f t="shared" si="2"/>
        <v>0</v>
      </c>
      <c r="H5" s="30">
        <f t="shared" si="2"/>
        <v>0</v>
      </c>
      <c r="I5" s="30">
        <f t="shared" si="2"/>
        <v>0</v>
      </c>
      <c r="J5" s="30">
        <f t="shared" si="2"/>
        <v>0</v>
      </c>
      <c r="K5" s="30">
        <f t="shared" si="2"/>
        <v>0</v>
      </c>
      <c r="L5" s="30">
        <f t="shared" si="2"/>
        <v>0</v>
      </c>
      <c r="M5" s="30">
        <f t="shared" si="2"/>
        <v>0</v>
      </c>
      <c r="N5" s="30">
        <f t="shared" si="2"/>
        <v>0</v>
      </c>
      <c r="O5" s="30">
        <f t="shared" si="2"/>
        <v>0</v>
      </c>
      <c r="P5" s="29"/>
    </row>
    <row r="8" spans="2:16">
      <c r="B8" s="60" t="s">
        <v>54</v>
      </c>
      <c r="C8" s="31">
        <v>41798</v>
      </c>
      <c r="D8" s="30">
        <v>1812.012081650179</v>
      </c>
      <c r="E8" s="30">
        <v>2191.326308339098</v>
      </c>
      <c r="F8" s="30">
        <v>2913.9910718036999</v>
      </c>
      <c r="G8" s="30">
        <v>4034.6102936472771</v>
      </c>
      <c r="H8" s="30">
        <v>4269.0682005197496</v>
      </c>
      <c r="I8" s="30">
        <v>4471.9676994144847</v>
      </c>
      <c r="J8" s="30">
        <v>3994.9388189192</v>
      </c>
      <c r="K8" s="30">
        <v>3972.3218626294351</v>
      </c>
      <c r="L8" s="30">
        <v>3938.455454316696</v>
      </c>
      <c r="M8" s="30">
        <v>3491.0806962191509</v>
      </c>
      <c r="N8" s="30">
        <v>3206.8791969203639</v>
      </c>
      <c r="O8" s="30">
        <v>3501.553754709214</v>
      </c>
      <c r="P8" s="31"/>
    </row>
    <row r="9" spans="2:16">
      <c r="B9" s="61"/>
      <c r="D9" s="32">
        <f t="shared" ref="D9:O9" si="3">D8/$C8</f>
        <v>4.3351645572758959E-2</v>
      </c>
      <c r="E9" s="32">
        <f t="shared" si="3"/>
        <v>5.2426582811117707E-2</v>
      </c>
      <c r="F9" s="32">
        <f t="shared" si="3"/>
        <v>6.9716040762804438E-2</v>
      </c>
      <c r="G9" s="32">
        <f t="shared" si="3"/>
        <v>9.6526395847822313E-2</v>
      </c>
      <c r="H9" s="32">
        <f t="shared" si="3"/>
        <v>0.10213570507009305</v>
      </c>
      <c r="I9" s="32">
        <f t="shared" si="3"/>
        <v>0.10698999233012309</v>
      </c>
      <c r="J9" s="32">
        <f t="shared" si="3"/>
        <v>9.5577272092425475E-2</v>
      </c>
      <c r="K9" s="32">
        <f t="shared" si="3"/>
        <v>9.5036170693081845E-2</v>
      </c>
      <c r="L9" s="32">
        <f t="shared" si="3"/>
        <v>9.4225930769814253E-2</v>
      </c>
      <c r="M9" s="32">
        <f t="shared" si="3"/>
        <v>8.3522673243197065E-2</v>
      </c>
      <c r="N9" s="32">
        <f t="shared" si="3"/>
        <v>7.6723268982256662E-2</v>
      </c>
      <c r="O9" s="32">
        <f t="shared" si="3"/>
        <v>8.3773236870405623E-2</v>
      </c>
    </row>
    <row r="10" spans="2:16">
      <c r="B10" s="33" t="s">
        <v>55</v>
      </c>
      <c r="C10" s="33"/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</row>
  </sheetData>
  <mergeCells count="1">
    <mergeCell ref="B8:B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F353"/>
  <sheetViews>
    <sheetView showGridLines="0" topLeftCell="O1" zoomScale="85" zoomScaleNormal="85" workbookViewId="0">
      <selection activeCell="R1" sqref="R1:R1048576"/>
    </sheetView>
  </sheetViews>
  <sheetFormatPr defaultRowHeight="21" customHeight="1"/>
  <cols>
    <col min="1" max="1" width="2.25" style="43" customWidth="1"/>
    <col min="2" max="2" width="17.25" style="43" customWidth="1"/>
    <col min="3" max="3" width="23.08203125" style="43" bestFit="1" customWidth="1"/>
    <col min="4" max="16" width="9" style="1" customWidth="1"/>
    <col min="18" max="18" width="16.25" style="43" customWidth="1"/>
    <col min="19" max="19" width="23.08203125" style="43" bestFit="1" customWidth="1"/>
    <col min="20" max="32" width="16.25" style="43" customWidth="1"/>
  </cols>
  <sheetData>
    <row r="2" spans="2:32" ht="21" customHeight="1">
      <c r="B2" t="s">
        <v>56</v>
      </c>
      <c r="P2" s="7" t="s">
        <v>57</v>
      </c>
      <c r="R2" t="s">
        <v>58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2:32" ht="21" customHeight="1">
      <c r="B3" s="9"/>
      <c r="C3" s="4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R3" s="11" t="s">
        <v>59</v>
      </c>
      <c r="S3" s="5" t="s">
        <v>2</v>
      </c>
      <c r="T3" s="5" t="s">
        <v>3</v>
      </c>
      <c r="U3" s="5" t="s">
        <v>4</v>
      </c>
      <c r="V3" s="5" t="s">
        <v>5</v>
      </c>
      <c r="W3" s="5" t="s">
        <v>6</v>
      </c>
      <c r="X3" s="5" t="s">
        <v>7</v>
      </c>
      <c r="Y3" s="5" t="s">
        <v>8</v>
      </c>
      <c r="Z3" s="5" t="s">
        <v>9</v>
      </c>
      <c r="AA3" s="5" t="s">
        <v>10</v>
      </c>
      <c r="AB3" s="5" t="s">
        <v>11</v>
      </c>
      <c r="AC3" s="5" t="s">
        <v>12</v>
      </c>
      <c r="AD3" s="5" t="s">
        <v>13</v>
      </c>
      <c r="AE3" s="5" t="s">
        <v>14</v>
      </c>
      <c r="AF3" s="5" t="s">
        <v>15</v>
      </c>
    </row>
    <row r="4" spans="2:32" ht="21" customHeight="1">
      <c r="B4" s="52" t="s">
        <v>16</v>
      </c>
      <c r="C4" s="8" t="s">
        <v>17</v>
      </c>
      <c r="D4" s="13">
        <f t="shared" ref="D4:P7" si="0">SUMIF($S:$S,$C4,T:T)</f>
        <v>30389</v>
      </c>
      <c r="E4" s="13">
        <f t="shared" si="0"/>
        <v>583</v>
      </c>
      <c r="F4" s="13">
        <f t="shared" si="0"/>
        <v>1538</v>
      </c>
      <c r="G4" s="13">
        <f t="shared" si="0"/>
        <v>0</v>
      </c>
      <c r="H4" s="13">
        <f t="shared" si="0"/>
        <v>0</v>
      </c>
      <c r="I4" s="13">
        <f t="shared" si="0"/>
        <v>0</v>
      </c>
      <c r="J4" s="13">
        <f t="shared" si="0"/>
        <v>0</v>
      </c>
      <c r="K4" s="13">
        <f t="shared" si="0"/>
        <v>0</v>
      </c>
      <c r="L4" s="13">
        <f t="shared" si="0"/>
        <v>0</v>
      </c>
      <c r="M4" s="13">
        <f t="shared" si="0"/>
        <v>0</v>
      </c>
      <c r="N4" s="13">
        <f t="shared" si="0"/>
        <v>0</v>
      </c>
      <c r="O4" s="13">
        <f t="shared" si="0"/>
        <v>0</v>
      </c>
      <c r="P4" s="13">
        <f t="shared" si="0"/>
        <v>0</v>
      </c>
      <c r="R4" s="38" t="s">
        <v>60</v>
      </c>
      <c r="S4" s="8" t="s">
        <v>17</v>
      </c>
      <c r="T4" s="13">
        <v>689</v>
      </c>
      <c r="U4" s="13">
        <v>0</v>
      </c>
      <c r="V4" s="12">
        <v>0</v>
      </c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spans="2:32" ht="21" customHeight="1">
      <c r="B5" s="53"/>
      <c r="C5" s="8" t="s">
        <v>18</v>
      </c>
      <c r="D5" s="13">
        <f t="shared" si="0"/>
        <v>25163</v>
      </c>
      <c r="E5" s="13">
        <f t="shared" si="0"/>
        <v>1611</v>
      </c>
      <c r="F5" s="13">
        <f t="shared" si="0"/>
        <v>1759</v>
      </c>
      <c r="G5" s="13">
        <f t="shared" si="0"/>
        <v>0</v>
      </c>
      <c r="H5" s="13">
        <f t="shared" si="0"/>
        <v>0</v>
      </c>
      <c r="I5" s="13">
        <f t="shared" si="0"/>
        <v>0</v>
      </c>
      <c r="J5" s="13">
        <f t="shared" si="0"/>
        <v>0</v>
      </c>
      <c r="K5" s="13">
        <f t="shared" si="0"/>
        <v>0</v>
      </c>
      <c r="L5" s="13">
        <f t="shared" si="0"/>
        <v>0</v>
      </c>
      <c r="M5" s="13">
        <f t="shared" si="0"/>
        <v>0</v>
      </c>
      <c r="N5" s="13">
        <f t="shared" si="0"/>
        <v>0</v>
      </c>
      <c r="O5" s="13">
        <f t="shared" si="0"/>
        <v>0</v>
      </c>
      <c r="P5" s="13">
        <f t="shared" si="0"/>
        <v>0</v>
      </c>
      <c r="R5" s="38" t="s">
        <v>60</v>
      </c>
      <c r="S5" s="8" t="s">
        <v>18</v>
      </c>
      <c r="T5" s="13">
        <v>2000</v>
      </c>
      <c r="U5" s="13">
        <v>130</v>
      </c>
      <c r="V5" s="12">
        <v>170</v>
      </c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 spans="2:32" ht="21" customHeight="1">
      <c r="B6" s="53"/>
      <c r="C6" s="8" t="s">
        <v>19</v>
      </c>
      <c r="D6" s="13">
        <f t="shared" si="0"/>
        <v>89609</v>
      </c>
      <c r="E6" s="13">
        <f t="shared" si="0"/>
        <v>4935</v>
      </c>
      <c r="F6" s="13">
        <f t="shared" si="0"/>
        <v>5394</v>
      </c>
      <c r="G6" s="13">
        <f t="shared" si="0"/>
        <v>0</v>
      </c>
      <c r="H6" s="13">
        <f t="shared" si="0"/>
        <v>0</v>
      </c>
      <c r="I6" s="13">
        <f t="shared" si="0"/>
        <v>0</v>
      </c>
      <c r="J6" s="13">
        <f t="shared" si="0"/>
        <v>0</v>
      </c>
      <c r="K6" s="13">
        <f t="shared" si="0"/>
        <v>0</v>
      </c>
      <c r="L6" s="13">
        <f t="shared" si="0"/>
        <v>0</v>
      </c>
      <c r="M6" s="13">
        <f t="shared" si="0"/>
        <v>0</v>
      </c>
      <c r="N6" s="13">
        <f t="shared" si="0"/>
        <v>0</v>
      </c>
      <c r="O6" s="13">
        <f t="shared" si="0"/>
        <v>0</v>
      </c>
      <c r="P6" s="13">
        <f t="shared" si="0"/>
        <v>0</v>
      </c>
      <c r="R6" s="38" t="s">
        <v>60</v>
      </c>
      <c r="S6" s="8" t="s">
        <v>19</v>
      </c>
      <c r="T6" s="13">
        <v>3500</v>
      </c>
      <c r="U6" s="13">
        <v>100</v>
      </c>
      <c r="V6" s="12">
        <v>130</v>
      </c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2:32" ht="21" customHeight="1">
      <c r="B7" s="54"/>
      <c r="C7" s="8" t="s">
        <v>20</v>
      </c>
      <c r="D7" s="13">
        <f t="shared" si="0"/>
        <v>46753</v>
      </c>
      <c r="E7" s="13">
        <f t="shared" si="0"/>
        <v>3282</v>
      </c>
      <c r="F7" s="13">
        <f t="shared" si="0"/>
        <v>3575</v>
      </c>
      <c r="G7" s="13">
        <f t="shared" si="0"/>
        <v>0</v>
      </c>
      <c r="H7" s="13">
        <f t="shared" si="0"/>
        <v>0</v>
      </c>
      <c r="I7" s="13">
        <f t="shared" si="0"/>
        <v>0</v>
      </c>
      <c r="J7" s="13">
        <f t="shared" si="0"/>
        <v>0</v>
      </c>
      <c r="K7" s="13">
        <f t="shared" si="0"/>
        <v>0</v>
      </c>
      <c r="L7" s="13">
        <f t="shared" si="0"/>
        <v>0</v>
      </c>
      <c r="M7" s="13">
        <f t="shared" si="0"/>
        <v>0</v>
      </c>
      <c r="N7" s="13">
        <f t="shared" si="0"/>
        <v>0</v>
      </c>
      <c r="O7" s="13">
        <f t="shared" si="0"/>
        <v>0</v>
      </c>
      <c r="P7" s="13">
        <f t="shared" si="0"/>
        <v>0</v>
      </c>
      <c r="R7" s="38" t="s">
        <v>60</v>
      </c>
      <c r="S7" s="8" t="s">
        <v>20</v>
      </c>
      <c r="T7" s="13">
        <v>360</v>
      </c>
      <c r="U7" s="13">
        <v>30</v>
      </c>
      <c r="V7" s="12">
        <v>80</v>
      </c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spans="2:32" ht="21" customHeight="1">
      <c r="B8" s="65" t="s">
        <v>21</v>
      </c>
      <c r="C8" s="56"/>
      <c r="D8" s="12">
        <f t="shared" ref="D8:P8" si="1">SUM(D4:D7)</f>
        <v>191914</v>
      </c>
      <c r="E8" s="12">
        <f t="shared" si="1"/>
        <v>10411</v>
      </c>
      <c r="F8" s="12">
        <f t="shared" si="1"/>
        <v>12266</v>
      </c>
      <c r="G8" s="12">
        <f t="shared" si="1"/>
        <v>0</v>
      </c>
      <c r="H8" s="12">
        <f t="shared" si="1"/>
        <v>0</v>
      </c>
      <c r="I8" s="12">
        <f t="shared" si="1"/>
        <v>0</v>
      </c>
      <c r="J8" s="12">
        <f t="shared" si="1"/>
        <v>0</v>
      </c>
      <c r="K8" s="12">
        <f t="shared" si="1"/>
        <v>0</v>
      </c>
      <c r="L8" s="12">
        <f t="shared" si="1"/>
        <v>0</v>
      </c>
      <c r="M8" s="12">
        <f t="shared" si="1"/>
        <v>0</v>
      </c>
      <c r="N8" s="12">
        <f t="shared" si="1"/>
        <v>0</v>
      </c>
      <c r="O8" s="12">
        <f t="shared" si="1"/>
        <v>0</v>
      </c>
      <c r="P8" s="12">
        <f t="shared" si="1"/>
        <v>0</v>
      </c>
      <c r="R8" s="38" t="s">
        <v>60</v>
      </c>
      <c r="S8" s="8" t="s">
        <v>23</v>
      </c>
      <c r="T8" s="13">
        <v>2</v>
      </c>
      <c r="U8" s="13">
        <v>0</v>
      </c>
      <c r="V8" s="12">
        <v>0</v>
      </c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spans="2:32" ht="21" customHeight="1">
      <c r="B9" s="57" t="s">
        <v>22</v>
      </c>
      <c r="C9" s="2" t="s">
        <v>23</v>
      </c>
      <c r="D9" s="13">
        <f t="shared" ref="D9:P11" si="2">SUMIF($S:$S,$C9,T:T)</f>
        <v>6319</v>
      </c>
      <c r="E9" s="13">
        <f t="shared" si="2"/>
        <v>508</v>
      </c>
      <c r="F9" s="13">
        <f t="shared" si="2"/>
        <v>620</v>
      </c>
      <c r="G9" s="13">
        <f t="shared" si="2"/>
        <v>0</v>
      </c>
      <c r="H9" s="13">
        <f t="shared" si="2"/>
        <v>0</v>
      </c>
      <c r="I9" s="13">
        <f t="shared" si="2"/>
        <v>0</v>
      </c>
      <c r="J9" s="13">
        <f t="shared" si="2"/>
        <v>0</v>
      </c>
      <c r="K9" s="13">
        <f t="shared" si="2"/>
        <v>0</v>
      </c>
      <c r="L9" s="13">
        <f t="shared" si="2"/>
        <v>0</v>
      </c>
      <c r="M9" s="13">
        <f t="shared" si="2"/>
        <v>0</v>
      </c>
      <c r="N9" s="13">
        <f t="shared" si="2"/>
        <v>0</v>
      </c>
      <c r="O9" s="13">
        <f t="shared" si="2"/>
        <v>0</v>
      </c>
      <c r="P9" s="13">
        <f t="shared" si="2"/>
        <v>0</v>
      </c>
      <c r="R9" s="38" t="s">
        <v>60</v>
      </c>
      <c r="S9" s="8" t="s">
        <v>24</v>
      </c>
      <c r="T9" s="13">
        <v>0</v>
      </c>
      <c r="U9" s="13">
        <v>0</v>
      </c>
      <c r="V9" s="12">
        <v>0</v>
      </c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 spans="2:32" ht="21" customHeight="1">
      <c r="B10" s="58"/>
      <c r="C10" s="2" t="s">
        <v>24</v>
      </c>
      <c r="D10" s="13">
        <f t="shared" si="2"/>
        <v>41531</v>
      </c>
      <c r="E10" s="13">
        <f t="shared" si="2"/>
        <v>3103</v>
      </c>
      <c r="F10" s="13">
        <f t="shared" si="2"/>
        <v>3760</v>
      </c>
      <c r="G10" s="13">
        <f t="shared" si="2"/>
        <v>0</v>
      </c>
      <c r="H10" s="13">
        <f t="shared" si="2"/>
        <v>0</v>
      </c>
      <c r="I10" s="13">
        <f t="shared" si="2"/>
        <v>0</v>
      </c>
      <c r="J10" s="13">
        <f t="shared" si="2"/>
        <v>0</v>
      </c>
      <c r="K10" s="13">
        <f t="shared" si="2"/>
        <v>0</v>
      </c>
      <c r="L10" s="13">
        <f t="shared" si="2"/>
        <v>0</v>
      </c>
      <c r="M10" s="13">
        <f t="shared" si="2"/>
        <v>0</v>
      </c>
      <c r="N10" s="13">
        <f t="shared" si="2"/>
        <v>0</v>
      </c>
      <c r="O10" s="13">
        <f t="shared" si="2"/>
        <v>0</v>
      </c>
      <c r="P10" s="13">
        <f t="shared" si="2"/>
        <v>0</v>
      </c>
      <c r="R10" s="38" t="s">
        <v>60</v>
      </c>
      <c r="S10" s="8" t="s">
        <v>25</v>
      </c>
      <c r="T10" s="13">
        <v>360</v>
      </c>
      <c r="U10" s="13">
        <v>40</v>
      </c>
      <c r="V10" s="12">
        <v>30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 spans="2:32" ht="21" customHeight="1">
      <c r="B11" s="59"/>
      <c r="C11" s="2" t="s">
        <v>25</v>
      </c>
      <c r="D11" s="13">
        <f t="shared" si="2"/>
        <v>136913</v>
      </c>
      <c r="E11" s="13">
        <f t="shared" si="2"/>
        <v>12087</v>
      </c>
      <c r="F11" s="13">
        <f t="shared" si="2"/>
        <v>12749</v>
      </c>
      <c r="G11" s="13">
        <f t="shared" si="2"/>
        <v>0</v>
      </c>
      <c r="H11" s="13">
        <f t="shared" si="2"/>
        <v>0</v>
      </c>
      <c r="I11" s="13">
        <f t="shared" si="2"/>
        <v>0</v>
      </c>
      <c r="J11" s="13">
        <f t="shared" si="2"/>
        <v>0</v>
      </c>
      <c r="K11" s="13">
        <f t="shared" si="2"/>
        <v>0</v>
      </c>
      <c r="L11" s="13">
        <f t="shared" si="2"/>
        <v>0</v>
      </c>
      <c r="M11" s="13">
        <f t="shared" si="2"/>
        <v>0</v>
      </c>
      <c r="N11" s="13">
        <f t="shared" si="2"/>
        <v>0</v>
      </c>
      <c r="O11" s="13">
        <f t="shared" si="2"/>
        <v>0</v>
      </c>
      <c r="P11" s="13">
        <f t="shared" si="2"/>
        <v>0</v>
      </c>
      <c r="R11" s="38" t="s">
        <v>60</v>
      </c>
      <c r="S11" s="8" t="s">
        <v>30</v>
      </c>
      <c r="T11" s="13">
        <v>83</v>
      </c>
      <c r="U11" s="13">
        <v>90</v>
      </c>
      <c r="V11" s="12">
        <v>0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 spans="2:32" ht="21" customHeight="1">
      <c r="B12" s="66" t="s">
        <v>21</v>
      </c>
      <c r="C12" s="51"/>
      <c r="D12" s="12">
        <f t="shared" ref="D12:P12" si="3">SUM(D9:D11)</f>
        <v>184763</v>
      </c>
      <c r="E12" s="12">
        <f t="shared" si="3"/>
        <v>15698</v>
      </c>
      <c r="F12" s="12">
        <f t="shared" si="3"/>
        <v>17129</v>
      </c>
      <c r="G12" s="12">
        <f t="shared" si="3"/>
        <v>0</v>
      </c>
      <c r="H12" s="12">
        <f t="shared" si="3"/>
        <v>0</v>
      </c>
      <c r="I12" s="12">
        <f t="shared" si="3"/>
        <v>0</v>
      </c>
      <c r="J12" s="12">
        <f t="shared" si="3"/>
        <v>0</v>
      </c>
      <c r="K12" s="12">
        <f t="shared" si="3"/>
        <v>0</v>
      </c>
      <c r="L12" s="12">
        <f t="shared" si="3"/>
        <v>0</v>
      </c>
      <c r="M12" s="12">
        <f t="shared" si="3"/>
        <v>0</v>
      </c>
      <c r="N12" s="12">
        <f t="shared" si="3"/>
        <v>0</v>
      </c>
      <c r="O12" s="12">
        <f t="shared" si="3"/>
        <v>0</v>
      </c>
      <c r="P12" s="12">
        <f t="shared" si="3"/>
        <v>0</v>
      </c>
      <c r="R12" s="38" t="s">
        <v>60</v>
      </c>
      <c r="S12" s="8" t="s">
        <v>31</v>
      </c>
      <c r="T12" s="13">
        <v>2043</v>
      </c>
      <c r="U12" s="13">
        <v>208</v>
      </c>
      <c r="V12" s="12">
        <v>592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</row>
    <row r="13" spans="2:32" ht="21" customHeight="1">
      <c r="R13" s="38" t="s">
        <v>60</v>
      </c>
      <c r="S13" s="8" t="s">
        <v>61</v>
      </c>
      <c r="T13" s="13">
        <v>7000</v>
      </c>
      <c r="U13" s="13">
        <v>400</v>
      </c>
      <c r="V13" s="12">
        <v>380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 spans="2:32" ht="21" customHeight="1">
      <c r="B14" t="s">
        <v>62</v>
      </c>
      <c r="P14" s="7" t="s">
        <v>57</v>
      </c>
      <c r="R14" s="38" t="s">
        <v>60</v>
      </c>
      <c r="S14" s="8" t="s">
        <v>33</v>
      </c>
      <c r="T14" s="13">
        <v>390</v>
      </c>
      <c r="U14" s="13">
        <v>20</v>
      </c>
      <c r="V14" s="12">
        <v>70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 spans="2:32" ht="21" customHeight="1">
      <c r="B15" s="9"/>
      <c r="C15" s="4" t="s">
        <v>2</v>
      </c>
      <c r="D15" s="5" t="s">
        <v>3</v>
      </c>
      <c r="E15" s="5" t="s">
        <v>4</v>
      </c>
      <c r="F15" s="5" t="s">
        <v>5</v>
      </c>
      <c r="G15" s="5" t="s">
        <v>6</v>
      </c>
      <c r="H15" s="5" t="s">
        <v>7</v>
      </c>
      <c r="I15" s="5" t="s">
        <v>8</v>
      </c>
      <c r="J15" s="5" t="s">
        <v>9</v>
      </c>
      <c r="K15" s="5" t="s">
        <v>10</v>
      </c>
      <c r="L15" s="5" t="s">
        <v>11</v>
      </c>
      <c r="M15" s="5" t="s">
        <v>12</v>
      </c>
      <c r="N15" s="5" t="s">
        <v>13</v>
      </c>
      <c r="O15" s="5" t="s">
        <v>14</v>
      </c>
      <c r="P15" s="5" t="s">
        <v>15</v>
      </c>
      <c r="R15" s="38" t="s">
        <v>60</v>
      </c>
      <c r="S15" s="8" t="s">
        <v>35</v>
      </c>
      <c r="T15" s="13"/>
      <c r="U15" s="13"/>
      <c r="V15" s="12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 spans="2:32" ht="21" customHeight="1">
      <c r="B16" s="62" t="s">
        <v>29</v>
      </c>
      <c r="C16" s="8" t="s">
        <v>30</v>
      </c>
      <c r="D16" s="13">
        <f t="shared" ref="D16:P19" si="4">SUMIF($S:$S,$C16,T:T)</f>
        <v>20391</v>
      </c>
      <c r="E16" s="13">
        <f t="shared" si="4"/>
        <v>1064</v>
      </c>
      <c r="F16" s="13">
        <f t="shared" si="4"/>
        <v>1406</v>
      </c>
      <c r="G16" s="13">
        <f t="shared" si="4"/>
        <v>0</v>
      </c>
      <c r="H16" s="13">
        <f t="shared" si="4"/>
        <v>0</v>
      </c>
      <c r="I16" s="13">
        <f t="shared" si="4"/>
        <v>0</v>
      </c>
      <c r="J16" s="13">
        <f t="shared" si="4"/>
        <v>0</v>
      </c>
      <c r="K16" s="13">
        <f t="shared" si="4"/>
        <v>0</v>
      </c>
      <c r="L16" s="13">
        <f t="shared" si="4"/>
        <v>0</v>
      </c>
      <c r="M16" s="13">
        <f t="shared" si="4"/>
        <v>0</v>
      </c>
      <c r="N16" s="13">
        <f t="shared" si="4"/>
        <v>0</v>
      </c>
      <c r="O16" s="13">
        <f t="shared" si="4"/>
        <v>0</v>
      </c>
      <c r="P16" s="13">
        <f t="shared" si="4"/>
        <v>0</v>
      </c>
      <c r="R16" s="38" t="s">
        <v>60</v>
      </c>
      <c r="S16" s="8" t="s">
        <v>36</v>
      </c>
      <c r="T16" s="13"/>
      <c r="U16" s="13"/>
      <c r="V16" s="12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 spans="2:32" ht="21" customHeight="1">
      <c r="B17" s="53"/>
      <c r="C17" s="8" t="s">
        <v>31</v>
      </c>
      <c r="D17" s="13">
        <f t="shared" si="4"/>
        <v>13951</v>
      </c>
      <c r="E17" s="13">
        <f t="shared" si="4"/>
        <v>601</v>
      </c>
      <c r="F17" s="13">
        <f t="shared" si="4"/>
        <v>1100</v>
      </c>
      <c r="G17" s="13">
        <f t="shared" si="4"/>
        <v>0</v>
      </c>
      <c r="H17" s="13">
        <f t="shared" si="4"/>
        <v>0</v>
      </c>
      <c r="I17" s="13">
        <f t="shared" si="4"/>
        <v>0</v>
      </c>
      <c r="J17" s="13">
        <f t="shared" si="4"/>
        <v>0</v>
      </c>
      <c r="K17" s="13">
        <f t="shared" si="4"/>
        <v>0</v>
      </c>
      <c r="L17" s="13">
        <f t="shared" si="4"/>
        <v>0</v>
      </c>
      <c r="M17" s="13">
        <f t="shared" si="4"/>
        <v>0</v>
      </c>
      <c r="N17" s="13">
        <f t="shared" si="4"/>
        <v>0</v>
      </c>
      <c r="O17" s="13">
        <f t="shared" si="4"/>
        <v>0</v>
      </c>
      <c r="P17" s="13">
        <f t="shared" si="4"/>
        <v>0</v>
      </c>
      <c r="R17" s="2" t="s">
        <v>60</v>
      </c>
      <c r="S17" s="8" t="s">
        <v>37</v>
      </c>
      <c r="T17" s="13">
        <v>300</v>
      </c>
      <c r="U17" s="13">
        <v>20</v>
      </c>
      <c r="V17" s="12">
        <v>50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 spans="2:32" ht="21" customHeight="1">
      <c r="B18" s="53"/>
      <c r="C18" s="8" t="s">
        <v>61</v>
      </c>
      <c r="D18" s="13">
        <f t="shared" si="4"/>
        <v>40496</v>
      </c>
      <c r="E18" s="13">
        <f t="shared" si="4"/>
        <v>2511</v>
      </c>
      <c r="F18" s="13">
        <f t="shared" si="4"/>
        <v>2313</v>
      </c>
      <c r="G18" s="13">
        <f t="shared" si="4"/>
        <v>0</v>
      </c>
      <c r="H18" s="13">
        <f t="shared" si="4"/>
        <v>0</v>
      </c>
      <c r="I18" s="13">
        <f t="shared" si="4"/>
        <v>0</v>
      </c>
      <c r="J18" s="13">
        <f t="shared" si="4"/>
        <v>0</v>
      </c>
      <c r="K18" s="13">
        <f t="shared" si="4"/>
        <v>0</v>
      </c>
      <c r="L18" s="13">
        <f t="shared" si="4"/>
        <v>0</v>
      </c>
      <c r="M18" s="13">
        <f t="shared" si="4"/>
        <v>0</v>
      </c>
      <c r="N18" s="13">
        <f t="shared" si="4"/>
        <v>0</v>
      </c>
      <c r="O18" s="13">
        <f t="shared" si="4"/>
        <v>0</v>
      </c>
      <c r="P18" s="13">
        <f t="shared" si="4"/>
        <v>0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2:32" ht="21" customHeight="1">
      <c r="B19" s="63"/>
      <c r="C19" s="8" t="s">
        <v>33</v>
      </c>
      <c r="D19" s="13">
        <f t="shared" si="4"/>
        <v>27209</v>
      </c>
      <c r="E19" s="13">
        <f t="shared" si="4"/>
        <v>1731</v>
      </c>
      <c r="F19" s="13">
        <f t="shared" si="4"/>
        <v>2493</v>
      </c>
      <c r="G19" s="13">
        <f t="shared" si="4"/>
        <v>0</v>
      </c>
      <c r="H19" s="13">
        <f t="shared" si="4"/>
        <v>0</v>
      </c>
      <c r="I19" s="13">
        <f t="shared" si="4"/>
        <v>0</v>
      </c>
      <c r="J19" s="13">
        <f t="shared" si="4"/>
        <v>0</v>
      </c>
      <c r="K19" s="13">
        <f t="shared" si="4"/>
        <v>0</v>
      </c>
      <c r="L19" s="13">
        <f t="shared" si="4"/>
        <v>0</v>
      </c>
      <c r="M19" s="13">
        <f t="shared" si="4"/>
        <v>0</v>
      </c>
      <c r="N19" s="13">
        <f t="shared" si="4"/>
        <v>0</v>
      </c>
      <c r="O19" s="13">
        <f t="shared" si="4"/>
        <v>0</v>
      </c>
      <c r="P19" s="13">
        <f t="shared" si="4"/>
        <v>0</v>
      </c>
      <c r="R19" s="11" t="s">
        <v>59</v>
      </c>
      <c r="S19" s="5" t="s">
        <v>2</v>
      </c>
      <c r="T19" s="5" t="s">
        <v>3</v>
      </c>
      <c r="U19" s="5" t="s">
        <v>4</v>
      </c>
      <c r="V19" s="5" t="s">
        <v>5</v>
      </c>
      <c r="W19" s="5" t="s">
        <v>6</v>
      </c>
      <c r="X19" s="5" t="s">
        <v>7</v>
      </c>
      <c r="Y19" s="5" t="s">
        <v>8</v>
      </c>
      <c r="Z19" s="5" t="s">
        <v>9</v>
      </c>
      <c r="AA19" s="5" t="s">
        <v>10</v>
      </c>
      <c r="AB19" s="5" t="s">
        <v>11</v>
      </c>
      <c r="AC19" s="5" t="s">
        <v>12</v>
      </c>
      <c r="AD19" s="5" t="s">
        <v>13</v>
      </c>
      <c r="AE19" s="5" t="s">
        <v>14</v>
      </c>
      <c r="AF19" s="5" t="s">
        <v>15</v>
      </c>
    </row>
    <row r="20" spans="2:32" ht="21" customHeight="1">
      <c r="B20" s="10"/>
      <c r="C20" s="6" t="s">
        <v>21</v>
      </c>
      <c r="D20" s="12">
        <f t="shared" ref="D20:P20" si="5">SUM(D16:D19)</f>
        <v>102047</v>
      </c>
      <c r="E20" s="12">
        <f t="shared" si="5"/>
        <v>5907</v>
      </c>
      <c r="F20" s="12">
        <f t="shared" si="5"/>
        <v>7312</v>
      </c>
      <c r="G20" s="12">
        <f t="shared" si="5"/>
        <v>0</v>
      </c>
      <c r="H20" s="12">
        <f t="shared" si="5"/>
        <v>0</v>
      </c>
      <c r="I20" s="12">
        <f t="shared" si="5"/>
        <v>0</v>
      </c>
      <c r="J20" s="12">
        <f t="shared" si="5"/>
        <v>0</v>
      </c>
      <c r="K20" s="12">
        <f t="shared" si="5"/>
        <v>0</v>
      </c>
      <c r="L20" s="12">
        <f t="shared" si="5"/>
        <v>0</v>
      </c>
      <c r="M20" s="12">
        <f t="shared" si="5"/>
        <v>0</v>
      </c>
      <c r="N20" s="12">
        <f t="shared" si="5"/>
        <v>0</v>
      </c>
      <c r="O20" s="12">
        <f t="shared" si="5"/>
        <v>0</v>
      </c>
      <c r="P20" s="12">
        <f t="shared" si="5"/>
        <v>0</v>
      </c>
      <c r="R20" s="38" t="s">
        <v>63</v>
      </c>
      <c r="S20" s="8" t="s">
        <v>17</v>
      </c>
      <c r="T20" s="13">
        <v>1614</v>
      </c>
      <c r="U20" s="13">
        <v>0</v>
      </c>
      <c r="V20" s="12">
        <v>10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 spans="2:32" ht="21" customHeight="1">
      <c r="B21" s="64" t="s">
        <v>34</v>
      </c>
      <c r="C21" s="8" t="s">
        <v>35</v>
      </c>
      <c r="D21" s="13">
        <f t="shared" ref="D21:P23" si="6">SUMIF($S:$S,$C21,T:T)</f>
        <v>0</v>
      </c>
      <c r="E21" s="13">
        <f t="shared" si="6"/>
        <v>0</v>
      </c>
      <c r="F21" s="13">
        <f t="shared" si="6"/>
        <v>0</v>
      </c>
      <c r="G21" s="13">
        <f t="shared" si="6"/>
        <v>0</v>
      </c>
      <c r="H21" s="13">
        <f t="shared" si="6"/>
        <v>0</v>
      </c>
      <c r="I21" s="13">
        <f t="shared" si="6"/>
        <v>0</v>
      </c>
      <c r="J21" s="13">
        <f t="shared" si="6"/>
        <v>0</v>
      </c>
      <c r="K21" s="13">
        <f t="shared" si="6"/>
        <v>0</v>
      </c>
      <c r="L21" s="13">
        <f t="shared" si="6"/>
        <v>0</v>
      </c>
      <c r="M21" s="13">
        <f t="shared" si="6"/>
        <v>0</v>
      </c>
      <c r="N21" s="13">
        <f t="shared" si="6"/>
        <v>0</v>
      </c>
      <c r="O21" s="13">
        <f t="shared" si="6"/>
        <v>0</v>
      </c>
      <c r="P21" s="13">
        <f t="shared" si="6"/>
        <v>0</v>
      </c>
      <c r="R21" s="38" t="s">
        <v>63</v>
      </c>
      <c r="S21" s="8" t="s">
        <v>18</v>
      </c>
      <c r="T21" s="13">
        <v>1600</v>
      </c>
      <c r="U21" s="13">
        <v>120</v>
      </c>
      <c r="V21" s="12">
        <v>200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 spans="2:32" ht="21" customHeight="1">
      <c r="B22" s="53"/>
      <c r="C22" s="8" t="s">
        <v>36</v>
      </c>
      <c r="D22" s="13">
        <f t="shared" si="6"/>
        <v>0</v>
      </c>
      <c r="E22" s="13">
        <f t="shared" si="6"/>
        <v>0</v>
      </c>
      <c r="F22" s="13">
        <f t="shared" si="6"/>
        <v>0</v>
      </c>
      <c r="G22" s="13">
        <f t="shared" si="6"/>
        <v>0</v>
      </c>
      <c r="H22" s="13">
        <f t="shared" si="6"/>
        <v>0</v>
      </c>
      <c r="I22" s="13">
        <f t="shared" si="6"/>
        <v>0</v>
      </c>
      <c r="J22" s="13">
        <f t="shared" si="6"/>
        <v>0</v>
      </c>
      <c r="K22" s="13">
        <f t="shared" si="6"/>
        <v>0</v>
      </c>
      <c r="L22" s="13">
        <f t="shared" si="6"/>
        <v>0</v>
      </c>
      <c r="M22" s="13">
        <f t="shared" si="6"/>
        <v>0</v>
      </c>
      <c r="N22" s="13">
        <f t="shared" si="6"/>
        <v>0</v>
      </c>
      <c r="O22" s="13">
        <f t="shared" si="6"/>
        <v>0</v>
      </c>
      <c r="P22" s="13">
        <f t="shared" si="6"/>
        <v>0</v>
      </c>
      <c r="R22" s="38" t="s">
        <v>63</v>
      </c>
      <c r="S22" s="8" t="s">
        <v>19</v>
      </c>
      <c r="T22" s="13">
        <v>2700</v>
      </c>
      <c r="U22" s="13">
        <v>200</v>
      </c>
      <c r="V22" s="12">
        <v>240</v>
      </c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  <row r="23" spans="2:32" ht="21" customHeight="1">
      <c r="B23" s="54"/>
      <c r="C23" s="8" t="s">
        <v>37</v>
      </c>
      <c r="D23" s="13">
        <f t="shared" si="6"/>
        <v>3494</v>
      </c>
      <c r="E23" s="13">
        <f t="shared" si="6"/>
        <v>229</v>
      </c>
      <c r="F23" s="13">
        <f t="shared" si="6"/>
        <v>318</v>
      </c>
      <c r="G23" s="13">
        <f t="shared" si="6"/>
        <v>0</v>
      </c>
      <c r="H23" s="13">
        <f t="shared" si="6"/>
        <v>0</v>
      </c>
      <c r="I23" s="13">
        <f t="shared" si="6"/>
        <v>0</v>
      </c>
      <c r="J23" s="13">
        <f t="shared" si="6"/>
        <v>0</v>
      </c>
      <c r="K23" s="13">
        <f t="shared" si="6"/>
        <v>0</v>
      </c>
      <c r="L23" s="13">
        <f t="shared" si="6"/>
        <v>0</v>
      </c>
      <c r="M23" s="13">
        <f t="shared" si="6"/>
        <v>0</v>
      </c>
      <c r="N23" s="13">
        <f t="shared" si="6"/>
        <v>0</v>
      </c>
      <c r="O23" s="13">
        <f t="shared" si="6"/>
        <v>0</v>
      </c>
      <c r="P23" s="13">
        <f t="shared" si="6"/>
        <v>0</v>
      </c>
      <c r="R23" s="38" t="s">
        <v>63</v>
      </c>
      <c r="S23" s="8" t="s">
        <v>20</v>
      </c>
      <c r="T23" s="13">
        <v>2200</v>
      </c>
      <c r="U23" s="13">
        <v>160</v>
      </c>
      <c r="V23" s="12">
        <v>180</v>
      </c>
      <c r="W23" s="13"/>
      <c r="X23" s="13"/>
      <c r="Y23" s="13"/>
      <c r="Z23" s="13"/>
      <c r="AA23" s="13"/>
      <c r="AB23" s="13"/>
      <c r="AC23" s="13"/>
      <c r="AD23" s="13"/>
      <c r="AE23" s="13"/>
      <c r="AF23" s="13"/>
    </row>
    <row r="24" spans="2:32" ht="21" customHeight="1">
      <c r="B24" s="10"/>
      <c r="C24" s="6" t="s">
        <v>21</v>
      </c>
      <c r="D24" s="12">
        <f t="shared" ref="D24:P24" si="7">SUM(D21:D23)</f>
        <v>3494</v>
      </c>
      <c r="E24" s="12">
        <f t="shared" si="7"/>
        <v>229</v>
      </c>
      <c r="F24" s="12">
        <f t="shared" si="7"/>
        <v>318</v>
      </c>
      <c r="G24" s="12">
        <f t="shared" si="7"/>
        <v>0</v>
      </c>
      <c r="H24" s="12">
        <f t="shared" si="7"/>
        <v>0</v>
      </c>
      <c r="I24" s="12">
        <f t="shared" si="7"/>
        <v>0</v>
      </c>
      <c r="J24" s="12">
        <f t="shared" si="7"/>
        <v>0</v>
      </c>
      <c r="K24" s="12">
        <f t="shared" si="7"/>
        <v>0</v>
      </c>
      <c r="L24" s="12">
        <f t="shared" si="7"/>
        <v>0</v>
      </c>
      <c r="M24" s="12">
        <f t="shared" si="7"/>
        <v>0</v>
      </c>
      <c r="N24" s="12">
        <f t="shared" si="7"/>
        <v>0</v>
      </c>
      <c r="O24" s="12">
        <f t="shared" si="7"/>
        <v>0</v>
      </c>
      <c r="P24" s="12">
        <f t="shared" si="7"/>
        <v>0</v>
      </c>
      <c r="R24" s="38" t="s">
        <v>63</v>
      </c>
      <c r="S24" s="8" t="s">
        <v>23</v>
      </c>
      <c r="T24" s="13">
        <v>30</v>
      </c>
      <c r="U24" s="13">
        <v>0</v>
      </c>
      <c r="V24" s="12">
        <v>0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 spans="2:32" ht="21" customHeight="1">
      <c r="R25" s="38" t="s">
        <v>63</v>
      </c>
      <c r="S25" s="8" t="s">
        <v>24</v>
      </c>
      <c r="T25" s="13">
        <v>480</v>
      </c>
      <c r="U25" s="13">
        <v>40</v>
      </c>
      <c r="V25" s="12">
        <v>60</v>
      </c>
      <c r="W25" s="13"/>
      <c r="X25" s="13"/>
      <c r="Y25" s="13"/>
      <c r="Z25" s="13"/>
      <c r="AA25" s="13"/>
      <c r="AB25" s="13"/>
      <c r="AC25" s="13"/>
      <c r="AD25" s="13"/>
      <c r="AE25" s="13"/>
      <c r="AF25" s="13"/>
    </row>
    <row r="26" spans="2:32" ht="21" customHeight="1">
      <c r="R26" s="38" t="s">
        <v>63</v>
      </c>
      <c r="S26" s="8" t="s">
        <v>25</v>
      </c>
      <c r="T26" s="13">
        <v>3300</v>
      </c>
      <c r="U26" s="13">
        <v>250</v>
      </c>
      <c r="V26" s="12">
        <v>400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</row>
    <row r="27" spans="2:32" ht="21" customHeight="1">
      <c r="R27" s="38" t="s">
        <v>63</v>
      </c>
      <c r="S27" s="8" t="s">
        <v>30</v>
      </c>
      <c r="T27" s="13">
        <v>435</v>
      </c>
      <c r="U27" s="13">
        <v>24</v>
      </c>
      <c r="V27" s="12">
        <v>34</v>
      </c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  <row r="28" spans="2:32" ht="21" customHeight="1">
      <c r="R28" s="38" t="s">
        <v>63</v>
      </c>
      <c r="S28" s="8" t="s">
        <v>31</v>
      </c>
      <c r="T28" s="13">
        <v>1515</v>
      </c>
      <c r="U28" s="13">
        <v>48</v>
      </c>
      <c r="V28" s="12">
        <v>0</v>
      </c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 spans="2:32" ht="21" customHeight="1">
      <c r="R29" s="38" t="s">
        <v>63</v>
      </c>
      <c r="S29" s="8" t="s">
        <v>61</v>
      </c>
      <c r="T29" s="13">
        <v>1700</v>
      </c>
      <c r="U29" s="13">
        <v>120</v>
      </c>
      <c r="V29" s="12">
        <v>140</v>
      </c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 spans="2:32" ht="21" customHeight="1">
      <c r="R30" s="38" t="s">
        <v>63</v>
      </c>
      <c r="S30" s="8" t="s">
        <v>33</v>
      </c>
      <c r="T30" s="13">
        <v>800</v>
      </c>
      <c r="U30" s="13">
        <v>60</v>
      </c>
      <c r="V30" s="12">
        <v>80</v>
      </c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 spans="2:32" ht="21" customHeight="1">
      <c r="R31" s="38" t="s">
        <v>63</v>
      </c>
      <c r="S31" s="44" t="s">
        <v>35</v>
      </c>
      <c r="T31" s="45"/>
      <c r="U31" s="45"/>
      <c r="V31" s="46"/>
      <c r="W31" s="45"/>
      <c r="X31" s="45"/>
      <c r="Y31" s="45"/>
      <c r="Z31" s="45"/>
      <c r="AA31" s="45"/>
      <c r="AB31" s="45"/>
      <c r="AC31" s="45"/>
      <c r="AD31" s="45"/>
      <c r="AE31" s="45"/>
      <c r="AF31" s="45"/>
    </row>
    <row r="32" spans="2:32" ht="21" customHeight="1">
      <c r="R32" s="38" t="s">
        <v>63</v>
      </c>
      <c r="S32" s="44" t="s">
        <v>36</v>
      </c>
      <c r="T32" s="45"/>
      <c r="U32" s="45"/>
      <c r="V32" s="46"/>
      <c r="W32" s="45"/>
      <c r="X32" s="45"/>
      <c r="Y32" s="45"/>
      <c r="Z32" s="45"/>
      <c r="AA32" s="45"/>
      <c r="AB32" s="45"/>
      <c r="AC32" s="45"/>
      <c r="AD32" s="45"/>
      <c r="AE32" s="45"/>
      <c r="AF32" s="45"/>
    </row>
    <row r="33" spans="18:32" ht="21" customHeight="1">
      <c r="R33" s="38" t="s">
        <v>63</v>
      </c>
      <c r="S33" s="8" t="s">
        <v>37</v>
      </c>
      <c r="T33" s="13">
        <v>300</v>
      </c>
      <c r="U33" s="13">
        <v>20</v>
      </c>
      <c r="V33" s="12">
        <v>27</v>
      </c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 spans="18:32" ht="21" customHeight="1"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8:32" ht="21" customHeight="1">
      <c r="R35" s="11" t="s">
        <v>59</v>
      </c>
      <c r="S35" s="5" t="s">
        <v>2</v>
      </c>
      <c r="T35" s="5" t="s">
        <v>3</v>
      </c>
      <c r="U35" s="5" t="s">
        <v>4</v>
      </c>
      <c r="V35" s="5" t="s">
        <v>5</v>
      </c>
      <c r="W35" s="5" t="s">
        <v>6</v>
      </c>
      <c r="X35" s="5" t="s">
        <v>7</v>
      </c>
      <c r="Y35" s="5" t="s">
        <v>8</v>
      </c>
      <c r="Z35" s="5" t="s">
        <v>9</v>
      </c>
      <c r="AA35" s="5" t="s">
        <v>10</v>
      </c>
      <c r="AB35" s="5" t="s">
        <v>11</v>
      </c>
      <c r="AC35" s="5" t="s">
        <v>12</v>
      </c>
      <c r="AD35" s="5" t="s">
        <v>13</v>
      </c>
      <c r="AE35" s="5" t="s">
        <v>14</v>
      </c>
      <c r="AF35" s="5" t="s">
        <v>15</v>
      </c>
    </row>
    <row r="36" spans="18:32" ht="21" customHeight="1">
      <c r="R36" s="38" t="s">
        <v>64</v>
      </c>
      <c r="S36" s="8" t="s">
        <v>17</v>
      </c>
      <c r="T36" s="13">
        <v>1430</v>
      </c>
      <c r="U36" s="13">
        <v>0</v>
      </c>
      <c r="V36" s="12">
        <v>90</v>
      </c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 spans="18:32" ht="21" customHeight="1">
      <c r="R37" s="38" t="s">
        <v>64</v>
      </c>
      <c r="S37" s="8" t="s">
        <v>18</v>
      </c>
      <c r="T37" s="13">
        <v>2800</v>
      </c>
      <c r="U37" s="13">
        <v>240</v>
      </c>
      <c r="V37" s="12">
        <v>320</v>
      </c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 spans="18:32" ht="21" customHeight="1">
      <c r="R38" s="38" t="s">
        <v>64</v>
      </c>
      <c r="S38" s="8" t="s">
        <v>19</v>
      </c>
      <c r="T38" s="13">
        <v>4500</v>
      </c>
      <c r="U38" s="13">
        <v>300</v>
      </c>
      <c r="V38" s="12">
        <v>400</v>
      </c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 spans="18:32" ht="21" customHeight="1">
      <c r="R39" s="38" t="s">
        <v>64</v>
      </c>
      <c r="S39" s="8" t="s">
        <v>20</v>
      </c>
      <c r="T39" s="13">
        <v>2800</v>
      </c>
      <c r="U39" s="13">
        <v>200</v>
      </c>
      <c r="V39" s="12">
        <v>300</v>
      </c>
      <c r="W39" s="13"/>
      <c r="X39" s="13"/>
      <c r="Y39" s="13"/>
      <c r="Z39" s="13"/>
      <c r="AA39" s="13"/>
      <c r="AB39" s="13"/>
      <c r="AC39" s="13"/>
      <c r="AD39" s="13"/>
      <c r="AE39" s="13"/>
      <c r="AF39" s="13"/>
    </row>
    <row r="40" spans="18:32" ht="21" customHeight="1">
      <c r="R40" s="38" t="s">
        <v>64</v>
      </c>
      <c r="S40" s="8" t="s">
        <v>23</v>
      </c>
      <c r="T40" s="13">
        <v>70</v>
      </c>
      <c r="U40" s="13">
        <v>0</v>
      </c>
      <c r="V40" s="12">
        <v>0</v>
      </c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 spans="18:32" ht="21" customHeight="1">
      <c r="R41" s="38" t="s">
        <v>64</v>
      </c>
      <c r="S41" s="8" t="s">
        <v>24</v>
      </c>
      <c r="T41" s="13">
        <v>120</v>
      </c>
      <c r="U41" s="13">
        <v>10</v>
      </c>
      <c r="V41" s="12">
        <v>0</v>
      </c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 spans="18:32" ht="21" customHeight="1">
      <c r="R42" s="38" t="s">
        <v>64</v>
      </c>
      <c r="S42" s="8" t="s">
        <v>25</v>
      </c>
      <c r="T42" s="13">
        <v>1400</v>
      </c>
      <c r="U42" s="13">
        <v>100</v>
      </c>
      <c r="V42" s="12">
        <v>120</v>
      </c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 spans="18:32" ht="21" customHeight="1">
      <c r="R43" s="38" t="s">
        <v>64</v>
      </c>
      <c r="S43" s="8" t="s">
        <v>30</v>
      </c>
      <c r="T43" s="13">
        <v>1600</v>
      </c>
      <c r="U43" s="13">
        <v>120</v>
      </c>
      <c r="V43" s="12">
        <v>100</v>
      </c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 spans="18:32" ht="21" customHeight="1">
      <c r="R44" s="38" t="s">
        <v>64</v>
      </c>
      <c r="S44" s="8" t="s">
        <v>31</v>
      </c>
      <c r="T44" s="13">
        <v>318</v>
      </c>
      <c r="U44" s="13">
        <v>10</v>
      </c>
      <c r="V44" s="12">
        <v>0</v>
      </c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 spans="18:32" ht="21" customHeight="1">
      <c r="R45" s="38" t="s">
        <v>64</v>
      </c>
      <c r="S45" s="8" t="s">
        <v>61</v>
      </c>
      <c r="T45" s="13">
        <v>4500</v>
      </c>
      <c r="U45" s="13">
        <v>300</v>
      </c>
      <c r="V45" s="12">
        <v>240</v>
      </c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 spans="18:32" ht="21" customHeight="1">
      <c r="R46" s="38" t="s">
        <v>64</v>
      </c>
      <c r="S46" s="8" t="s">
        <v>33</v>
      </c>
      <c r="T46" s="13">
        <v>1000</v>
      </c>
      <c r="U46" s="13">
        <v>60</v>
      </c>
      <c r="V46" s="12">
        <v>80</v>
      </c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 spans="18:32" ht="21" customHeight="1">
      <c r="R47" s="38" t="s">
        <v>64</v>
      </c>
      <c r="S47" s="44" t="s">
        <v>35</v>
      </c>
      <c r="T47" s="45"/>
      <c r="U47" s="45"/>
      <c r="V47" s="46"/>
      <c r="W47" s="45"/>
      <c r="X47" s="45"/>
      <c r="Y47" s="45"/>
      <c r="Z47" s="45"/>
      <c r="AA47" s="45"/>
      <c r="AB47" s="45"/>
      <c r="AC47" s="45"/>
      <c r="AD47" s="45"/>
      <c r="AE47" s="45"/>
      <c r="AF47" s="45"/>
    </row>
    <row r="48" spans="18:32" ht="21" customHeight="1">
      <c r="R48" s="38" t="s">
        <v>64</v>
      </c>
      <c r="S48" s="44" t="s">
        <v>36</v>
      </c>
      <c r="T48" s="45"/>
      <c r="U48" s="45"/>
      <c r="V48" s="46"/>
      <c r="W48" s="45"/>
      <c r="X48" s="45"/>
      <c r="Y48" s="45"/>
      <c r="Z48" s="45"/>
      <c r="AA48" s="45"/>
      <c r="AB48" s="45"/>
      <c r="AC48" s="45"/>
      <c r="AD48" s="45"/>
      <c r="AE48" s="45"/>
      <c r="AF48" s="45"/>
    </row>
    <row r="49" spans="18:32" ht="21" customHeight="1">
      <c r="R49" s="38" t="s">
        <v>64</v>
      </c>
      <c r="S49" s="8" t="s">
        <v>37</v>
      </c>
      <c r="T49" s="13">
        <v>600</v>
      </c>
      <c r="U49" s="13">
        <v>40</v>
      </c>
      <c r="V49" s="12">
        <v>46</v>
      </c>
      <c r="W49" s="13"/>
      <c r="X49" s="13"/>
      <c r="Y49" s="13"/>
      <c r="Z49" s="13"/>
      <c r="AA49" s="13"/>
      <c r="AB49" s="13"/>
      <c r="AC49" s="13"/>
      <c r="AD49" s="13"/>
      <c r="AE49" s="13"/>
      <c r="AF49" s="13"/>
    </row>
    <row r="50" spans="18:32" ht="21" customHeight="1"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8:32" ht="21" customHeight="1">
      <c r="R51" s="11" t="s">
        <v>59</v>
      </c>
      <c r="S51" s="5" t="s">
        <v>2</v>
      </c>
      <c r="T51" s="5" t="s">
        <v>3</v>
      </c>
      <c r="U51" s="5" t="s">
        <v>4</v>
      </c>
      <c r="V51" s="5" t="s">
        <v>5</v>
      </c>
      <c r="W51" s="5" t="s">
        <v>6</v>
      </c>
      <c r="X51" s="5" t="s">
        <v>7</v>
      </c>
      <c r="Y51" s="5" t="s">
        <v>8</v>
      </c>
      <c r="Z51" s="5" t="s">
        <v>9</v>
      </c>
      <c r="AA51" s="5" t="s">
        <v>10</v>
      </c>
      <c r="AB51" s="5" t="s">
        <v>11</v>
      </c>
      <c r="AC51" s="5" t="s">
        <v>12</v>
      </c>
      <c r="AD51" s="5" t="s">
        <v>13</v>
      </c>
      <c r="AE51" s="5" t="s">
        <v>14</v>
      </c>
      <c r="AF51" s="5" t="s">
        <v>15</v>
      </c>
    </row>
    <row r="52" spans="18:32" ht="21" customHeight="1">
      <c r="R52" s="38" t="s">
        <v>65</v>
      </c>
      <c r="S52" s="8" t="s">
        <v>17</v>
      </c>
      <c r="T52" s="13">
        <v>5225</v>
      </c>
      <c r="U52" s="13">
        <v>130</v>
      </c>
      <c r="V52" s="12">
        <v>306</v>
      </c>
      <c r="W52" s="13"/>
      <c r="X52" s="13"/>
      <c r="Y52" s="13"/>
      <c r="Z52" s="13"/>
      <c r="AA52" s="13"/>
      <c r="AB52" s="13"/>
      <c r="AC52" s="13"/>
      <c r="AD52" s="13"/>
      <c r="AE52" s="13"/>
      <c r="AF52" s="13"/>
    </row>
    <row r="53" spans="18:32" ht="21" customHeight="1">
      <c r="R53" s="38" t="s">
        <v>65</v>
      </c>
      <c r="S53" s="8" t="s">
        <v>18</v>
      </c>
      <c r="T53" s="13">
        <v>3200</v>
      </c>
      <c r="U53" s="13">
        <v>200</v>
      </c>
      <c r="V53" s="12">
        <v>260</v>
      </c>
      <c r="W53" s="13"/>
      <c r="X53" s="13"/>
      <c r="Y53" s="13"/>
      <c r="Z53" s="13"/>
      <c r="AA53" s="13"/>
      <c r="AB53" s="13"/>
      <c r="AC53" s="13"/>
      <c r="AD53" s="13"/>
      <c r="AE53" s="13"/>
      <c r="AF53" s="13"/>
    </row>
    <row r="54" spans="18:32" ht="21" customHeight="1">
      <c r="R54" s="38" t="s">
        <v>65</v>
      </c>
      <c r="S54" s="8" t="s">
        <v>19</v>
      </c>
      <c r="T54" s="13">
        <v>16000</v>
      </c>
      <c r="U54" s="13">
        <v>1200</v>
      </c>
      <c r="V54" s="12">
        <v>1400</v>
      </c>
      <c r="W54" s="13"/>
      <c r="X54" s="13"/>
      <c r="Y54" s="13"/>
      <c r="Z54" s="13"/>
      <c r="AA54" s="13"/>
      <c r="AB54" s="13"/>
      <c r="AC54" s="13"/>
      <c r="AD54" s="13"/>
      <c r="AE54" s="13"/>
      <c r="AF54" s="13"/>
    </row>
    <row r="55" spans="18:32" ht="21" customHeight="1">
      <c r="R55" s="38" t="s">
        <v>65</v>
      </c>
      <c r="S55" s="8" t="s">
        <v>20</v>
      </c>
      <c r="T55" s="13">
        <v>5200</v>
      </c>
      <c r="U55" s="13">
        <v>340</v>
      </c>
      <c r="V55" s="12">
        <v>400</v>
      </c>
      <c r="W55" s="13"/>
      <c r="X55" s="13"/>
      <c r="Y55" s="13"/>
      <c r="Z55" s="13"/>
      <c r="AA55" s="13"/>
      <c r="AB55" s="13"/>
      <c r="AC55" s="13"/>
      <c r="AD55" s="13"/>
      <c r="AE55" s="13"/>
      <c r="AF55" s="13"/>
    </row>
    <row r="56" spans="18:32" ht="21" customHeight="1">
      <c r="R56" s="38" t="s">
        <v>65</v>
      </c>
      <c r="S56" s="8" t="s">
        <v>23</v>
      </c>
      <c r="T56" s="13">
        <v>461</v>
      </c>
      <c r="U56" s="13">
        <v>61</v>
      </c>
      <c r="V56" s="12">
        <v>45</v>
      </c>
      <c r="W56" s="13"/>
      <c r="X56" s="13"/>
      <c r="Y56" s="13"/>
      <c r="Z56" s="13"/>
      <c r="AA56" s="13"/>
      <c r="AB56" s="13"/>
      <c r="AC56" s="13"/>
      <c r="AD56" s="13"/>
      <c r="AE56" s="13"/>
      <c r="AF56" s="13"/>
    </row>
    <row r="57" spans="18:32" ht="21" customHeight="1">
      <c r="R57" s="38" t="s">
        <v>65</v>
      </c>
      <c r="S57" s="8" t="s">
        <v>24</v>
      </c>
      <c r="T57" s="13">
        <v>400</v>
      </c>
      <c r="U57" s="13">
        <v>50</v>
      </c>
      <c r="V57" s="12">
        <v>60</v>
      </c>
      <c r="W57" s="13"/>
      <c r="X57" s="13"/>
      <c r="Y57" s="13"/>
      <c r="Z57" s="13"/>
      <c r="AA57" s="13"/>
      <c r="AB57" s="13"/>
      <c r="AC57" s="13"/>
      <c r="AD57" s="13"/>
      <c r="AE57" s="13"/>
      <c r="AF57" s="13"/>
    </row>
    <row r="58" spans="18:32" ht="21" customHeight="1">
      <c r="R58" s="38" t="s">
        <v>65</v>
      </c>
      <c r="S58" s="8" t="s">
        <v>25</v>
      </c>
      <c r="T58" s="13">
        <v>1100</v>
      </c>
      <c r="U58" s="13">
        <v>80</v>
      </c>
      <c r="V58" s="12">
        <v>320</v>
      </c>
      <c r="W58" s="13"/>
      <c r="X58" s="13"/>
      <c r="Y58" s="13"/>
      <c r="Z58" s="13"/>
      <c r="AA58" s="13"/>
      <c r="AB58" s="13"/>
      <c r="AC58" s="13"/>
      <c r="AD58" s="13"/>
      <c r="AE58" s="13"/>
      <c r="AF58" s="13"/>
    </row>
    <row r="59" spans="18:32" ht="21" customHeight="1">
      <c r="R59" s="38" t="s">
        <v>65</v>
      </c>
      <c r="S59" s="8" t="s">
        <v>30</v>
      </c>
      <c r="T59" s="13">
        <v>1582</v>
      </c>
      <c r="U59" s="13">
        <v>0</v>
      </c>
      <c r="V59" s="12">
        <v>168</v>
      </c>
      <c r="W59" s="13"/>
      <c r="X59" s="13"/>
      <c r="Y59" s="13"/>
      <c r="Z59" s="13"/>
      <c r="AA59" s="13"/>
      <c r="AB59" s="13"/>
      <c r="AC59" s="13"/>
      <c r="AD59" s="13"/>
      <c r="AE59" s="13"/>
      <c r="AF59" s="13"/>
    </row>
    <row r="60" spans="18:32" ht="21" customHeight="1">
      <c r="R60" s="38" t="s">
        <v>65</v>
      </c>
      <c r="S60" s="8" t="s">
        <v>31</v>
      </c>
      <c r="T60" s="13">
        <v>659</v>
      </c>
      <c r="U60" s="13">
        <v>16</v>
      </c>
      <c r="V60" s="12">
        <v>16</v>
      </c>
      <c r="W60" s="13"/>
      <c r="X60" s="13"/>
      <c r="Y60" s="13"/>
      <c r="Z60" s="13"/>
      <c r="AA60" s="13"/>
      <c r="AB60" s="13"/>
      <c r="AC60" s="13"/>
      <c r="AD60" s="13"/>
      <c r="AE60" s="13"/>
      <c r="AF60" s="13"/>
    </row>
    <row r="61" spans="18:32" ht="21" customHeight="1">
      <c r="R61" s="38" t="s">
        <v>65</v>
      </c>
      <c r="S61" s="8" t="s">
        <v>61</v>
      </c>
      <c r="T61" s="13">
        <v>1300</v>
      </c>
      <c r="U61" s="13">
        <v>100</v>
      </c>
      <c r="V61" s="12">
        <v>120</v>
      </c>
      <c r="W61" s="13"/>
      <c r="X61" s="13"/>
      <c r="Y61" s="13"/>
      <c r="Z61" s="13"/>
      <c r="AA61" s="13"/>
      <c r="AB61" s="13"/>
      <c r="AC61" s="13"/>
      <c r="AD61" s="13"/>
      <c r="AE61" s="13"/>
      <c r="AF61" s="13"/>
    </row>
    <row r="62" spans="18:32" ht="21" customHeight="1">
      <c r="R62" s="38" t="s">
        <v>65</v>
      </c>
      <c r="S62" s="8" t="s">
        <v>33</v>
      </c>
      <c r="T62" s="13">
        <v>1500</v>
      </c>
      <c r="U62" s="13">
        <v>100</v>
      </c>
      <c r="V62" s="12">
        <v>140</v>
      </c>
      <c r="W62" s="13"/>
      <c r="X62" s="13"/>
      <c r="Y62" s="13"/>
      <c r="Z62" s="13"/>
      <c r="AA62" s="13"/>
      <c r="AB62" s="13"/>
      <c r="AC62" s="13"/>
      <c r="AD62" s="13"/>
      <c r="AE62" s="13"/>
      <c r="AF62" s="13"/>
    </row>
    <row r="63" spans="18:32" ht="21" customHeight="1">
      <c r="R63" s="38" t="s">
        <v>65</v>
      </c>
      <c r="S63" s="44" t="s">
        <v>35</v>
      </c>
      <c r="T63" s="45"/>
      <c r="U63" s="45"/>
      <c r="V63" s="46"/>
      <c r="W63" s="45"/>
      <c r="X63" s="45"/>
      <c r="Y63" s="45"/>
      <c r="Z63" s="45"/>
      <c r="AA63" s="45"/>
      <c r="AB63" s="45"/>
      <c r="AC63" s="45"/>
      <c r="AD63" s="45"/>
      <c r="AE63" s="45"/>
      <c r="AF63" s="45"/>
    </row>
    <row r="64" spans="18:32" ht="21" customHeight="1">
      <c r="R64" s="38" t="s">
        <v>65</v>
      </c>
      <c r="S64" s="44" t="s">
        <v>36</v>
      </c>
      <c r="T64" s="45"/>
      <c r="U64" s="45"/>
      <c r="V64" s="46"/>
      <c r="W64" s="45"/>
      <c r="X64" s="45"/>
      <c r="Y64" s="45"/>
      <c r="Z64" s="45"/>
      <c r="AA64" s="45"/>
      <c r="AB64" s="45"/>
      <c r="AC64" s="45"/>
      <c r="AD64" s="45"/>
      <c r="AE64" s="45"/>
      <c r="AF64" s="45"/>
    </row>
    <row r="65" spans="18:32" ht="21" customHeight="1">
      <c r="R65" s="38" t="s">
        <v>65</v>
      </c>
      <c r="S65" s="8" t="s">
        <v>37</v>
      </c>
      <c r="T65" s="13">
        <v>500</v>
      </c>
      <c r="U65" s="13">
        <v>20</v>
      </c>
      <c r="V65" s="12">
        <v>30</v>
      </c>
      <c r="W65" s="13"/>
      <c r="X65" s="13"/>
      <c r="Y65" s="13"/>
      <c r="Z65" s="13"/>
      <c r="AA65" s="13"/>
      <c r="AB65" s="13"/>
      <c r="AC65" s="13"/>
      <c r="AD65" s="13"/>
      <c r="AE65" s="13"/>
      <c r="AF65" s="13"/>
    </row>
    <row r="66" spans="18:32" ht="21" customHeight="1"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8:32" ht="21" customHeight="1">
      <c r="R67" s="11" t="s">
        <v>59</v>
      </c>
      <c r="S67" s="5" t="s">
        <v>2</v>
      </c>
      <c r="T67" s="5" t="s">
        <v>3</v>
      </c>
      <c r="U67" s="5" t="s">
        <v>4</v>
      </c>
      <c r="V67" s="5" t="s">
        <v>5</v>
      </c>
      <c r="W67" s="5" t="s">
        <v>6</v>
      </c>
      <c r="X67" s="5" t="s">
        <v>7</v>
      </c>
      <c r="Y67" s="5" t="s">
        <v>8</v>
      </c>
      <c r="Z67" s="5" t="s">
        <v>9</v>
      </c>
      <c r="AA67" s="5" t="s">
        <v>10</v>
      </c>
      <c r="AB67" s="5" t="s">
        <v>11</v>
      </c>
      <c r="AC67" s="5" t="s">
        <v>12</v>
      </c>
      <c r="AD67" s="5" t="s">
        <v>13</v>
      </c>
      <c r="AE67" s="5" t="s">
        <v>14</v>
      </c>
      <c r="AF67" s="5" t="s">
        <v>15</v>
      </c>
    </row>
    <row r="68" spans="18:32" ht="21" customHeight="1">
      <c r="R68" s="38" t="s">
        <v>101</v>
      </c>
      <c r="S68" s="8" t="s">
        <v>17</v>
      </c>
      <c r="T68" s="13">
        <v>2943</v>
      </c>
      <c r="U68" s="13">
        <v>20</v>
      </c>
      <c r="V68" s="12">
        <v>125</v>
      </c>
      <c r="W68" s="13"/>
      <c r="X68" s="13"/>
      <c r="Y68" s="13"/>
      <c r="Z68" s="13"/>
      <c r="AA68" s="13"/>
      <c r="AB68" s="13"/>
      <c r="AC68" s="13"/>
      <c r="AD68" s="13"/>
      <c r="AE68" s="13"/>
      <c r="AF68" s="13"/>
    </row>
    <row r="69" spans="18:32" ht="21" customHeight="1">
      <c r="R69" s="38" t="s">
        <v>101</v>
      </c>
      <c r="S69" s="8" t="s">
        <v>18</v>
      </c>
      <c r="T69" s="13">
        <v>1920</v>
      </c>
      <c r="U69" s="13">
        <v>120</v>
      </c>
      <c r="V69" s="12">
        <v>150</v>
      </c>
      <c r="W69" s="13"/>
      <c r="X69" s="13"/>
      <c r="Y69" s="13"/>
      <c r="Z69" s="13"/>
      <c r="AA69" s="13"/>
      <c r="AB69" s="13"/>
      <c r="AC69" s="13"/>
      <c r="AD69" s="13"/>
      <c r="AE69" s="13"/>
      <c r="AF69" s="13"/>
    </row>
    <row r="70" spans="18:32" ht="21" customHeight="1">
      <c r="R70" s="38" t="s">
        <v>101</v>
      </c>
      <c r="S70" s="8" t="s">
        <v>19</v>
      </c>
      <c r="T70" s="13">
        <v>3960</v>
      </c>
      <c r="U70" s="13">
        <v>270</v>
      </c>
      <c r="V70" s="12">
        <v>330</v>
      </c>
      <c r="W70" s="13"/>
      <c r="X70" s="13"/>
      <c r="Y70" s="13"/>
      <c r="Z70" s="13"/>
      <c r="AA70" s="13"/>
      <c r="AB70" s="13"/>
      <c r="AC70" s="13"/>
      <c r="AD70" s="13"/>
      <c r="AE70" s="13"/>
      <c r="AF70" s="13"/>
    </row>
    <row r="71" spans="18:32" ht="21" customHeight="1">
      <c r="R71" s="38" t="s">
        <v>101</v>
      </c>
      <c r="S71" s="8" t="s">
        <v>20</v>
      </c>
      <c r="T71" s="13">
        <v>2880</v>
      </c>
      <c r="U71" s="13">
        <v>160</v>
      </c>
      <c r="V71" s="12">
        <v>240</v>
      </c>
      <c r="W71" s="13"/>
      <c r="X71" s="13"/>
      <c r="Y71" s="13"/>
      <c r="Z71" s="13"/>
      <c r="AA71" s="13"/>
      <c r="AB71" s="13"/>
      <c r="AC71" s="13"/>
      <c r="AD71" s="13"/>
      <c r="AE71" s="13"/>
      <c r="AF71" s="13"/>
    </row>
    <row r="72" spans="18:32" ht="21" customHeight="1">
      <c r="R72" s="38" t="s">
        <v>101</v>
      </c>
      <c r="S72" s="8" t="s">
        <v>23</v>
      </c>
      <c r="T72" s="13">
        <v>85</v>
      </c>
      <c r="U72" s="13">
        <v>20</v>
      </c>
      <c r="V72" s="12">
        <v>10</v>
      </c>
      <c r="W72" s="13"/>
      <c r="X72" s="13"/>
      <c r="Y72" s="13"/>
      <c r="Z72" s="13"/>
      <c r="AA72" s="13"/>
      <c r="AB72" s="13"/>
      <c r="AC72" s="13"/>
      <c r="AD72" s="13"/>
      <c r="AE72" s="13"/>
      <c r="AF72" s="13"/>
    </row>
    <row r="73" spans="18:32" ht="21" customHeight="1">
      <c r="R73" s="38" t="s">
        <v>101</v>
      </c>
      <c r="S73" s="8" t="s">
        <v>24</v>
      </c>
      <c r="T73" s="13">
        <v>360</v>
      </c>
      <c r="U73" s="13">
        <v>30</v>
      </c>
      <c r="V73" s="12">
        <v>30</v>
      </c>
      <c r="W73" s="13"/>
      <c r="X73" s="13"/>
      <c r="Y73" s="13"/>
      <c r="Z73" s="13"/>
      <c r="AA73" s="13"/>
      <c r="AB73" s="13"/>
      <c r="AC73" s="13"/>
      <c r="AD73" s="13"/>
      <c r="AE73" s="13"/>
      <c r="AF73" s="13"/>
    </row>
    <row r="74" spans="18:32" ht="21" customHeight="1">
      <c r="R74" s="38" t="s">
        <v>101</v>
      </c>
      <c r="S74" s="8" t="s">
        <v>25</v>
      </c>
      <c r="T74" s="13">
        <v>720</v>
      </c>
      <c r="U74" s="13">
        <v>60</v>
      </c>
      <c r="V74" s="12">
        <v>100</v>
      </c>
      <c r="W74" s="13"/>
      <c r="X74" s="13"/>
      <c r="Y74" s="13"/>
      <c r="Z74" s="13"/>
      <c r="AA74" s="13"/>
      <c r="AB74" s="13"/>
      <c r="AC74" s="13"/>
      <c r="AD74" s="13"/>
      <c r="AE74" s="13"/>
      <c r="AF74" s="13"/>
    </row>
    <row r="75" spans="18:32" ht="21" customHeight="1">
      <c r="R75" s="38" t="s">
        <v>101</v>
      </c>
      <c r="S75" s="8" t="s">
        <v>30</v>
      </c>
      <c r="T75" s="13">
        <v>2065</v>
      </c>
      <c r="U75" s="13">
        <v>168</v>
      </c>
      <c r="V75" s="12">
        <v>180</v>
      </c>
      <c r="W75" s="13"/>
      <c r="X75" s="13"/>
      <c r="Y75" s="13"/>
      <c r="Z75" s="13"/>
      <c r="AA75" s="13"/>
      <c r="AB75" s="13"/>
      <c r="AC75" s="13"/>
      <c r="AD75" s="13"/>
      <c r="AE75" s="13"/>
      <c r="AF75" s="13"/>
    </row>
    <row r="76" spans="18:32" ht="21" customHeight="1">
      <c r="R76" s="38" t="s">
        <v>101</v>
      </c>
      <c r="S76" s="8" t="s">
        <v>31</v>
      </c>
      <c r="T76" s="13">
        <v>4008</v>
      </c>
      <c r="U76" s="13">
        <v>144</v>
      </c>
      <c r="V76" s="12">
        <v>144</v>
      </c>
      <c r="W76" s="13"/>
      <c r="X76" s="13"/>
      <c r="Y76" s="13"/>
      <c r="Z76" s="13"/>
      <c r="AA76" s="13"/>
      <c r="AB76" s="13"/>
      <c r="AC76" s="13"/>
      <c r="AD76" s="13"/>
      <c r="AE76" s="13"/>
      <c r="AF76" s="13"/>
    </row>
    <row r="77" spans="18:32" ht="21" customHeight="1">
      <c r="R77" s="38" t="s">
        <v>101</v>
      </c>
      <c r="S77" s="8" t="s">
        <v>61</v>
      </c>
      <c r="T77" s="13">
        <v>7920</v>
      </c>
      <c r="U77" s="13">
        <v>330</v>
      </c>
      <c r="V77" s="12">
        <v>450</v>
      </c>
      <c r="W77" s="13"/>
      <c r="X77" s="13"/>
      <c r="Y77" s="13"/>
      <c r="Z77" s="13"/>
      <c r="AA77" s="13"/>
      <c r="AB77" s="13"/>
      <c r="AC77" s="13"/>
      <c r="AD77" s="13"/>
      <c r="AE77" s="13"/>
      <c r="AF77" s="13"/>
    </row>
    <row r="78" spans="18:32" ht="21" customHeight="1">
      <c r="R78" s="38" t="s">
        <v>101</v>
      </c>
      <c r="S78" s="8" t="s">
        <v>33</v>
      </c>
      <c r="T78" s="13">
        <v>5280</v>
      </c>
      <c r="U78" s="13">
        <v>360</v>
      </c>
      <c r="V78" s="12">
        <v>460</v>
      </c>
      <c r="W78" s="13"/>
      <c r="X78" s="13"/>
      <c r="Y78" s="13"/>
      <c r="Z78" s="13"/>
      <c r="AA78" s="13"/>
      <c r="AB78" s="13"/>
      <c r="AC78" s="13"/>
      <c r="AD78" s="13"/>
      <c r="AE78" s="13"/>
      <c r="AF78" s="13"/>
    </row>
    <row r="79" spans="18:32" ht="21" customHeight="1">
      <c r="R79" s="38" t="s">
        <v>101</v>
      </c>
      <c r="S79" s="44" t="s">
        <v>35</v>
      </c>
      <c r="T79" s="45"/>
      <c r="U79" s="45"/>
      <c r="V79" s="46"/>
      <c r="W79" s="45"/>
      <c r="X79" s="45"/>
      <c r="Y79" s="45"/>
      <c r="Z79" s="45"/>
      <c r="AA79" s="45"/>
      <c r="AB79" s="45"/>
      <c r="AC79" s="45"/>
      <c r="AD79" s="45"/>
      <c r="AE79" s="45"/>
      <c r="AF79" s="45"/>
    </row>
    <row r="80" spans="18:32" ht="21" customHeight="1">
      <c r="R80" s="38" t="s">
        <v>101</v>
      </c>
      <c r="S80" s="44" t="s">
        <v>36</v>
      </c>
      <c r="T80" s="45"/>
      <c r="U80" s="45"/>
      <c r="V80" s="46"/>
      <c r="W80" s="45"/>
      <c r="X80" s="45"/>
      <c r="Y80" s="45"/>
      <c r="Z80" s="45"/>
      <c r="AA80" s="45"/>
      <c r="AB80" s="45"/>
      <c r="AC80" s="45"/>
      <c r="AD80" s="45"/>
      <c r="AE80" s="45"/>
      <c r="AF80" s="45"/>
    </row>
    <row r="81" spans="18:32" ht="21" customHeight="1">
      <c r="R81" s="38" t="s">
        <v>101</v>
      </c>
      <c r="S81" s="8" t="s">
        <v>37</v>
      </c>
      <c r="T81" s="13">
        <v>480</v>
      </c>
      <c r="U81" s="13">
        <v>40</v>
      </c>
      <c r="V81" s="12">
        <v>40</v>
      </c>
      <c r="W81" s="13"/>
      <c r="X81" s="13"/>
      <c r="Y81" s="13"/>
      <c r="Z81" s="13"/>
      <c r="AA81" s="13"/>
      <c r="AB81" s="13"/>
      <c r="AC81" s="13"/>
      <c r="AD81" s="13"/>
      <c r="AE81" s="13"/>
      <c r="AF81" s="13"/>
    </row>
    <row r="82" spans="18:32" ht="21" customHeight="1"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8:32" ht="21" customHeight="1">
      <c r="R83" s="11" t="s">
        <v>59</v>
      </c>
      <c r="S83" s="5" t="s">
        <v>2</v>
      </c>
      <c r="T83" s="5" t="s">
        <v>3</v>
      </c>
      <c r="U83" s="5" t="s">
        <v>4</v>
      </c>
      <c r="V83" s="5" t="s">
        <v>5</v>
      </c>
      <c r="W83" s="5" t="s">
        <v>6</v>
      </c>
      <c r="X83" s="5" t="s">
        <v>7</v>
      </c>
      <c r="Y83" s="5" t="s">
        <v>8</v>
      </c>
      <c r="Z83" s="5" t="s">
        <v>9</v>
      </c>
      <c r="AA83" s="5" t="s">
        <v>10</v>
      </c>
      <c r="AB83" s="5" t="s">
        <v>11</v>
      </c>
      <c r="AC83" s="5" t="s">
        <v>12</v>
      </c>
      <c r="AD83" s="5" t="s">
        <v>13</v>
      </c>
      <c r="AE83" s="5" t="s">
        <v>14</v>
      </c>
      <c r="AF83" s="5" t="s">
        <v>15</v>
      </c>
    </row>
    <row r="84" spans="18:32" ht="21" customHeight="1">
      <c r="R84" s="38" t="s">
        <v>66</v>
      </c>
      <c r="S84" s="8" t="s">
        <v>17</v>
      </c>
      <c r="T84" s="13">
        <v>34</v>
      </c>
      <c r="U84" s="13">
        <v>5</v>
      </c>
      <c r="V84" s="12">
        <v>3</v>
      </c>
      <c r="W84" s="13"/>
      <c r="X84" s="13"/>
      <c r="Y84" s="13"/>
      <c r="Z84" s="13"/>
      <c r="AA84" s="13"/>
      <c r="AB84" s="13"/>
      <c r="AC84" s="13"/>
      <c r="AD84" s="13"/>
      <c r="AE84" s="13"/>
      <c r="AF84" s="13"/>
    </row>
    <row r="85" spans="18:32" ht="21" customHeight="1">
      <c r="R85" s="38" t="s">
        <v>66</v>
      </c>
      <c r="S85" s="8" t="s">
        <v>18</v>
      </c>
      <c r="T85" s="13">
        <v>0</v>
      </c>
      <c r="U85" s="13">
        <v>0</v>
      </c>
      <c r="V85" s="12">
        <v>0</v>
      </c>
      <c r="W85" s="13"/>
      <c r="X85" s="13"/>
      <c r="Y85" s="13"/>
      <c r="Z85" s="13"/>
      <c r="AA85" s="13"/>
      <c r="AB85" s="13"/>
      <c r="AC85" s="13"/>
      <c r="AD85" s="13"/>
      <c r="AE85" s="13"/>
      <c r="AF85" s="13"/>
    </row>
    <row r="86" spans="18:32" ht="21" customHeight="1">
      <c r="R86" s="38" t="s">
        <v>66</v>
      </c>
      <c r="S86" s="8" t="s">
        <v>19</v>
      </c>
      <c r="T86" s="13">
        <v>0</v>
      </c>
      <c r="U86" s="13">
        <v>0</v>
      </c>
      <c r="V86" s="12">
        <v>30</v>
      </c>
      <c r="W86" s="13"/>
      <c r="X86" s="13"/>
      <c r="Y86" s="13"/>
      <c r="Z86" s="13"/>
      <c r="AA86" s="13"/>
      <c r="AB86" s="13"/>
      <c r="AC86" s="13"/>
      <c r="AD86" s="13"/>
      <c r="AE86" s="13"/>
      <c r="AF86" s="13"/>
    </row>
    <row r="87" spans="18:32" ht="21" customHeight="1">
      <c r="R87" s="38" t="s">
        <v>66</v>
      </c>
      <c r="S87" s="8" t="s">
        <v>20</v>
      </c>
      <c r="T87" s="13">
        <v>0</v>
      </c>
      <c r="U87" s="13">
        <v>0</v>
      </c>
      <c r="V87" s="12">
        <v>10</v>
      </c>
      <c r="W87" s="13"/>
      <c r="X87" s="13"/>
      <c r="Y87" s="13"/>
      <c r="Z87" s="13"/>
      <c r="AA87" s="13"/>
      <c r="AB87" s="13"/>
      <c r="AC87" s="13"/>
      <c r="AD87" s="13"/>
      <c r="AE87" s="13"/>
      <c r="AF87" s="13"/>
    </row>
    <row r="88" spans="18:32" ht="21" customHeight="1">
      <c r="R88" s="38" t="s">
        <v>66</v>
      </c>
      <c r="S88" s="8" t="s">
        <v>23</v>
      </c>
      <c r="T88" s="13">
        <v>155</v>
      </c>
      <c r="U88" s="13">
        <v>0</v>
      </c>
      <c r="V88" s="12">
        <v>10</v>
      </c>
      <c r="W88" s="13"/>
      <c r="X88" s="13"/>
      <c r="Y88" s="13"/>
      <c r="Z88" s="13"/>
      <c r="AA88" s="13"/>
      <c r="AB88" s="13"/>
      <c r="AC88" s="13"/>
      <c r="AD88" s="13"/>
      <c r="AE88" s="13"/>
      <c r="AF88" s="13"/>
    </row>
    <row r="89" spans="18:32" ht="21" customHeight="1">
      <c r="R89" s="38" t="s">
        <v>66</v>
      </c>
      <c r="S89" s="8" t="s">
        <v>24</v>
      </c>
      <c r="T89" s="13">
        <v>0</v>
      </c>
      <c r="U89" s="13">
        <v>0</v>
      </c>
      <c r="V89" s="12">
        <v>120</v>
      </c>
      <c r="W89" s="13"/>
      <c r="X89" s="13"/>
      <c r="Y89" s="13"/>
      <c r="Z89" s="13"/>
      <c r="AA89" s="13"/>
      <c r="AB89" s="13"/>
      <c r="AC89" s="13"/>
      <c r="AD89" s="13"/>
      <c r="AE89" s="13"/>
      <c r="AF89" s="13"/>
    </row>
    <row r="90" spans="18:32" ht="21" customHeight="1">
      <c r="R90" s="38" t="s">
        <v>66</v>
      </c>
      <c r="S90" s="8" t="s">
        <v>25</v>
      </c>
      <c r="T90" s="13">
        <v>2200</v>
      </c>
      <c r="U90" s="13">
        <v>260</v>
      </c>
      <c r="V90" s="12">
        <v>260</v>
      </c>
      <c r="W90" s="13"/>
      <c r="X90" s="13"/>
      <c r="Y90" s="13"/>
      <c r="Z90" s="13"/>
      <c r="AA90" s="13"/>
      <c r="AB90" s="13"/>
      <c r="AC90" s="13"/>
      <c r="AD90" s="13"/>
      <c r="AE90" s="13"/>
      <c r="AF90" s="13"/>
    </row>
    <row r="91" spans="18:32" ht="21" customHeight="1">
      <c r="R91" s="38" t="s">
        <v>66</v>
      </c>
      <c r="S91" s="8" t="s">
        <v>30</v>
      </c>
      <c r="T91" s="13">
        <v>91</v>
      </c>
      <c r="U91" s="13">
        <v>6</v>
      </c>
      <c r="V91" s="12">
        <v>4</v>
      </c>
      <c r="W91" s="13"/>
      <c r="X91" s="13"/>
      <c r="Y91" s="13"/>
      <c r="Z91" s="13"/>
      <c r="AA91" s="13"/>
      <c r="AB91" s="13"/>
      <c r="AC91" s="13"/>
      <c r="AD91" s="13"/>
      <c r="AE91" s="13"/>
      <c r="AF91" s="13"/>
    </row>
    <row r="92" spans="18:32" ht="21" customHeight="1">
      <c r="R92" s="38" t="s">
        <v>66</v>
      </c>
      <c r="S92" s="8" t="s">
        <v>31</v>
      </c>
      <c r="T92" s="13">
        <v>46</v>
      </c>
      <c r="U92" s="13">
        <v>5</v>
      </c>
      <c r="V92" s="12">
        <v>0</v>
      </c>
      <c r="W92" s="13"/>
      <c r="X92" s="13"/>
      <c r="Y92" s="13"/>
      <c r="Z92" s="13"/>
      <c r="AA92" s="13"/>
      <c r="AB92" s="13"/>
      <c r="AC92" s="13"/>
      <c r="AD92" s="13"/>
      <c r="AE92" s="13"/>
      <c r="AF92" s="13"/>
    </row>
    <row r="93" spans="18:32" ht="21" customHeight="1">
      <c r="R93" s="38" t="s">
        <v>66</v>
      </c>
      <c r="S93" s="8" t="s">
        <v>61</v>
      </c>
      <c r="T93" s="13">
        <v>0</v>
      </c>
      <c r="U93" s="13">
        <v>0</v>
      </c>
      <c r="V93" s="12">
        <v>0</v>
      </c>
      <c r="W93" s="13"/>
      <c r="X93" s="13"/>
      <c r="Y93" s="13"/>
      <c r="Z93" s="13"/>
      <c r="AA93" s="13"/>
      <c r="AB93" s="13"/>
      <c r="AC93" s="13"/>
      <c r="AD93" s="13"/>
      <c r="AE93" s="13"/>
      <c r="AF93" s="13"/>
    </row>
    <row r="94" spans="18:32" ht="21" customHeight="1">
      <c r="R94" s="38" t="s">
        <v>66</v>
      </c>
      <c r="S94" s="8" t="s">
        <v>33</v>
      </c>
      <c r="T94" s="13">
        <v>200</v>
      </c>
      <c r="U94" s="13">
        <v>15</v>
      </c>
      <c r="V94" s="12">
        <v>25</v>
      </c>
      <c r="W94" s="13"/>
      <c r="X94" s="13"/>
      <c r="Y94" s="13"/>
      <c r="Z94" s="13"/>
      <c r="AA94" s="13"/>
      <c r="AB94" s="13"/>
      <c r="AC94" s="13"/>
      <c r="AD94" s="13"/>
      <c r="AE94" s="13"/>
      <c r="AF94" s="13"/>
    </row>
    <row r="95" spans="18:32" ht="21" customHeight="1">
      <c r="R95" s="38" t="s">
        <v>66</v>
      </c>
      <c r="S95" s="44" t="s">
        <v>35</v>
      </c>
      <c r="T95" s="45"/>
      <c r="U95" s="45"/>
      <c r="V95" s="46"/>
      <c r="W95" s="45"/>
      <c r="X95" s="45"/>
      <c r="Y95" s="45"/>
      <c r="Z95" s="45"/>
      <c r="AA95" s="45"/>
      <c r="AB95" s="45"/>
      <c r="AC95" s="45"/>
      <c r="AD95" s="45"/>
      <c r="AE95" s="45"/>
      <c r="AF95" s="45"/>
    </row>
    <row r="96" spans="18:32" ht="21" customHeight="1">
      <c r="R96" s="38" t="s">
        <v>66</v>
      </c>
      <c r="S96" s="44" t="s">
        <v>36</v>
      </c>
      <c r="T96" s="45"/>
      <c r="U96" s="45"/>
      <c r="V96" s="46"/>
      <c r="W96" s="45"/>
      <c r="X96" s="45"/>
      <c r="Y96" s="45"/>
      <c r="Z96" s="45"/>
      <c r="AA96" s="45"/>
      <c r="AB96" s="45"/>
      <c r="AC96" s="45"/>
      <c r="AD96" s="45"/>
      <c r="AE96" s="45"/>
      <c r="AF96" s="45"/>
    </row>
    <row r="97" spans="18:32" ht="21" customHeight="1">
      <c r="R97" s="38" t="s">
        <v>66</v>
      </c>
      <c r="S97" s="8" t="s">
        <v>37</v>
      </c>
      <c r="T97" s="13">
        <v>0</v>
      </c>
      <c r="U97" s="13">
        <v>0</v>
      </c>
      <c r="V97" s="12">
        <v>0</v>
      </c>
      <c r="W97" s="13"/>
      <c r="X97" s="13"/>
      <c r="Y97" s="13"/>
      <c r="Z97" s="13"/>
      <c r="AA97" s="13"/>
      <c r="AB97" s="13"/>
      <c r="AC97" s="13"/>
      <c r="AD97" s="13"/>
      <c r="AE97" s="13"/>
      <c r="AF97" s="13"/>
    </row>
    <row r="98" spans="18:32" ht="21" customHeight="1"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8:32" ht="21" customHeight="1">
      <c r="R99" s="11" t="s">
        <v>59</v>
      </c>
      <c r="S99" s="5" t="s">
        <v>2</v>
      </c>
      <c r="T99" s="5" t="s">
        <v>3</v>
      </c>
      <c r="U99" s="5" t="s">
        <v>4</v>
      </c>
      <c r="V99" s="5" t="s">
        <v>5</v>
      </c>
      <c r="W99" s="5" t="s">
        <v>6</v>
      </c>
      <c r="X99" s="5" t="s">
        <v>7</v>
      </c>
      <c r="Y99" s="5" t="s">
        <v>8</v>
      </c>
      <c r="Z99" s="5" t="s">
        <v>9</v>
      </c>
      <c r="AA99" s="5" t="s">
        <v>10</v>
      </c>
      <c r="AB99" s="5" t="s">
        <v>11</v>
      </c>
      <c r="AC99" s="5" t="s">
        <v>12</v>
      </c>
      <c r="AD99" s="5" t="s">
        <v>13</v>
      </c>
      <c r="AE99" s="5" t="s">
        <v>14</v>
      </c>
      <c r="AF99" s="5" t="s">
        <v>15</v>
      </c>
    </row>
    <row r="100" spans="18:32" ht="21" customHeight="1">
      <c r="R100" s="38" t="s">
        <v>67</v>
      </c>
      <c r="S100" s="8" t="s">
        <v>17</v>
      </c>
      <c r="T100" s="13">
        <v>128</v>
      </c>
      <c r="U100" s="13">
        <v>0</v>
      </c>
      <c r="V100" s="12">
        <v>0</v>
      </c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</row>
    <row r="101" spans="18:32" ht="21" customHeight="1">
      <c r="R101" s="38" t="s">
        <v>67</v>
      </c>
      <c r="S101" s="8" t="s">
        <v>18</v>
      </c>
      <c r="T101" s="13">
        <v>0</v>
      </c>
      <c r="U101" s="13">
        <v>0</v>
      </c>
      <c r="V101" s="12">
        <v>0</v>
      </c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</row>
    <row r="102" spans="18:32" ht="21" customHeight="1">
      <c r="R102" s="38" t="s">
        <v>67</v>
      </c>
      <c r="S102" s="8" t="s">
        <v>19</v>
      </c>
      <c r="T102" s="13">
        <v>1000</v>
      </c>
      <c r="U102" s="13">
        <v>80</v>
      </c>
      <c r="V102" s="12">
        <v>100</v>
      </c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 spans="18:32" ht="21" customHeight="1">
      <c r="R103" s="38" t="s">
        <v>67</v>
      </c>
      <c r="S103" s="8" t="s">
        <v>20</v>
      </c>
      <c r="T103" s="13">
        <v>0</v>
      </c>
      <c r="U103" s="13">
        <v>0</v>
      </c>
      <c r="V103" s="12">
        <v>0</v>
      </c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</row>
    <row r="104" spans="18:32" ht="21" customHeight="1">
      <c r="R104" s="38" t="s">
        <v>67</v>
      </c>
      <c r="S104" s="8" t="s">
        <v>23</v>
      </c>
      <c r="T104" s="13">
        <v>70</v>
      </c>
      <c r="U104" s="13">
        <v>10</v>
      </c>
      <c r="V104" s="12">
        <v>0</v>
      </c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 spans="18:32" ht="21" customHeight="1">
      <c r="R105" s="38" t="s">
        <v>67</v>
      </c>
      <c r="S105" s="8" t="s">
        <v>24</v>
      </c>
      <c r="T105" s="13">
        <v>720</v>
      </c>
      <c r="U105" s="13">
        <v>40</v>
      </c>
      <c r="V105" s="12">
        <v>40</v>
      </c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</row>
    <row r="106" spans="18:32" ht="21" customHeight="1">
      <c r="R106" s="38" t="s">
        <v>67</v>
      </c>
      <c r="S106" s="8" t="s">
        <v>25</v>
      </c>
      <c r="T106" s="13">
        <v>1300</v>
      </c>
      <c r="U106" s="13">
        <v>80</v>
      </c>
      <c r="V106" s="12">
        <v>240</v>
      </c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r="107" spans="18:32" ht="21" customHeight="1">
      <c r="R107" s="38" t="s">
        <v>67</v>
      </c>
      <c r="S107" s="8" t="s">
        <v>30</v>
      </c>
      <c r="T107" s="13">
        <v>492</v>
      </c>
      <c r="U107" s="13">
        <v>84</v>
      </c>
      <c r="V107" s="12">
        <v>0</v>
      </c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</row>
    <row r="108" spans="18:32" ht="21" customHeight="1">
      <c r="R108" s="38" t="s">
        <v>67</v>
      </c>
      <c r="S108" s="8" t="s">
        <v>31</v>
      </c>
      <c r="T108" s="13">
        <v>5</v>
      </c>
      <c r="U108" s="13">
        <v>0</v>
      </c>
      <c r="V108" s="12">
        <v>0</v>
      </c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</row>
    <row r="109" spans="18:32" ht="21" customHeight="1">
      <c r="R109" s="38" t="s">
        <v>67</v>
      </c>
      <c r="S109" s="8" t="s">
        <v>61</v>
      </c>
      <c r="T109" s="13">
        <v>0</v>
      </c>
      <c r="U109" s="13">
        <v>0</v>
      </c>
      <c r="V109" s="12">
        <v>0</v>
      </c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</row>
    <row r="110" spans="18:32" ht="21" customHeight="1">
      <c r="R110" s="38" t="s">
        <v>67</v>
      </c>
      <c r="S110" s="8" t="s">
        <v>33</v>
      </c>
      <c r="T110" s="13">
        <v>200</v>
      </c>
      <c r="U110" s="13">
        <v>20</v>
      </c>
      <c r="V110" s="12">
        <v>40</v>
      </c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</row>
    <row r="111" spans="18:32" ht="21" customHeight="1">
      <c r="R111" s="38" t="s">
        <v>67</v>
      </c>
      <c r="S111" s="44" t="s">
        <v>35</v>
      </c>
      <c r="T111" s="45"/>
      <c r="U111" s="45"/>
      <c r="V111" s="46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</row>
    <row r="112" spans="18:32" ht="21" customHeight="1">
      <c r="R112" s="38" t="s">
        <v>67</v>
      </c>
      <c r="S112" s="44" t="s">
        <v>36</v>
      </c>
      <c r="T112" s="45"/>
      <c r="U112" s="45"/>
      <c r="V112" s="46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</row>
    <row r="113" spans="18:32" ht="21" customHeight="1">
      <c r="R113" s="38" t="s">
        <v>67</v>
      </c>
      <c r="S113" s="8" t="s">
        <v>37</v>
      </c>
      <c r="T113" s="13">
        <v>0</v>
      </c>
      <c r="U113" s="13">
        <v>0</v>
      </c>
      <c r="V113" s="12">
        <v>0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</row>
    <row r="114" spans="18:32" ht="21" customHeight="1"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8:32" ht="21" customHeight="1">
      <c r="R115" s="11" t="s">
        <v>59</v>
      </c>
      <c r="S115" s="5" t="s">
        <v>2</v>
      </c>
      <c r="T115" s="5" t="s">
        <v>3</v>
      </c>
      <c r="U115" s="5" t="s">
        <v>4</v>
      </c>
      <c r="V115" s="5" t="s">
        <v>5</v>
      </c>
      <c r="W115" s="5" t="s">
        <v>6</v>
      </c>
      <c r="X115" s="5" t="s">
        <v>7</v>
      </c>
      <c r="Y115" s="5" t="s">
        <v>8</v>
      </c>
      <c r="Z115" s="5" t="s">
        <v>9</v>
      </c>
      <c r="AA115" s="5" t="s">
        <v>10</v>
      </c>
      <c r="AB115" s="5" t="s">
        <v>11</v>
      </c>
      <c r="AC115" s="5" t="s">
        <v>12</v>
      </c>
      <c r="AD115" s="5" t="s">
        <v>13</v>
      </c>
      <c r="AE115" s="5" t="s">
        <v>14</v>
      </c>
      <c r="AF115" s="5" t="s">
        <v>15</v>
      </c>
    </row>
    <row r="116" spans="18:32" ht="21" customHeight="1">
      <c r="R116" s="38" t="s">
        <v>68</v>
      </c>
      <c r="S116" s="8" t="s">
        <v>17</v>
      </c>
      <c r="T116" s="13">
        <v>3960</v>
      </c>
      <c r="U116" s="13">
        <v>0</v>
      </c>
      <c r="V116" s="12">
        <v>0</v>
      </c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</row>
    <row r="117" spans="18:32" ht="21" customHeight="1">
      <c r="R117" s="38" t="s">
        <v>68</v>
      </c>
      <c r="S117" s="8" t="s">
        <v>18</v>
      </c>
      <c r="T117" s="13">
        <v>2200</v>
      </c>
      <c r="U117" s="13">
        <v>150</v>
      </c>
      <c r="V117" s="12">
        <v>140</v>
      </c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</row>
    <row r="118" spans="18:32" ht="21" customHeight="1">
      <c r="R118" s="38" t="s">
        <v>68</v>
      </c>
      <c r="S118" s="8" t="s">
        <v>19</v>
      </c>
      <c r="T118" s="13">
        <v>11000</v>
      </c>
      <c r="U118" s="13">
        <v>800</v>
      </c>
      <c r="V118" s="12">
        <v>840</v>
      </c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</row>
    <row r="119" spans="18:32" ht="21" customHeight="1">
      <c r="R119" s="38" t="s">
        <v>68</v>
      </c>
      <c r="S119" s="8" t="s">
        <v>20</v>
      </c>
      <c r="T119" s="13">
        <v>6800</v>
      </c>
      <c r="U119" s="13">
        <v>700</v>
      </c>
      <c r="V119" s="12">
        <v>520</v>
      </c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</row>
    <row r="120" spans="18:32" ht="21" customHeight="1">
      <c r="R120" s="38" t="s">
        <v>68</v>
      </c>
      <c r="S120" s="8" t="s">
        <v>23</v>
      </c>
      <c r="T120" s="13">
        <v>0</v>
      </c>
      <c r="U120" s="13">
        <v>0</v>
      </c>
      <c r="V120" s="12">
        <v>0</v>
      </c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</row>
    <row r="121" spans="18:32" ht="21" customHeight="1">
      <c r="R121" s="38" t="s">
        <v>68</v>
      </c>
      <c r="S121" s="8" t="s">
        <v>24</v>
      </c>
      <c r="T121" s="13">
        <v>350</v>
      </c>
      <c r="U121" s="13">
        <v>20</v>
      </c>
      <c r="V121" s="12">
        <v>10</v>
      </c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</row>
    <row r="122" spans="18:32" ht="21" customHeight="1">
      <c r="R122" s="38" t="s">
        <v>68</v>
      </c>
      <c r="S122" s="8" t="s">
        <v>25</v>
      </c>
      <c r="T122" s="13">
        <v>300</v>
      </c>
      <c r="U122" s="13">
        <v>20</v>
      </c>
      <c r="V122" s="12">
        <v>20</v>
      </c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</row>
    <row r="123" spans="18:32" ht="21" customHeight="1">
      <c r="R123" s="38" t="s">
        <v>68</v>
      </c>
      <c r="S123" s="8" t="s">
        <v>30</v>
      </c>
      <c r="T123" s="13">
        <v>840</v>
      </c>
      <c r="U123" s="13">
        <v>50</v>
      </c>
      <c r="V123" s="12">
        <v>35</v>
      </c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</row>
    <row r="124" spans="18:32" ht="21" customHeight="1">
      <c r="R124" s="38" t="s">
        <v>68</v>
      </c>
      <c r="S124" s="8" t="s">
        <v>31</v>
      </c>
      <c r="T124" s="13">
        <v>180</v>
      </c>
      <c r="U124" s="13">
        <v>15</v>
      </c>
      <c r="V124" s="12">
        <v>10</v>
      </c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</row>
    <row r="125" spans="18:32" ht="21" customHeight="1">
      <c r="R125" s="38" t="s">
        <v>68</v>
      </c>
      <c r="S125" s="8" t="s">
        <v>61</v>
      </c>
      <c r="T125" s="13">
        <v>650</v>
      </c>
      <c r="U125" s="13">
        <v>50</v>
      </c>
      <c r="V125" s="12">
        <v>30</v>
      </c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</row>
    <row r="126" spans="18:32" ht="21" customHeight="1">
      <c r="R126" s="38" t="s">
        <v>68</v>
      </c>
      <c r="S126" s="8" t="s">
        <v>33</v>
      </c>
      <c r="T126" s="13">
        <v>700</v>
      </c>
      <c r="U126" s="13">
        <v>60</v>
      </c>
      <c r="V126" s="12">
        <v>70</v>
      </c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</row>
    <row r="127" spans="18:32" ht="21" customHeight="1">
      <c r="R127" s="38" t="s">
        <v>68</v>
      </c>
      <c r="S127" s="44" t="s">
        <v>35</v>
      </c>
      <c r="T127" s="45"/>
      <c r="U127" s="45"/>
      <c r="V127" s="46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</row>
    <row r="128" spans="18:32" ht="21" customHeight="1">
      <c r="R128" s="38" t="s">
        <v>68</v>
      </c>
      <c r="S128" s="44" t="s">
        <v>36</v>
      </c>
      <c r="T128" s="45"/>
      <c r="U128" s="45"/>
      <c r="V128" s="46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</row>
    <row r="129" spans="18:32" ht="21" customHeight="1">
      <c r="R129" s="38" t="s">
        <v>68</v>
      </c>
      <c r="S129" s="8" t="s">
        <v>37</v>
      </c>
      <c r="T129" s="13">
        <v>40</v>
      </c>
      <c r="U129" s="13">
        <v>10</v>
      </c>
      <c r="V129" s="12">
        <v>0</v>
      </c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</row>
    <row r="130" spans="18:32" ht="21" customHeight="1"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8:32" ht="21" customHeight="1">
      <c r="R131" s="11" t="s">
        <v>59</v>
      </c>
      <c r="S131" s="5" t="s">
        <v>2</v>
      </c>
      <c r="T131" s="5" t="s">
        <v>3</v>
      </c>
      <c r="U131" s="5" t="s">
        <v>4</v>
      </c>
      <c r="V131" s="5" t="s">
        <v>5</v>
      </c>
      <c r="W131" s="5" t="s">
        <v>6</v>
      </c>
      <c r="X131" s="5" t="s">
        <v>7</v>
      </c>
      <c r="Y131" s="5" t="s">
        <v>8</v>
      </c>
      <c r="Z131" s="5" t="s">
        <v>9</v>
      </c>
      <c r="AA131" s="5" t="s">
        <v>10</v>
      </c>
      <c r="AB131" s="5" t="s">
        <v>11</v>
      </c>
      <c r="AC131" s="5" t="s">
        <v>12</v>
      </c>
      <c r="AD131" s="5" t="s">
        <v>13</v>
      </c>
      <c r="AE131" s="5" t="s">
        <v>14</v>
      </c>
      <c r="AF131" s="5" t="s">
        <v>15</v>
      </c>
    </row>
    <row r="132" spans="18:32" ht="21" customHeight="1">
      <c r="R132" s="38" t="s">
        <v>69</v>
      </c>
      <c r="S132" s="8" t="s">
        <v>17</v>
      </c>
      <c r="T132" s="13">
        <v>3105</v>
      </c>
      <c r="U132" s="13">
        <v>18</v>
      </c>
      <c r="V132" s="12">
        <v>186</v>
      </c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</row>
    <row r="133" spans="18:32" ht="21" customHeight="1">
      <c r="R133" s="38" t="s">
        <v>69</v>
      </c>
      <c r="S133" s="8" t="s">
        <v>18</v>
      </c>
      <c r="T133" s="13">
        <v>3220</v>
      </c>
      <c r="U133" s="13">
        <v>150</v>
      </c>
      <c r="V133" s="12">
        <v>150</v>
      </c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</row>
    <row r="134" spans="18:32" ht="21" customHeight="1">
      <c r="R134" s="38" t="s">
        <v>69</v>
      </c>
      <c r="S134" s="8" t="s">
        <v>19</v>
      </c>
      <c r="T134" s="13">
        <v>8500</v>
      </c>
      <c r="U134" s="13">
        <v>800</v>
      </c>
      <c r="V134" s="12">
        <v>650</v>
      </c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</row>
    <row r="135" spans="18:32" ht="21" customHeight="1">
      <c r="R135" s="38" t="s">
        <v>69</v>
      </c>
      <c r="S135" s="8" t="s">
        <v>20</v>
      </c>
      <c r="T135" s="13">
        <v>6950</v>
      </c>
      <c r="U135" s="13">
        <v>480</v>
      </c>
      <c r="V135" s="12">
        <v>480</v>
      </c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</row>
    <row r="136" spans="18:32" ht="21" customHeight="1">
      <c r="R136" s="38" t="s">
        <v>69</v>
      </c>
      <c r="S136" s="8" t="s">
        <v>23</v>
      </c>
      <c r="T136" s="13">
        <v>150</v>
      </c>
      <c r="U136" s="13">
        <v>0</v>
      </c>
      <c r="V136" s="12">
        <v>10</v>
      </c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</row>
    <row r="137" spans="18:32" ht="21" customHeight="1">
      <c r="R137" s="38" t="s">
        <v>69</v>
      </c>
      <c r="S137" s="8" t="s">
        <v>24</v>
      </c>
      <c r="T137" s="13">
        <v>504</v>
      </c>
      <c r="U137" s="13">
        <v>37</v>
      </c>
      <c r="V137" s="12">
        <v>30</v>
      </c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</row>
    <row r="138" spans="18:32" ht="21" customHeight="1">
      <c r="R138" s="38" t="s">
        <v>69</v>
      </c>
      <c r="S138" s="8" t="s">
        <v>25</v>
      </c>
      <c r="T138" s="13">
        <v>2020</v>
      </c>
      <c r="U138" s="13">
        <v>160</v>
      </c>
      <c r="V138" s="12">
        <v>160</v>
      </c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</row>
    <row r="139" spans="18:32" ht="21" customHeight="1">
      <c r="R139" s="38" t="s">
        <v>69</v>
      </c>
      <c r="S139" s="8" t="s">
        <v>30</v>
      </c>
      <c r="T139" s="13">
        <v>1375</v>
      </c>
      <c r="U139" s="13">
        <v>96</v>
      </c>
      <c r="V139" s="12">
        <v>96</v>
      </c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</row>
    <row r="140" spans="18:32" ht="21" customHeight="1">
      <c r="R140" s="38" t="s">
        <v>69</v>
      </c>
      <c r="S140" s="8" t="s">
        <v>31</v>
      </c>
      <c r="T140" s="13">
        <v>906</v>
      </c>
      <c r="U140" s="13">
        <v>24</v>
      </c>
      <c r="V140" s="12">
        <v>64</v>
      </c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</row>
    <row r="141" spans="18:32" ht="21" customHeight="1">
      <c r="R141" s="38" t="s">
        <v>69</v>
      </c>
      <c r="S141" s="8" t="s">
        <v>61</v>
      </c>
      <c r="T141" s="13">
        <v>5498</v>
      </c>
      <c r="U141" s="13">
        <v>520</v>
      </c>
      <c r="V141" s="12">
        <v>420</v>
      </c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</row>
    <row r="142" spans="18:32" ht="21" customHeight="1">
      <c r="R142" s="38" t="s">
        <v>69</v>
      </c>
      <c r="S142" s="8" t="s">
        <v>33</v>
      </c>
      <c r="T142" s="13">
        <v>4045</v>
      </c>
      <c r="U142" s="13">
        <v>420</v>
      </c>
      <c r="V142" s="12">
        <v>500</v>
      </c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</row>
    <row r="143" spans="18:32" ht="21" customHeight="1">
      <c r="R143" s="38" t="s">
        <v>69</v>
      </c>
      <c r="S143" s="44" t="s">
        <v>35</v>
      </c>
      <c r="T143" s="45"/>
      <c r="U143" s="45"/>
      <c r="V143" s="46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</row>
    <row r="144" spans="18:32" ht="21" customHeight="1">
      <c r="R144" s="38" t="s">
        <v>69</v>
      </c>
      <c r="S144" s="44" t="s">
        <v>36</v>
      </c>
      <c r="T144" s="45"/>
      <c r="U144" s="45"/>
      <c r="V144" s="46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</row>
    <row r="145" spans="18:32" ht="21" customHeight="1">
      <c r="R145" s="38" t="s">
        <v>69</v>
      </c>
      <c r="S145" s="8" t="s">
        <v>37</v>
      </c>
      <c r="T145" s="13">
        <v>234</v>
      </c>
      <c r="U145" s="13">
        <v>0</v>
      </c>
      <c r="V145" s="12">
        <v>0</v>
      </c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</row>
    <row r="146" spans="18:32" ht="21" customHeight="1"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8:32" ht="21" customHeight="1">
      <c r="R147" s="11" t="s">
        <v>59</v>
      </c>
      <c r="S147" s="5" t="s">
        <v>2</v>
      </c>
      <c r="T147" s="5" t="s">
        <v>3</v>
      </c>
      <c r="U147" s="5" t="s">
        <v>4</v>
      </c>
      <c r="V147" s="5" t="s">
        <v>5</v>
      </c>
      <c r="W147" s="5" t="s">
        <v>6</v>
      </c>
      <c r="X147" s="5" t="s">
        <v>7</v>
      </c>
      <c r="Y147" s="5" t="s">
        <v>8</v>
      </c>
      <c r="Z147" s="5" t="s">
        <v>9</v>
      </c>
      <c r="AA147" s="5" t="s">
        <v>10</v>
      </c>
      <c r="AB147" s="5" t="s">
        <v>11</v>
      </c>
      <c r="AC147" s="5" t="s">
        <v>12</v>
      </c>
      <c r="AD147" s="5" t="s">
        <v>13</v>
      </c>
      <c r="AE147" s="5" t="s">
        <v>14</v>
      </c>
      <c r="AF147" s="5" t="s">
        <v>15</v>
      </c>
    </row>
    <row r="148" spans="18:32" ht="21" customHeight="1">
      <c r="R148" s="38" t="s">
        <v>70</v>
      </c>
      <c r="S148" s="8" t="s">
        <v>17</v>
      </c>
      <c r="T148" s="13">
        <v>0</v>
      </c>
      <c r="U148" s="13">
        <v>0</v>
      </c>
      <c r="V148" s="12">
        <v>0</v>
      </c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</row>
    <row r="149" spans="18:32" ht="21" customHeight="1">
      <c r="R149" s="38" t="s">
        <v>70</v>
      </c>
      <c r="S149" s="8" t="s">
        <v>18</v>
      </c>
      <c r="T149" s="13">
        <v>0</v>
      </c>
      <c r="U149" s="13">
        <v>0</v>
      </c>
      <c r="V149" s="12">
        <v>0</v>
      </c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</row>
    <row r="150" spans="18:32" ht="21" customHeight="1">
      <c r="R150" s="38" t="s">
        <v>70</v>
      </c>
      <c r="S150" s="8" t="s">
        <v>19</v>
      </c>
      <c r="T150" s="13">
        <v>0</v>
      </c>
      <c r="U150" s="13">
        <v>0</v>
      </c>
      <c r="V150" s="12">
        <v>0</v>
      </c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</row>
    <row r="151" spans="18:32" ht="21" customHeight="1">
      <c r="R151" s="38" t="s">
        <v>70</v>
      </c>
      <c r="S151" s="8" t="s">
        <v>20</v>
      </c>
      <c r="T151" s="13">
        <v>0</v>
      </c>
      <c r="U151" s="13">
        <v>0</v>
      </c>
      <c r="V151" s="12">
        <v>0</v>
      </c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</row>
    <row r="152" spans="18:32" ht="21" customHeight="1">
      <c r="R152" s="38" t="s">
        <v>70</v>
      </c>
      <c r="S152" s="8" t="s">
        <v>23</v>
      </c>
      <c r="T152" s="13">
        <v>1140</v>
      </c>
      <c r="U152" s="13">
        <v>226</v>
      </c>
      <c r="V152" s="12">
        <v>224</v>
      </c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</row>
    <row r="153" spans="18:32" ht="21" customHeight="1">
      <c r="R153" s="38" t="s">
        <v>70</v>
      </c>
      <c r="S153" s="8" t="s">
        <v>24</v>
      </c>
      <c r="T153" s="13">
        <v>20000</v>
      </c>
      <c r="U153" s="13">
        <v>1600</v>
      </c>
      <c r="V153" s="12">
        <v>1500</v>
      </c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</row>
    <row r="154" spans="18:32" ht="21" customHeight="1">
      <c r="R154" s="38" t="s">
        <v>70</v>
      </c>
      <c r="S154" s="8" t="s">
        <v>25</v>
      </c>
      <c r="T154" s="13">
        <v>50000</v>
      </c>
      <c r="U154" s="13">
        <v>4200</v>
      </c>
      <c r="V154" s="12">
        <v>4160</v>
      </c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</row>
    <row r="155" spans="18:32" ht="21" customHeight="1">
      <c r="R155" s="38" t="s">
        <v>70</v>
      </c>
      <c r="S155" s="8" t="s">
        <v>30</v>
      </c>
      <c r="T155" s="13">
        <v>0</v>
      </c>
      <c r="U155" s="13">
        <v>0</v>
      </c>
      <c r="V155" s="12">
        <v>0</v>
      </c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</row>
    <row r="156" spans="18:32" ht="21" customHeight="1">
      <c r="R156" s="38" t="s">
        <v>70</v>
      </c>
      <c r="S156" s="8" t="s">
        <v>31</v>
      </c>
      <c r="T156" s="13">
        <v>0</v>
      </c>
      <c r="U156" s="13">
        <v>0</v>
      </c>
      <c r="V156" s="12">
        <v>0</v>
      </c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</row>
    <row r="157" spans="18:32" ht="21" customHeight="1">
      <c r="R157" s="38" t="s">
        <v>70</v>
      </c>
      <c r="S157" s="8" t="s">
        <v>61</v>
      </c>
      <c r="T157" s="13">
        <v>0</v>
      </c>
      <c r="U157" s="13">
        <v>0</v>
      </c>
      <c r="V157" s="12">
        <v>0</v>
      </c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</row>
    <row r="158" spans="18:32" ht="21" customHeight="1">
      <c r="R158" s="38" t="s">
        <v>70</v>
      </c>
      <c r="S158" s="8" t="s">
        <v>33</v>
      </c>
      <c r="T158" s="13">
        <v>0</v>
      </c>
      <c r="U158" s="13">
        <v>0</v>
      </c>
      <c r="V158" s="12">
        <v>0</v>
      </c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</row>
    <row r="159" spans="18:32" ht="21" customHeight="1">
      <c r="R159" s="38" t="s">
        <v>70</v>
      </c>
      <c r="S159" s="44" t="s">
        <v>35</v>
      </c>
      <c r="T159" s="45"/>
      <c r="U159" s="45"/>
      <c r="V159" s="46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</row>
    <row r="160" spans="18:32" ht="21" customHeight="1">
      <c r="R160" s="38" t="s">
        <v>70</v>
      </c>
      <c r="S160" s="44" t="s">
        <v>36</v>
      </c>
      <c r="T160" s="45"/>
      <c r="U160" s="45"/>
      <c r="V160" s="46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</row>
    <row r="161" spans="18:32" ht="21" customHeight="1">
      <c r="R161" s="38" t="s">
        <v>70</v>
      </c>
      <c r="S161" s="8" t="s">
        <v>37</v>
      </c>
      <c r="T161" s="13">
        <v>0</v>
      </c>
      <c r="U161" s="13">
        <v>0</v>
      </c>
      <c r="V161" s="12">
        <v>0</v>
      </c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</row>
    <row r="162" spans="18:32" ht="21" customHeight="1"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8:32" ht="21" customHeight="1">
      <c r="R163" s="11" t="s">
        <v>59</v>
      </c>
      <c r="S163" s="5" t="s">
        <v>2</v>
      </c>
      <c r="T163" s="5" t="s">
        <v>3</v>
      </c>
      <c r="U163" s="5" t="s">
        <v>4</v>
      </c>
      <c r="V163" s="5" t="s">
        <v>5</v>
      </c>
      <c r="W163" s="5" t="s">
        <v>6</v>
      </c>
      <c r="X163" s="5" t="s">
        <v>7</v>
      </c>
      <c r="Y163" s="5" t="s">
        <v>8</v>
      </c>
      <c r="Z163" s="5" t="s">
        <v>9</v>
      </c>
      <c r="AA163" s="5" t="s">
        <v>10</v>
      </c>
      <c r="AB163" s="5" t="s">
        <v>11</v>
      </c>
      <c r="AC163" s="5" t="s">
        <v>12</v>
      </c>
      <c r="AD163" s="5" t="s">
        <v>13</v>
      </c>
      <c r="AE163" s="5" t="s">
        <v>14</v>
      </c>
      <c r="AF163" s="5" t="s">
        <v>15</v>
      </c>
    </row>
    <row r="164" spans="18:32" ht="21" customHeight="1">
      <c r="R164" s="38" t="s">
        <v>71</v>
      </c>
      <c r="S164" s="8" t="s">
        <v>17</v>
      </c>
      <c r="T164" s="13">
        <v>1741</v>
      </c>
      <c r="U164" s="13">
        <v>60</v>
      </c>
      <c r="V164" s="12">
        <v>182</v>
      </c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</row>
    <row r="165" spans="18:32" ht="21" customHeight="1">
      <c r="R165" s="38" t="s">
        <v>71</v>
      </c>
      <c r="S165" s="8" t="s">
        <v>18</v>
      </c>
      <c r="T165" s="13">
        <v>720</v>
      </c>
      <c r="U165" s="13">
        <v>60</v>
      </c>
      <c r="V165" s="12">
        <v>120</v>
      </c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</row>
    <row r="166" spans="18:32" ht="21" customHeight="1">
      <c r="R166" s="38" t="s">
        <v>71</v>
      </c>
      <c r="S166" s="8" t="s">
        <v>19</v>
      </c>
      <c r="T166" s="13">
        <v>1200</v>
      </c>
      <c r="U166" s="13">
        <v>120</v>
      </c>
      <c r="V166" s="12">
        <v>180</v>
      </c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</row>
    <row r="167" spans="18:32" ht="21" customHeight="1">
      <c r="R167" s="38" t="s">
        <v>71</v>
      </c>
      <c r="S167" s="8" t="s">
        <v>20</v>
      </c>
      <c r="T167" s="13">
        <v>7200</v>
      </c>
      <c r="U167" s="13">
        <v>600</v>
      </c>
      <c r="V167" s="12">
        <v>660</v>
      </c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</row>
    <row r="168" spans="18:32" ht="21" customHeight="1">
      <c r="R168" s="38" t="s">
        <v>71</v>
      </c>
      <c r="S168" s="8" t="s">
        <v>23</v>
      </c>
      <c r="T168" s="13">
        <v>30</v>
      </c>
      <c r="U168" s="13">
        <v>0</v>
      </c>
      <c r="V168" s="12">
        <v>0</v>
      </c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</row>
    <row r="169" spans="18:32" ht="21" customHeight="1">
      <c r="R169" s="38" t="s">
        <v>71</v>
      </c>
      <c r="S169" s="8" t="s">
        <v>24</v>
      </c>
      <c r="T169" s="13">
        <v>200</v>
      </c>
      <c r="U169" s="13">
        <v>20</v>
      </c>
      <c r="V169" s="12">
        <v>30</v>
      </c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</row>
    <row r="170" spans="18:32" ht="21" customHeight="1">
      <c r="R170" s="38" t="s">
        <v>71</v>
      </c>
      <c r="S170" s="8" t="s">
        <v>25</v>
      </c>
      <c r="T170" s="13">
        <v>720</v>
      </c>
      <c r="U170" s="13">
        <v>60</v>
      </c>
      <c r="V170" s="12">
        <v>60</v>
      </c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</row>
    <row r="171" spans="18:32" ht="21" customHeight="1">
      <c r="R171" s="38" t="s">
        <v>71</v>
      </c>
      <c r="S171" s="8" t="s">
        <v>30</v>
      </c>
      <c r="T171" s="13">
        <v>282</v>
      </c>
      <c r="U171" s="13">
        <v>20</v>
      </c>
      <c r="V171" s="12">
        <v>35</v>
      </c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</row>
    <row r="172" spans="18:32" ht="21" customHeight="1">
      <c r="R172" s="38" t="s">
        <v>71</v>
      </c>
      <c r="S172" s="8" t="s">
        <v>31</v>
      </c>
      <c r="T172" s="13">
        <v>602</v>
      </c>
      <c r="U172" s="13">
        <v>20</v>
      </c>
      <c r="V172" s="12">
        <v>71</v>
      </c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</row>
    <row r="173" spans="18:32" ht="21" customHeight="1">
      <c r="R173" s="38" t="s">
        <v>71</v>
      </c>
      <c r="S173" s="8" t="s">
        <v>61</v>
      </c>
      <c r="T173" s="13">
        <v>360</v>
      </c>
      <c r="U173" s="13">
        <v>30</v>
      </c>
      <c r="V173" s="12">
        <v>40</v>
      </c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</row>
    <row r="174" spans="18:32" ht="21" customHeight="1">
      <c r="R174" s="38" t="s">
        <v>71</v>
      </c>
      <c r="S174" s="8" t="s">
        <v>33</v>
      </c>
      <c r="T174" s="13">
        <v>720</v>
      </c>
      <c r="U174" s="13">
        <v>60</v>
      </c>
      <c r="V174" s="12">
        <v>90</v>
      </c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</row>
    <row r="175" spans="18:32" ht="21" customHeight="1">
      <c r="R175" s="38" t="s">
        <v>71</v>
      </c>
      <c r="S175" s="44" t="s">
        <v>35</v>
      </c>
      <c r="T175" s="45"/>
      <c r="U175" s="45"/>
      <c r="V175" s="46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</row>
    <row r="176" spans="18:32" ht="21" customHeight="1">
      <c r="R176" s="38" t="s">
        <v>71</v>
      </c>
      <c r="S176" s="44" t="s">
        <v>36</v>
      </c>
      <c r="T176" s="45"/>
      <c r="U176" s="45"/>
      <c r="V176" s="46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</row>
    <row r="177" spans="18:32" ht="21" customHeight="1">
      <c r="R177" s="38" t="s">
        <v>71</v>
      </c>
      <c r="S177" s="8" t="s">
        <v>37</v>
      </c>
      <c r="T177" s="13">
        <v>150</v>
      </c>
      <c r="U177" s="13">
        <v>15</v>
      </c>
      <c r="V177" s="12">
        <v>15</v>
      </c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</row>
    <row r="178" spans="18:32" ht="21" customHeight="1"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8:32" ht="21" customHeight="1">
      <c r="R179" s="11" t="s">
        <v>59</v>
      </c>
      <c r="S179" s="5" t="s">
        <v>2</v>
      </c>
      <c r="T179" s="5" t="s">
        <v>3</v>
      </c>
      <c r="U179" s="5" t="s">
        <v>4</v>
      </c>
      <c r="V179" s="5" t="s">
        <v>5</v>
      </c>
      <c r="W179" s="5" t="s">
        <v>6</v>
      </c>
      <c r="X179" s="5" t="s">
        <v>7</v>
      </c>
      <c r="Y179" s="5" t="s">
        <v>8</v>
      </c>
      <c r="Z179" s="5" t="s">
        <v>9</v>
      </c>
      <c r="AA179" s="5" t="s">
        <v>10</v>
      </c>
      <c r="AB179" s="5" t="s">
        <v>11</v>
      </c>
      <c r="AC179" s="5" t="s">
        <v>12</v>
      </c>
      <c r="AD179" s="5" t="s">
        <v>13</v>
      </c>
      <c r="AE179" s="5" t="s">
        <v>14</v>
      </c>
      <c r="AF179" s="5" t="s">
        <v>15</v>
      </c>
    </row>
    <row r="180" spans="18:32" ht="21" customHeight="1">
      <c r="R180" s="38" t="s">
        <v>72</v>
      </c>
      <c r="S180" s="8" t="s">
        <v>17</v>
      </c>
      <c r="T180" s="13">
        <v>313</v>
      </c>
      <c r="U180" s="13">
        <v>4</v>
      </c>
      <c r="V180" s="12">
        <v>13</v>
      </c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</row>
    <row r="181" spans="18:32" ht="21" customHeight="1">
      <c r="R181" s="38" t="s">
        <v>72</v>
      </c>
      <c r="S181" s="8" t="s">
        <v>18</v>
      </c>
      <c r="T181" s="13">
        <v>120</v>
      </c>
      <c r="U181" s="13">
        <v>10</v>
      </c>
      <c r="V181" s="12">
        <v>15</v>
      </c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</row>
    <row r="182" spans="18:32" ht="21" customHeight="1">
      <c r="R182" s="38" t="s">
        <v>72</v>
      </c>
      <c r="S182" s="8" t="s">
        <v>19</v>
      </c>
      <c r="T182" s="13">
        <v>120</v>
      </c>
      <c r="U182" s="13">
        <v>10</v>
      </c>
      <c r="V182" s="12">
        <v>15</v>
      </c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</row>
    <row r="183" spans="18:32" ht="21" customHeight="1">
      <c r="R183" s="38" t="s">
        <v>72</v>
      </c>
      <c r="S183" s="8" t="s">
        <v>20</v>
      </c>
      <c r="T183" s="13">
        <v>720</v>
      </c>
      <c r="U183" s="13">
        <v>60</v>
      </c>
      <c r="V183" s="12">
        <v>90</v>
      </c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</row>
    <row r="184" spans="18:32" ht="21" customHeight="1">
      <c r="R184" s="38" t="s">
        <v>72</v>
      </c>
      <c r="S184" s="8" t="s">
        <v>23</v>
      </c>
      <c r="T184" s="13">
        <v>0</v>
      </c>
      <c r="U184" s="13">
        <v>0</v>
      </c>
      <c r="V184" s="12">
        <v>0</v>
      </c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</row>
    <row r="185" spans="18:32" ht="21" customHeight="1">
      <c r="R185" s="38" t="s">
        <v>72</v>
      </c>
      <c r="S185" s="8" t="s">
        <v>24</v>
      </c>
      <c r="T185" s="13">
        <v>60</v>
      </c>
      <c r="U185" s="13">
        <v>5</v>
      </c>
      <c r="V185" s="12">
        <v>5</v>
      </c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</row>
    <row r="186" spans="18:32" ht="21" customHeight="1">
      <c r="R186" s="38" t="s">
        <v>72</v>
      </c>
      <c r="S186" s="8" t="s">
        <v>25</v>
      </c>
      <c r="T186" s="13">
        <v>240</v>
      </c>
      <c r="U186" s="13">
        <v>20</v>
      </c>
      <c r="V186" s="12">
        <v>20</v>
      </c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</row>
    <row r="187" spans="18:32" ht="21" customHeight="1">
      <c r="R187" s="38" t="s">
        <v>72</v>
      </c>
      <c r="S187" s="8" t="s">
        <v>30</v>
      </c>
      <c r="T187" s="13">
        <v>16</v>
      </c>
      <c r="U187" s="13">
        <v>2</v>
      </c>
      <c r="V187" s="12">
        <v>0</v>
      </c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</row>
    <row r="188" spans="18:32" ht="21" customHeight="1">
      <c r="R188" s="38" t="s">
        <v>72</v>
      </c>
      <c r="S188" s="8" t="s">
        <v>31</v>
      </c>
      <c r="T188" s="13">
        <v>192</v>
      </c>
      <c r="U188" s="13">
        <v>1</v>
      </c>
      <c r="V188" s="12">
        <v>11</v>
      </c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</row>
    <row r="189" spans="18:32" ht="21" customHeight="1">
      <c r="R189" s="38" t="s">
        <v>72</v>
      </c>
      <c r="S189" s="8" t="s">
        <v>61</v>
      </c>
      <c r="T189" s="13">
        <v>120</v>
      </c>
      <c r="U189" s="13">
        <v>10</v>
      </c>
      <c r="V189" s="12">
        <v>10</v>
      </c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</row>
    <row r="190" spans="18:32" ht="21" customHeight="1">
      <c r="R190" s="38" t="s">
        <v>72</v>
      </c>
      <c r="S190" s="8" t="s">
        <v>33</v>
      </c>
      <c r="T190" s="13">
        <v>360</v>
      </c>
      <c r="U190" s="13">
        <v>30</v>
      </c>
      <c r="V190" s="12">
        <v>30</v>
      </c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</row>
    <row r="191" spans="18:32" ht="21" customHeight="1">
      <c r="R191" s="38" t="s">
        <v>72</v>
      </c>
      <c r="S191" s="44" t="s">
        <v>35</v>
      </c>
      <c r="T191" s="45"/>
      <c r="U191" s="45"/>
      <c r="V191" s="46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</row>
    <row r="192" spans="18:32" ht="21" customHeight="1">
      <c r="R192" s="38" t="s">
        <v>72</v>
      </c>
      <c r="S192" s="44" t="s">
        <v>36</v>
      </c>
      <c r="T192" s="45"/>
      <c r="U192" s="45"/>
      <c r="V192" s="46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</row>
    <row r="193" spans="18:32" ht="21" customHeight="1">
      <c r="R193" s="38" t="s">
        <v>72</v>
      </c>
      <c r="S193" s="8" t="s">
        <v>37</v>
      </c>
      <c r="T193" s="13">
        <v>60</v>
      </c>
      <c r="U193" s="13">
        <v>5</v>
      </c>
      <c r="V193" s="12">
        <v>5</v>
      </c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</row>
    <row r="194" spans="18:32" ht="21" customHeight="1"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8:32" ht="21" customHeight="1">
      <c r="R195" s="11" t="s">
        <v>59</v>
      </c>
      <c r="S195" s="5" t="s">
        <v>2</v>
      </c>
      <c r="T195" s="5" t="s">
        <v>3</v>
      </c>
      <c r="U195" s="5" t="s">
        <v>4</v>
      </c>
      <c r="V195" s="5" t="s">
        <v>5</v>
      </c>
      <c r="W195" s="5" t="s">
        <v>6</v>
      </c>
      <c r="X195" s="5" t="s">
        <v>7</v>
      </c>
      <c r="Y195" s="5" t="s">
        <v>8</v>
      </c>
      <c r="Z195" s="5" t="s">
        <v>9</v>
      </c>
      <c r="AA195" s="5" t="s">
        <v>10</v>
      </c>
      <c r="AB195" s="5" t="s">
        <v>11</v>
      </c>
      <c r="AC195" s="5" t="s">
        <v>12</v>
      </c>
      <c r="AD195" s="5" t="s">
        <v>13</v>
      </c>
      <c r="AE195" s="5" t="s">
        <v>14</v>
      </c>
      <c r="AF195" s="5" t="s">
        <v>15</v>
      </c>
    </row>
    <row r="196" spans="18:32" ht="21" customHeight="1">
      <c r="R196" s="38" t="s">
        <v>73</v>
      </c>
      <c r="S196" s="8" t="s">
        <v>17</v>
      </c>
      <c r="T196" s="13">
        <v>270</v>
      </c>
      <c r="U196" s="13">
        <v>5</v>
      </c>
      <c r="V196" s="12">
        <v>5</v>
      </c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</row>
    <row r="197" spans="18:32" ht="21" customHeight="1">
      <c r="R197" s="38" t="s">
        <v>73</v>
      </c>
      <c r="S197" s="8" t="s">
        <v>18</v>
      </c>
      <c r="T197" s="13">
        <v>60</v>
      </c>
      <c r="U197" s="13">
        <v>10</v>
      </c>
      <c r="V197" s="12">
        <v>10</v>
      </c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</row>
    <row r="198" spans="18:32" ht="21" customHeight="1">
      <c r="R198" s="38" t="s">
        <v>73</v>
      </c>
      <c r="S198" s="8" t="s">
        <v>19</v>
      </c>
      <c r="T198" s="13">
        <v>240</v>
      </c>
      <c r="U198" s="13">
        <v>20</v>
      </c>
      <c r="V198" s="12">
        <v>20</v>
      </c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</row>
    <row r="199" spans="18:32" ht="21" customHeight="1">
      <c r="R199" s="38" t="s">
        <v>73</v>
      </c>
      <c r="S199" s="8" t="s">
        <v>20</v>
      </c>
      <c r="T199" s="13">
        <v>120</v>
      </c>
      <c r="U199" s="13">
        <v>10</v>
      </c>
      <c r="V199" s="12">
        <v>10</v>
      </c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</row>
    <row r="200" spans="18:32" ht="21" customHeight="1">
      <c r="R200" s="38" t="s">
        <v>73</v>
      </c>
      <c r="S200" s="8" t="s">
        <v>23</v>
      </c>
      <c r="T200" s="13">
        <v>6</v>
      </c>
      <c r="U200" s="13">
        <v>0</v>
      </c>
      <c r="V200" s="12">
        <v>0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</row>
    <row r="201" spans="18:32" ht="21" customHeight="1">
      <c r="R201" s="38" t="s">
        <v>73</v>
      </c>
      <c r="S201" s="8" t="s">
        <v>24</v>
      </c>
      <c r="T201" s="13">
        <v>360</v>
      </c>
      <c r="U201" s="13">
        <v>30</v>
      </c>
      <c r="V201" s="12">
        <v>30</v>
      </c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</row>
    <row r="202" spans="18:32" ht="21" customHeight="1">
      <c r="R202" s="38" t="s">
        <v>73</v>
      </c>
      <c r="S202" s="8" t="s">
        <v>25</v>
      </c>
      <c r="T202" s="13">
        <v>2400</v>
      </c>
      <c r="U202" s="13">
        <v>200</v>
      </c>
      <c r="V202" s="12">
        <v>200</v>
      </c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</row>
    <row r="203" spans="18:32" ht="21" customHeight="1">
      <c r="R203" s="38" t="s">
        <v>73</v>
      </c>
      <c r="S203" s="8" t="s">
        <v>30</v>
      </c>
      <c r="T203" s="13">
        <v>450</v>
      </c>
      <c r="U203" s="13">
        <v>30</v>
      </c>
      <c r="V203" s="12">
        <v>18</v>
      </c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</row>
    <row r="204" spans="18:32" ht="21" customHeight="1">
      <c r="R204" s="38" t="s">
        <v>73</v>
      </c>
      <c r="S204" s="8" t="s">
        <v>31</v>
      </c>
      <c r="T204" s="13">
        <v>2</v>
      </c>
      <c r="U204" s="13">
        <v>0</v>
      </c>
      <c r="V204" s="12">
        <v>0</v>
      </c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</row>
    <row r="205" spans="18:32" ht="21" customHeight="1">
      <c r="R205" s="38" t="s">
        <v>73</v>
      </c>
      <c r="S205" s="8" t="s">
        <v>61</v>
      </c>
      <c r="T205" s="13">
        <v>100</v>
      </c>
      <c r="U205" s="13">
        <v>8</v>
      </c>
      <c r="V205" s="12">
        <v>8</v>
      </c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</row>
    <row r="206" spans="18:32" ht="21" customHeight="1">
      <c r="R206" s="38" t="s">
        <v>73</v>
      </c>
      <c r="S206" s="8" t="s">
        <v>33</v>
      </c>
      <c r="T206" s="13">
        <v>120</v>
      </c>
      <c r="U206" s="13">
        <v>10</v>
      </c>
      <c r="V206" s="12">
        <v>10</v>
      </c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</row>
    <row r="207" spans="18:32" ht="21" customHeight="1">
      <c r="R207" s="38" t="s">
        <v>73</v>
      </c>
      <c r="S207" s="44" t="s">
        <v>35</v>
      </c>
      <c r="T207" s="45"/>
      <c r="U207" s="45"/>
      <c r="V207" s="46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</row>
    <row r="208" spans="18:32" ht="21" customHeight="1">
      <c r="R208" s="38" t="s">
        <v>73</v>
      </c>
      <c r="S208" s="44" t="s">
        <v>36</v>
      </c>
      <c r="T208" s="45"/>
      <c r="U208" s="45"/>
      <c r="V208" s="46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</row>
    <row r="209" spans="18:32" ht="21" customHeight="1">
      <c r="R209" s="38" t="s">
        <v>73</v>
      </c>
      <c r="S209" s="8" t="s">
        <v>37</v>
      </c>
      <c r="T209" s="13">
        <v>60</v>
      </c>
      <c r="U209" s="13">
        <v>6</v>
      </c>
      <c r="V209" s="12">
        <v>6</v>
      </c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</row>
    <row r="210" spans="18:32" ht="21" customHeight="1"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8:32" ht="21" customHeight="1">
      <c r="R211" s="11" t="s">
        <v>59</v>
      </c>
      <c r="S211" s="5" t="s">
        <v>2</v>
      </c>
      <c r="T211" s="5" t="s">
        <v>3</v>
      </c>
      <c r="U211" s="5" t="s">
        <v>4</v>
      </c>
      <c r="V211" s="5" t="s">
        <v>5</v>
      </c>
      <c r="W211" s="5" t="s">
        <v>6</v>
      </c>
      <c r="X211" s="5" t="s">
        <v>7</v>
      </c>
      <c r="Y211" s="5" t="s">
        <v>8</v>
      </c>
      <c r="Z211" s="5" t="s">
        <v>9</v>
      </c>
      <c r="AA211" s="5" t="s">
        <v>10</v>
      </c>
      <c r="AB211" s="5" t="s">
        <v>11</v>
      </c>
      <c r="AC211" s="5" t="s">
        <v>12</v>
      </c>
      <c r="AD211" s="5" t="s">
        <v>13</v>
      </c>
      <c r="AE211" s="5" t="s">
        <v>14</v>
      </c>
      <c r="AF211" s="5" t="s">
        <v>15</v>
      </c>
    </row>
    <row r="212" spans="18:32" ht="21" customHeight="1">
      <c r="R212" s="38" t="s">
        <v>74</v>
      </c>
      <c r="S212" s="8" t="s">
        <v>17</v>
      </c>
      <c r="T212" s="13">
        <v>31</v>
      </c>
      <c r="U212" s="13">
        <v>0</v>
      </c>
      <c r="V212" s="12">
        <v>0</v>
      </c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</row>
    <row r="213" spans="18:32" ht="21" customHeight="1">
      <c r="R213" s="38" t="s">
        <v>74</v>
      </c>
      <c r="S213" s="8" t="s">
        <v>18</v>
      </c>
      <c r="T213" s="13">
        <v>60</v>
      </c>
      <c r="U213" s="13">
        <v>5</v>
      </c>
      <c r="V213" s="12">
        <v>5</v>
      </c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</row>
    <row r="214" spans="18:32" ht="21" customHeight="1">
      <c r="R214" s="38" t="s">
        <v>74</v>
      </c>
      <c r="S214" s="8" t="s">
        <v>19</v>
      </c>
      <c r="T214" s="13">
        <v>60</v>
      </c>
      <c r="U214" s="13">
        <v>5</v>
      </c>
      <c r="V214" s="12">
        <v>5</v>
      </c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</row>
    <row r="215" spans="18:32" ht="21" customHeight="1">
      <c r="R215" s="38" t="s">
        <v>74</v>
      </c>
      <c r="S215" s="8" t="s">
        <v>20</v>
      </c>
      <c r="T215" s="13">
        <v>60</v>
      </c>
      <c r="U215" s="13">
        <v>5</v>
      </c>
      <c r="V215" s="12">
        <v>5</v>
      </c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</row>
    <row r="216" spans="18:32" ht="21" customHeight="1">
      <c r="R216" s="38" t="s">
        <v>74</v>
      </c>
      <c r="S216" s="8" t="s">
        <v>23</v>
      </c>
      <c r="T216" s="13">
        <v>428</v>
      </c>
      <c r="U216" s="13">
        <v>60</v>
      </c>
      <c r="V216" s="12">
        <v>64</v>
      </c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</row>
    <row r="217" spans="18:32" ht="21" customHeight="1">
      <c r="R217" s="38" t="s">
        <v>74</v>
      </c>
      <c r="S217" s="8" t="s">
        <v>24</v>
      </c>
      <c r="T217" s="13">
        <v>12000</v>
      </c>
      <c r="U217" s="13">
        <v>1000</v>
      </c>
      <c r="V217" s="12">
        <v>1000</v>
      </c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</row>
    <row r="218" spans="18:32" ht="21" customHeight="1">
      <c r="R218" s="38" t="s">
        <v>74</v>
      </c>
      <c r="S218" s="8" t="s">
        <v>25</v>
      </c>
      <c r="T218" s="13">
        <v>48000</v>
      </c>
      <c r="U218" s="13">
        <v>4000</v>
      </c>
      <c r="V218" s="12">
        <v>3360</v>
      </c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</row>
    <row r="219" spans="18:32" ht="21" customHeight="1">
      <c r="R219" s="38" t="s">
        <v>74</v>
      </c>
      <c r="S219" s="8" t="s">
        <v>30</v>
      </c>
      <c r="T219" s="13">
        <v>6</v>
      </c>
      <c r="U219" s="13">
        <v>1</v>
      </c>
      <c r="V219" s="12">
        <v>1</v>
      </c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</row>
    <row r="220" spans="18:32" ht="21" customHeight="1">
      <c r="R220" s="38" t="s">
        <v>74</v>
      </c>
      <c r="S220" s="8" t="s">
        <v>31</v>
      </c>
      <c r="T220" s="13">
        <v>4</v>
      </c>
      <c r="U220" s="13">
        <v>1</v>
      </c>
      <c r="V220" s="12">
        <v>1</v>
      </c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</row>
    <row r="221" spans="18:32" ht="21" customHeight="1">
      <c r="R221" s="38" t="s">
        <v>74</v>
      </c>
      <c r="S221" s="8" t="s">
        <v>61</v>
      </c>
      <c r="T221" s="13">
        <v>10</v>
      </c>
      <c r="U221" s="13">
        <v>1</v>
      </c>
      <c r="V221" s="12">
        <v>1</v>
      </c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</row>
    <row r="222" spans="18:32" ht="21" customHeight="1">
      <c r="R222" s="38" t="s">
        <v>74</v>
      </c>
      <c r="S222" s="8" t="s">
        <v>33</v>
      </c>
      <c r="T222" s="13">
        <v>10</v>
      </c>
      <c r="U222" s="13">
        <v>1</v>
      </c>
      <c r="V222" s="12">
        <v>1</v>
      </c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</row>
    <row r="223" spans="18:32" ht="21" customHeight="1">
      <c r="R223" s="38" t="s">
        <v>74</v>
      </c>
      <c r="S223" s="44" t="s">
        <v>35</v>
      </c>
      <c r="T223" s="45"/>
      <c r="U223" s="45"/>
      <c r="V223" s="46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</row>
    <row r="224" spans="18:32" ht="21" customHeight="1">
      <c r="R224" s="38" t="s">
        <v>74</v>
      </c>
      <c r="S224" s="44" t="s">
        <v>36</v>
      </c>
      <c r="T224" s="45"/>
      <c r="U224" s="45"/>
      <c r="V224" s="46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</row>
    <row r="225" spans="18:32" ht="21" customHeight="1">
      <c r="R225" s="38" t="s">
        <v>74</v>
      </c>
      <c r="S225" s="8" t="s">
        <v>37</v>
      </c>
      <c r="T225" s="13">
        <v>10</v>
      </c>
      <c r="U225" s="13">
        <v>1</v>
      </c>
      <c r="V225" s="12">
        <v>1</v>
      </c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</row>
    <row r="226" spans="18:32" ht="21" customHeight="1"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8:32" ht="21" customHeight="1">
      <c r="R227" s="11" t="s">
        <v>59</v>
      </c>
      <c r="S227" s="5" t="s">
        <v>2</v>
      </c>
      <c r="T227" s="5" t="s">
        <v>3</v>
      </c>
      <c r="U227" s="5" t="s">
        <v>4</v>
      </c>
      <c r="V227" s="5" t="s">
        <v>5</v>
      </c>
      <c r="W227" s="5" t="s">
        <v>6</v>
      </c>
      <c r="X227" s="5" t="s">
        <v>7</v>
      </c>
      <c r="Y227" s="5" t="s">
        <v>8</v>
      </c>
      <c r="Z227" s="5" t="s">
        <v>9</v>
      </c>
      <c r="AA227" s="5" t="s">
        <v>10</v>
      </c>
      <c r="AB227" s="5" t="s">
        <v>11</v>
      </c>
      <c r="AC227" s="5" t="s">
        <v>12</v>
      </c>
      <c r="AD227" s="5" t="s">
        <v>13</v>
      </c>
      <c r="AE227" s="5" t="s">
        <v>14</v>
      </c>
      <c r="AF227" s="5" t="s">
        <v>15</v>
      </c>
    </row>
    <row r="228" spans="18:32" ht="21" customHeight="1">
      <c r="R228" s="38" t="s">
        <v>75</v>
      </c>
      <c r="S228" s="8" t="s">
        <v>17</v>
      </c>
      <c r="T228" s="35">
        <v>1351</v>
      </c>
      <c r="U228" s="35">
        <v>0</v>
      </c>
      <c r="V228" s="12">
        <v>119</v>
      </c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</row>
    <row r="229" spans="18:32" ht="21" customHeight="1">
      <c r="R229" s="38" t="s">
        <v>75</v>
      </c>
      <c r="S229" s="8" t="s">
        <v>102</v>
      </c>
      <c r="T229" s="35">
        <v>720</v>
      </c>
      <c r="U229" s="35">
        <v>56</v>
      </c>
      <c r="V229" s="12">
        <v>56</v>
      </c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</row>
    <row r="230" spans="18:32" ht="21" customHeight="1">
      <c r="R230" s="38" t="s">
        <v>75</v>
      </c>
      <c r="S230" s="8" t="s">
        <v>19</v>
      </c>
      <c r="T230" s="35">
        <v>1200</v>
      </c>
      <c r="U230" s="35">
        <v>93</v>
      </c>
      <c r="V230" s="12">
        <v>104</v>
      </c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</row>
    <row r="231" spans="18:32" ht="21" customHeight="1">
      <c r="R231" s="38" t="s">
        <v>75</v>
      </c>
      <c r="S231" s="8" t="s">
        <v>20</v>
      </c>
      <c r="T231" s="35">
        <v>300</v>
      </c>
      <c r="U231" s="35">
        <v>25</v>
      </c>
      <c r="V231" s="12">
        <v>15</v>
      </c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</row>
    <row r="232" spans="18:32" ht="21" customHeight="1">
      <c r="R232" s="38" t="s">
        <v>75</v>
      </c>
      <c r="S232" s="8" t="s">
        <v>23</v>
      </c>
      <c r="T232" s="35">
        <v>0</v>
      </c>
      <c r="U232" s="35">
        <v>0</v>
      </c>
      <c r="V232" s="12">
        <v>0</v>
      </c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</row>
    <row r="233" spans="18:32" ht="21" customHeight="1">
      <c r="R233" s="38" t="s">
        <v>75</v>
      </c>
      <c r="S233" s="8" t="s">
        <v>24</v>
      </c>
      <c r="T233" s="35">
        <v>300</v>
      </c>
      <c r="U233" s="35">
        <v>13</v>
      </c>
      <c r="V233" s="12">
        <v>15</v>
      </c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</row>
    <row r="234" spans="18:32" ht="21" customHeight="1">
      <c r="R234" s="38" t="s">
        <v>75</v>
      </c>
      <c r="S234" s="8" t="s">
        <v>25</v>
      </c>
      <c r="T234" s="35">
        <v>1100</v>
      </c>
      <c r="U234" s="35">
        <v>84</v>
      </c>
      <c r="V234" s="12">
        <v>76</v>
      </c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</row>
    <row r="235" spans="18:32" ht="21" customHeight="1">
      <c r="R235" s="38" t="s">
        <v>75</v>
      </c>
      <c r="S235" s="8" t="s">
        <v>30</v>
      </c>
      <c r="T235" s="35">
        <v>644</v>
      </c>
      <c r="U235" s="35">
        <v>26</v>
      </c>
      <c r="V235" s="12">
        <v>35</v>
      </c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</row>
    <row r="236" spans="18:32" ht="21" customHeight="1">
      <c r="R236" s="38" t="s">
        <v>75</v>
      </c>
      <c r="S236" s="8" t="s">
        <v>31</v>
      </c>
      <c r="T236" s="35">
        <v>69</v>
      </c>
      <c r="U236" s="35">
        <v>2</v>
      </c>
      <c r="V236" s="12">
        <v>2</v>
      </c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</row>
    <row r="237" spans="18:32" ht="21" customHeight="1">
      <c r="R237" s="38" t="s">
        <v>75</v>
      </c>
      <c r="S237" s="8" t="s">
        <v>61</v>
      </c>
      <c r="T237" s="35">
        <v>1200</v>
      </c>
      <c r="U237" s="35">
        <v>88</v>
      </c>
      <c r="V237" s="12">
        <v>89</v>
      </c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</row>
    <row r="238" spans="18:32" ht="21" customHeight="1">
      <c r="R238" s="38" t="s">
        <v>75</v>
      </c>
      <c r="S238" s="8" t="s">
        <v>33</v>
      </c>
      <c r="T238" s="35">
        <v>1700</v>
      </c>
      <c r="U238" s="35">
        <v>129</v>
      </c>
      <c r="V238" s="12">
        <v>210</v>
      </c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</row>
    <row r="239" spans="18:32" ht="21" customHeight="1">
      <c r="R239" s="38" t="s">
        <v>75</v>
      </c>
      <c r="S239" s="44" t="s">
        <v>35</v>
      </c>
      <c r="T239" s="47"/>
      <c r="U239" s="47"/>
      <c r="V239" s="46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</row>
    <row r="240" spans="18:32" ht="21" customHeight="1">
      <c r="R240" s="38" t="s">
        <v>75</v>
      </c>
      <c r="S240" s="44" t="s">
        <v>36</v>
      </c>
      <c r="T240" s="47"/>
      <c r="U240" s="47"/>
      <c r="V240" s="46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</row>
    <row r="241" spans="18:32" ht="21" customHeight="1">
      <c r="R241" s="38" t="s">
        <v>75</v>
      </c>
      <c r="S241" s="8" t="s">
        <v>37</v>
      </c>
      <c r="T241" s="35">
        <v>150</v>
      </c>
      <c r="U241" s="35">
        <v>10</v>
      </c>
      <c r="V241" s="12">
        <v>6</v>
      </c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</row>
    <row r="242" spans="18:32" ht="21" customHeight="1"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8:32" ht="21" customHeight="1">
      <c r="R243" s="11" t="s">
        <v>59</v>
      </c>
      <c r="S243" s="5" t="s">
        <v>2</v>
      </c>
      <c r="T243" s="5" t="s">
        <v>3</v>
      </c>
      <c r="U243" s="5" t="s">
        <v>4</v>
      </c>
      <c r="V243" s="5" t="s">
        <v>5</v>
      </c>
      <c r="W243" s="5" t="s">
        <v>6</v>
      </c>
      <c r="X243" s="5" t="s">
        <v>7</v>
      </c>
      <c r="Y243" s="5" t="s">
        <v>8</v>
      </c>
      <c r="Z243" s="5" t="s">
        <v>9</v>
      </c>
      <c r="AA243" s="5" t="s">
        <v>10</v>
      </c>
      <c r="AB243" s="5" t="s">
        <v>11</v>
      </c>
      <c r="AC243" s="5" t="s">
        <v>12</v>
      </c>
      <c r="AD243" s="5" t="s">
        <v>13</v>
      </c>
      <c r="AE243" s="5" t="s">
        <v>14</v>
      </c>
      <c r="AF243" s="5" t="s">
        <v>15</v>
      </c>
    </row>
    <row r="244" spans="18:32" ht="21" customHeight="1">
      <c r="R244" s="38" t="s">
        <v>103</v>
      </c>
      <c r="S244" s="8" t="s">
        <v>17</v>
      </c>
      <c r="T244" s="35">
        <v>931</v>
      </c>
      <c r="U244" s="35">
        <v>67</v>
      </c>
      <c r="V244" s="12">
        <v>56</v>
      </c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</row>
    <row r="245" spans="18:32" ht="21" customHeight="1">
      <c r="R245" s="38" t="s">
        <v>103</v>
      </c>
      <c r="S245" s="8" t="s">
        <v>18</v>
      </c>
      <c r="T245" s="35">
        <v>417</v>
      </c>
      <c r="U245" s="35">
        <v>15</v>
      </c>
      <c r="V245" s="12">
        <v>9</v>
      </c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</row>
    <row r="246" spans="18:32" ht="21" customHeight="1">
      <c r="R246" s="38" t="s">
        <v>103</v>
      </c>
      <c r="S246" s="8" t="s">
        <v>19</v>
      </c>
      <c r="T246" s="35">
        <v>14287</v>
      </c>
      <c r="U246" s="35">
        <v>73</v>
      </c>
      <c r="V246" s="12">
        <v>85</v>
      </c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</row>
    <row r="247" spans="18:32" ht="21" customHeight="1">
      <c r="R247" s="38" t="s">
        <v>103</v>
      </c>
      <c r="S247" s="8" t="s">
        <v>20</v>
      </c>
      <c r="T247" s="35">
        <v>606</v>
      </c>
      <c r="U247" s="35">
        <v>42</v>
      </c>
      <c r="V247" s="12">
        <v>43</v>
      </c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</row>
    <row r="248" spans="18:32" ht="21" customHeight="1">
      <c r="R248" s="38" t="s">
        <v>103</v>
      </c>
      <c r="S248" s="8" t="s">
        <v>23</v>
      </c>
      <c r="T248" s="35">
        <v>2</v>
      </c>
      <c r="U248" s="35">
        <v>0</v>
      </c>
      <c r="V248" s="12">
        <v>0</v>
      </c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</row>
    <row r="249" spans="18:32" ht="21" customHeight="1">
      <c r="R249" s="38" t="s">
        <v>103</v>
      </c>
      <c r="S249" s="8" t="s">
        <v>24</v>
      </c>
      <c r="T249" s="35">
        <v>423</v>
      </c>
      <c r="U249" s="35">
        <v>21</v>
      </c>
      <c r="V249" s="12">
        <v>28</v>
      </c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</row>
    <row r="250" spans="18:32" ht="21" customHeight="1">
      <c r="R250" s="38" t="s">
        <v>103</v>
      </c>
      <c r="S250" s="8" t="s">
        <v>25</v>
      </c>
      <c r="T250" s="35">
        <v>1001</v>
      </c>
      <c r="U250" s="35">
        <v>58</v>
      </c>
      <c r="V250" s="12">
        <v>55</v>
      </c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</row>
    <row r="251" spans="18:32" ht="21" customHeight="1">
      <c r="R251" s="38" t="s">
        <v>103</v>
      </c>
      <c r="S251" s="8" t="s">
        <v>30</v>
      </c>
      <c r="T251" s="35">
        <v>32</v>
      </c>
      <c r="U251" s="35">
        <v>3</v>
      </c>
      <c r="V251" s="12">
        <v>2</v>
      </c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</row>
    <row r="252" spans="18:32" ht="21" customHeight="1">
      <c r="R252" s="38" t="s">
        <v>103</v>
      </c>
      <c r="S252" s="8" t="s">
        <v>31</v>
      </c>
      <c r="T252" s="35">
        <v>74</v>
      </c>
      <c r="U252" s="35">
        <v>5</v>
      </c>
      <c r="V252" s="12">
        <v>5</v>
      </c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</row>
    <row r="253" spans="18:32" ht="21" customHeight="1">
      <c r="R253" s="38" t="s">
        <v>103</v>
      </c>
      <c r="S253" s="8" t="s">
        <v>61</v>
      </c>
      <c r="T253" s="35">
        <v>307</v>
      </c>
      <c r="U253" s="35">
        <v>19</v>
      </c>
      <c r="V253" s="12">
        <v>15</v>
      </c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</row>
    <row r="254" spans="18:32" ht="21" customHeight="1">
      <c r="R254" s="38" t="s">
        <v>103</v>
      </c>
      <c r="S254" s="8" t="s">
        <v>33</v>
      </c>
      <c r="T254" s="35">
        <v>723</v>
      </c>
      <c r="U254" s="35">
        <v>50</v>
      </c>
      <c r="V254" s="12">
        <v>40</v>
      </c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</row>
    <row r="255" spans="18:32" ht="21" customHeight="1">
      <c r="R255" s="38" t="s">
        <v>103</v>
      </c>
      <c r="S255" s="44" t="s">
        <v>35</v>
      </c>
      <c r="T255" s="47"/>
      <c r="U255" s="47"/>
      <c r="V255" s="46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</row>
    <row r="256" spans="18:32" ht="21" customHeight="1">
      <c r="R256" s="38" t="s">
        <v>103</v>
      </c>
      <c r="S256" s="44" t="s">
        <v>36</v>
      </c>
      <c r="T256" s="47"/>
      <c r="U256" s="47"/>
      <c r="V256" s="46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</row>
    <row r="257" spans="18:32" ht="21" customHeight="1">
      <c r="R257" s="38" t="s">
        <v>103</v>
      </c>
      <c r="S257" s="8" t="s">
        <v>37</v>
      </c>
      <c r="T257" s="35">
        <v>72</v>
      </c>
      <c r="U257" s="35">
        <v>3</v>
      </c>
      <c r="V257" s="12">
        <v>1</v>
      </c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</row>
    <row r="258" spans="18:32" ht="21" customHeight="1"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8:32" ht="21" customHeight="1">
      <c r="R259" s="11" t="s">
        <v>59</v>
      </c>
      <c r="S259" s="5" t="s">
        <v>2</v>
      </c>
      <c r="T259" s="5" t="s">
        <v>3</v>
      </c>
      <c r="U259" s="5" t="s">
        <v>4</v>
      </c>
      <c r="V259" s="5" t="s">
        <v>5</v>
      </c>
      <c r="W259" s="5" t="s">
        <v>6</v>
      </c>
      <c r="X259" s="5" t="s">
        <v>7</v>
      </c>
      <c r="Y259" s="5" t="s">
        <v>8</v>
      </c>
      <c r="Z259" s="5" t="s">
        <v>9</v>
      </c>
      <c r="AA259" s="5" t="s">
        <v>10</v>
      </c>
      <c r="AB259" s="5" t="s">
        <v>11</v>
      </c>
      <c r="AC259" s="5" t="s">
        <v>12</v>
      </c>
      <c r="AD259" s="5" t="s">
        <v>13</v>
      </c>
      <c r="AE259" s="5" t="s">
        <v>14</v>
      </c>
      <c r="AF259" s="5" t="s">
        <v>15</v>
      </c>
    </row>
    <row r="260" spans="18:32" ht="21" customHeight="1">
      <c r="R260" s="38" t="s">
        <v>76</v>
      </c>
      <c r="S260" s="8" t="s">
        <v>17</v>
      </c>
      <c r="T260" s="35">
        <v>1215</v>
      </c>
      <c r="U260" s="35">
        <v>69</v>
      </c>
      <c r="V260" s="12">
        <v>68</v>
      </c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</row>
    <row r="261" spans="18:32" ht="21" customHeight="1">
      <c r="R261" s="38" t="s">
        <v>76</v>
      </c>
      <c r="S261" s="8" t="s">
        <v>18</v>
      </c>
      <c r="T261" s="35">
        <v>303</v>
      </c>
      <c r="U261" s="35">
        <v>13</v>
      </c>
      <c r="V261" s="12">
        <v>19</v>
      </c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</row>
    <row r="262" spans="18:32" ht="21" customHeight="1">
      <c r="R262" s="38" t="s">
        <v>76</v>
      </c>
      <c r="S262" s="8" t="s">
        <v>19</v>
      </c>
      <c r="T262" s="35">
        <v>4519</v>
      </c>
      <c r="U262" s="35">
        <v>314</v>
      </c>
      <c r="V262" s="12">
        <v>301</v>
      </c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</row>
    <row r="263" spans="18:32" ht="21" customHeight="1">
      <c r="R263" s="38" t="s">
        <v>76</v>
      </c>
      <c r="S263" s="8" t="s">
        <v>20</v>
      </c>
      <c r="T263" s="35">
        <v>868</v>
      </c>
      <c r="U263" s="35">
        <v>40</v>
      </c>
      <c r="V263" s="12">
        <v>50</v>
      </c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</row>
    <row r="264" spans="18:32" ht="21" customHeight="1">
      <c r="R264" s="38" t="s">
        <v>76</v>
      </c>
      <c r="S264" s="8" t="s">
        <v>23</v>
      </c>
      <c r="T264" s="35">
        <v>83</v>
      </c>
      <c r="U264" s="35">
        <v>5</v>
      </c>
      <c r="V264" s="12">
        <v>4</v>
      </c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</row>
    <row r="265" spans="18:32" ht="21" customHeight="1">
      <c r="R265" s="38" t="s">
        <v>76</v>
      </c>
      <c r="S265" s="8" t="s">
        <v>24</v>
      </c>
      <c r="T265" s="35">
        <v>738</v>
      </c>
      <c r="U265" s="35">
        <v>66</v>
      </c>
      <c r="V265" s="12">
        <v>65</v>
      </c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</row>
    <row r="266" spans="18:32" ht="21" customHeight="1">
      <c r="R266" s="38" t="s">
        <v>76</v>
      </c>
      <c r="S266" s="8" t="s">
        <v>25</v>
      </c>
      <c r="T266" s="35">
        <v>1519</v>
      </c>
      <c r="U266" s="35">
        <v>161</v>
      </c>
      <c r="V266" s="12">
        <v>75</v>
      </c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</row>
    <row r="267" spans="18:32" ht="21" customHeight="1">
      <c r="R267" s="38" t="s">
        <v>76</v>
      </c>
      <c r="S267" s="8" t="s">
        <v>30</v>
      </c>
      <c r="T267" s="35">
        <v>529</v>
      </c>
      <c r="U267" s="35">
        <v>31</v>
      </c>
      <c r="V267" s="12">
        <v>28</v>
      </c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</row>
    <row r="268" spans="18:32" ht="21" customHeight="1">
      <c r="R268" s="38" t="s">
        <v>76</v>
      </c>
      <c r="S268" s="8" t="s">
        <v>31</v>
      </c>
      <c r="T268" s="35">
        <v>268</v>
      </c>
      <c r="U268" s="35">
        <v>33</v>
      </c>
      <c r="V268" s="12">
        <v>24</v>
      </c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</row>
    <row r="269" spans="18:32" ht="21" customHeight="1">
      <c r="R269" s="38" t="s">
        <v>76</v>
      </c>
      <c r="S269" s="8" t="s">
        <v>61</v>
      </c>
      <c r="T269" s="35">
        <v>841</v>
      </c>
      <c r="U269" s="35">
        <v>50</v>
      </c>
      <c r="V269" s="12">
        <v>42</v>
      </c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</row>
    <row r="270" spans="18:32" ht="17">
      <c r="R270" s="38" t="s">
        <v>76</v>
      </c>
      <c r="S270" s="8" t="s">
        <v>33</v>
      </c>
      <c r="T270" s="35">
        <v>1211</v>
      </c>
      <c r="U270" s="35">
        <v>53</v>
      </c>
      <c r="V270" s="12">
        <v>67</v>
      </c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</row>
    <row r="271" spans="18:32" ht="21" customHeight="1">
      <c r="R271" s="38" t="s">
        <v>76</v>
      </c>
      <c r="S271" s="44" t="s">
        <v>35</v>
      </c>
      <c r="T271" s="47"/>
      <c r="U271" s="47"/>
      <c r="V271" s="46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</row>
    <row r="272" spans="18:32" ht="21" customHeight="1">
      <c r="R272" s="38" t="s">
        <v>76</v>
      </c>
      <c r="S272" s="44" t="s">
        <v>36</v>
      </c>
      <c r="T272" s="47"/>
      <c r="U272" s="47"/>
      <c r="V272" s="46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</row>
    <row r="273" spans="18:32" ht="21" customHeight="1">
      <c r="R273" s="38" t="s">
        <v>76</v>
      </c>
      <c r="S273" s="8" t="s">
        <v>37</v>
      </c>
      <c r="T273" s="35">
        <v>37</v>
      </c>
      <c r="U273" s="35">
        <v>2</v>
      </c>
      <c r="V273" s="12">
        <v>3</v>
      </c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</row>
    <row r="274" spans="18:32" ht="21" customHeight="1"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8:32" ht="21" customHeight="1">
      <c r="R275" s="11" t="s">
        <v>59</v>
      </c>
      <c r="S275" s="5" t="s">
        <v>2</v>
      </c>
      <c r="T275" s="5" t="s">
        <v>3</v>
      </c>
      <c r="U275" s="5" t="s">
        <v>4</v>
      </c>
      <c r="V275" s="5" t="s">
        <v>5</v>
      </c>
      <c r="W275" s="5" t="s">
        <v>6</v>
      </c>
      <c r="X275" s="5" t="s">
        <v>7</v>
      </c>
      <c r="Y275" s="5" t="s">
        <v>8</v>
      </c>
      <c r="Z275" s="5" t="s">
        <v>9</v>
      </c>
      <c r="AA275" s="5" t="s">
        <v>10</v>
      </c>
      <c r="AB275" s="5" t="s">
        <v>11</v>
      </c>
      <c r="AC275" s="5" t="s">
        <v>12</v>
      </c>
      <c r="AD275" s="5" t="s">
        <v>13</v>
      </c>
      <c r="AE275" s="5" t="s">
        <v>14</v>
      </c>
      <c r="AF275" s="5" t="s">
        <v>15</v>
      </c>
    </row>
    <row r="276" spans="18:32" ht="21" customHeight="1">
      <c r="R276" s="38" t="s">
        <v>77</v>
      </c>
      <c r="S276" s="8" t="s">
        <v>17</v>
      </c>
      <c r="T276" s="35">
        <v>0</v>
      </c>
      <c r="U276" s="35">
        <v>0</v>
      </c>
      <c r="V276" s="12">
        <v>0</v>
      </c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</row>
    <row r="277" spans="18:32" ht="21" customHeight="1">
      <c r="R277" s="38" t="s">
        <v>77</v>
      </c>
      <c r="S277" s="8" t="s">
        <v>18</v>
      </c>
      <c r="T277" s="35">
        <v>0</v>
      </c>
      <c r="U277" s="35">
        <v>0</v>
      </c>
      <c r="V277" s="12">
        <v>0</v>
      </c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</row>
    <row r="278" spans="18:32" ht="21" customHeight="1">
      <c r="R278" s="38" t="s">
        <v>77</v>
      </c>
      <c r="S278" s="8" t="s">
        <v>19</v>
      </c>
      <c r="T278" s="35">
        <v>0</v>
      </c>
      <c r="U278" s="35">
        <v>0</v>
      </c>
      <c r="V278" s="12">
        <v>0</v>
      </c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</row>
    <row r="279" spans="18:32" ht="21" customHeight="1">
      <c r="R279" s="38" t="s">
        <v>77</v>
      </c>
      <c r="S279" s="8" t="s">
        <v>20</v>
      </c>
      <c r="T279" s="35">
        <v>0</v>
      </c>
      <c r="U279" s="35">
        <v>0</v>
      </c>
      <c r="V279" s="12">
        <v>0</v>
      </c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</row>
    <row r="280" spans="18:32" ht="21" customHeight="1">
      <c r="R280" s="38" t="s">
        <v>77</v>
      </c>
      <c r="S280" s="8" t="s">
        <v>23</v>
      </c>
      <c r="T280" s="35">
        <v>633</v>
      </c>
      <c r="U280" s="35">
        <v>22</v>
      </c>
      <c r="V280" s="12">
        <v>39</v>
      </c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</row>
    <row r="281" spans="18:32" ht="21" customHeight="1">
      <c r="R281" s="38" t="s">
        <v>77</v>
      </c>
      <c r="S281" s="8" t="s">
        <v>24</v>
      </c>
      <c r="T281" s="35">
        <v>0</v>
      </c>
      <c r="U281" s="35">
        <v>0</v>
      </c>
      <c r="V281" s="12">
        <v>0</v>
      </c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</row>
    <row r="282" spans="18:32" ht="21" customHeight="1">
      <c r="R282" s="38" t="s">
        <v>77</v>
      </c>
      <c r="S282" s="8" t="s">
        <v>25</v>
      </c>
      <c r="T282" s="35">
        <v>5800</v>
      </c>
      <c r="U282" s="35">
        <v>1920</v>
      </c>
      <c r="V282" s="12">
        <v>800</v>
      </c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</row>
    <row r="283" spans="18:32" ht="21" customHeight="1">
      <c r="R283" s="38" t="s">
        <v>77</v>
      </c>
      <c r="S283" s="8" t="s">
        <v>30</v>
      </c>
      <c r="T283" s="35">
        <v>0</v>
      </c>
      <c r="U283" s="35">
        <v>0</v>
      </c>
      <c r="V283" s="12">
        <v>0</v>
      </c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</row>
    <row r="284" spans="18:32" ht="17">
      <c r="R284" s="38" t="s">
        <v>77</v>
      </c>
      <c r="S284" s="8" t="s">
        <v>31</v>
      </c>
      <c r="T284" s="35">
        <v>0</v>
      </c>
      <c r="U284" s="35">
        <v>0</v>
      </c>
      <c r="V284" s="12">
        <v>0</v>
      </c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</row>
    <row r="285" spans="18:32" ht="21" customHeight="1">
      <c r="R285" s="38" t="s">
        <v>77</v>
      </c>
      <c r="S285" s="8" t="s">
        <v>61</v>
      </c>
      <c r="T285" s="35">
        <v>0</v>
      </c>
      <c r="U285" s="35">
        <v>0</v>
      </c>
      <c r="V285" s="12">
        <v>0</v>
      </c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</row>
    <row r="286" spans="18:32" ht="21" customHeight="1">
      <c r="R286" s="38" t="s">
        <v>77</v>
      </c>
      <c r="S286" s="8" t="s">
        <v>33</v>
      </c>
      <c r="T286" s="35">
        <v>0</v>
      </c>
      <c r="U286" s="35">
        <v>0</v>
      </c>
      <c r="V286" s="12">
        <v>0</v>
      </c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</row>
    <row r="287" spans="18:32" ht="21" customHeight="1">
      <c r="R287" s="38" t="s">
        <v>77</v>
      </c>
      <c r="S287" s="44" t="s">
        <v>35</v>
      </c>
      <c r="T287" s="47"/>
      <c r="U287" s="47"/>
      <c r="V287" s="46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</row>
    <row r="288" spans="18:32" ht="21" customHeight="1">
      <c r="R288" s="38" t="s">
        <v>77</v>
      </c>
      <c r="S288" s="44" t="s">
        <v>36</v>
      </c>
      <c r="T288" s="47"/>
      <c r="U288" s="47"/>
      <c r="V288" s="46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</row>
    <row r="289" spans="18:32" ht="21" customHeight="1">
      <c r="R289" s="38" t="s">
        <v>77</v>
      </c>
      <c r="S289" s="8" t="s">
        <v>37</v>
      </c>
      <c r="T289" s="35">
        <v>0</v>
      </c>
      <c r="U289" s="35">
        <v>0</v>
      </c>
      <c r="V289" s="12">
        <v>0</v>
      </c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</row>
    <row r="290" spans="18:32" ht="21" customHeight="1"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8:32" ht="21" customHeight="1">
      <c r="R291" s="11" t="s">
        <v>59</v>
      </c>
      <c r="S291" s="5" t="s">
        <v>2</v>
      </c>
      <c r="T291" s="5" t="s">
        <v>3</v>
      </c>
      <c r="U291" s="5" t="s">
        <v>4</v>
      </c>
      <c r="V291" s="5" t="s">
        <v>5</v>
      </c>
      <c r="W291" s="5" t="s">
        <v>6</v>
      </c>
      <c r="X291" s="5" t="s">
        <v>7</v>
      </c>
      <c r="Y291" s="5" t="s">
        <v>8</v>
      </c>
      <c r="Z291" s="5" t="s">
        <v>9</v>
      </c>
      <c r="AA291" s="5" t="s">
        <v>10</v>
      </c>
      <c r="AB291" s="5" t="s">
        <v>11</v>
      </c>
      <c r="AC291" s="5" t="s">
        <v>12</v>
      </c>
      <c r="AD291" s="5" t="s">
        <v>13</v>
      </c>
      <c r="AE291" s="5" t="s">
        <v>14</v>
      </c>
      <c r="AF291" s="5" t="s">
        <v>15</v>
      </c>
    </row>
    <row r="292" spans="18:32" ht="21" customHeight="1">
      <c r="R292" s="38" t="s">
        <v>78</v>
      </c>
      <c r="S292" s="8" t="s">
        <v>17</v>
      </c>
      <c r="T292" s="13">
        <v>1046</v>
      </c>
      <c r="U292" s="13">
        <v>145</v>
      </c>
      <c r="V292" s="12">
        <v>160</v>
      </c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</row>
    <row r="293" spans="18:32" ht="21" customHeight="1">
      <c r="R293" s="38" t="s">
        <v>78</v>
      </c>
      <c r="S293" s="8" t="s">
        <v>18</v>
      </c>
      <c r="T293" s="13">
        <v>1800</v>
      </c>
      <c r="U293" s="13">
        <v>130</v>
      </c>
      <c r="V293" s="12">
        <v>50</v>
      </c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</row>
    <row r="294" spans="18:32" ht="21" customHeight="1">
      <c r="R294" s="38" t="s">
        <v>78</v>
      </c>
      <c r="S294" s="8" t="s">
        <v>19</v>
      </c>
      <c r="T294" s="13">
        <v>6000</v>
      </c>
      <c r="U294" s="13">
        <v>200</v>
      </c>
      <c r="V294" s="12">
        <v>150</v>
      </c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</row>
    <row r="295" spans="18:32" ht="21" customHeight="1">
      <c r="R295" s="38" t="s">
        <v>78</v>
      </c>
      <c r="S295" s="8" t="s">
        <v>20</v>
      </c>
      <c r="T295" s="13">
        <v>3500</v>
      </c>
      <c r="U295" s="13">
        <v>150</v>
      </c>
      <c r="V295" s="12">
        <v>170</v>
      </c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</row>
    <row r="296" spans="18:32" ht="21" customHeight="1">
      <c r="R296" s="38" t="s">
        <v>78</v>
      </c>
      <c r="S296" s="8" t="s">
        <v>23</v>
      </c>
      <c r="T296" s="35">
        <v>467</v>
      </c>
      <c r="U296" s="13">
        <v>40</v>
      </c>
      <c r="V296" s="12">
        <v>60</v>
      </c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</row>
    <row r="297" spans="18:32" ht="21" customHeight="1">
      <c r="R297" s="38" t="s">
        <v>78</v>
      </c>
      <c r="S297" s="8" t="s">
        <v>24</v>
      </c>
      <c r="T297" s="35">
        <v>2500</v>
      </c>
      <c r="U297" s="13">
        <v>50</v>
      </c>
      <c r="V297" s="12">
        <v>380</v>
      </c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</row>
    <row r="298" spans="18:32" ht="17">
      <c r="R298" s="38" t="s">
        <v>78</v>
      </c>
      <c r="S298" s="8" t="s">
        <v>25</v>
      </c>
      <c r="T298" s="35">
        <v>8530</v>
      </c>
      <c r="U298" s="13">
        <v>100</v>
      </c>
      <c r="V298" s="12">
        <v>1120</v>
      </c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</row>
    <row r="299" spans="18:32" ht="21" customHeight="1">
      <c r="R299" s="38" t="s">
        <v>78</v>
      </c>
      <c r="S299" s="8" t="s">
        <v>30</v>
      </c>
      <c r="T299" s="35">
        <v>2059</v>
      </c>
      <c r="U299" s="13">
        <v>37</v>
      </c>
      <c r="V299" s="12">
        <v>119</v>
      </c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</row>
    <row r="300" spans="18:32" ht="21" customHeight="1">
      <c r="R300" s="38" t="s">
        <v>78</v>
      </c>
      <c r="S300" s="8" t="s">
        <v>31</v>
      </c>
      <c r="T300" s="13">
        <v>947</v>
      </c>
      <c r="U300" s="13">
        <v>15</v>
      </c>
      <c r="V300" s="12">
        <v>76</v>
      </c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</row>
    <row r="301" spans="18:32" ht="21" customHeight="1">
      <c r="R301" s="38" t="s">
        <v>78</v>
      </c>
      <c r="S301" s="8" t="s">
        <v>61</v>
      </c>
      <c r="T301" s="13">
        <v>4000</v>
      </c>
      <c r="U301" s="13">
        <v>250</v>
      </c>
      <c r="V301" s="12">
        <v>150</v>
      </c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</row>
    <row r="302" spans="18:32" ht="21" customHeight="1">
      <c r="R302" s="38" t="s">
        <v>78</v>
      </c>
      <c r="S302" s="8" t="s">
        <v>33</v>
      </c>
      <c r="T302" s="13">
        <v>3800</v>
      </c>
      <c r="U302" s="13">
        <v>120</v>
      </c>
      <c r="V302" s="12">
        <v>240</v>
      </c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</row>
    <row r="303" spans="18:32" ht="21" customHeight="1">
      <c r="R303" s="38" t="s">
        <v>78</v>
      </c>
      <c r="S303" s="44" t="s">
        <v>35</v>
      </c>
      <c r="T303" s="45"/>
      <c r="U303" s="45"/>
      <c r="V303" s="46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</row>
    <row r="304" spans="18:32" ht="21" customHeight="1">
      <c r="R304" s="38" t="s">
        <v>78</v>
      </c>
      <c r="S304" s="44" t="s">
        <v>36</v>
      </c>
      <c r="T304" s="45"/>
      <c r="U304" s="45"/>
      <c r="V304" s="46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</row>
    <row r="305" spans="18:32" ht="21" customHeight="1">
      <c r="R305" s="38" t="s">
        <v>78</v>
      </c>
      <c r="S305" s="8" t="s">
        <v>37</v>
      </c>
      <c r="T305" s="13">
        <v>200</v>
      </c>
      <c r="U305" s="13">
        <v>10</v>
      </c>
      <c r="V305" s="12">
        <v>40</v>
      </c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</row>
    <row r="307" spans="18:32" ht="21" customHeight="1">
      <c r="R307" s="11" t="s">
        <v>59</v>
      </c>
      <c r="S307" s="5" t="s">
        <v>2</v>
      </c>
      <c r="T307" s="5" t="s">
        <v>3</v>
      </c>
      <c r="U307" s="5" t="s">
        <v>4</v>
      </c>
      <c r="V307" s="5" t="s">
        <v>5</v>
      </c>
      <c r="W307" s="5" t="s">
        <v>6</v>
      </c>
      <c r="X307" s="5" t="s">
        <v>7</v>
      </c>
      <c r="Y307" s="5" t="s">
        <v>8</v>
      </c>
      <c r="Z307" s="5" t="s">
        <v>9</v>
      </c>
      <c r="AA307" s="5" t="s">
        <v>10</v>
      </c>
      <c r="AB307" s="5" t="s">
        <v>11</v>
      </c>
      <c r="AC307" s="5" t="s">
        <v>12</v>
      </c>
      <c r="AD307" s="5" t="s">
        <v>13</v>
      </c>
      <c r="AE307" s="5" t="s">
        <v>14</v>
      </c>
      <c r="AF307" s="5" t="s">
        <v>15</v>
      </c>
    </row>
    <row r="308" spans="18:32" ht="21" customHeight="1">
      <c r="R308" s="38" t="s">
        <v>79</v>
      </c>
      <c r="S308" s="8" t="s">
        <v>17</v>
      </c>
      <c r="T308" s="13">
        <v>594</v>
      </c>
      <c r="U308" s="13">
        <v>0</v>
      </c>
      <c r="V308" s="12">
        <v>35</v>
      </c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</row>
    <row r="309" spans="18:32" ht="21" customHeight="1">
      <c r="R309" s="38" t="s">
        <v>79</v>
      </c>
      <c r="S309" s="8" t="s">
        <v>18</v>
      </c>
      <c r="T309" s="13">
        <v>1600</v>
      </c>
      <c r="U309" s="13">
        <v>100</v>
      </c>
      <c r="V309" s="12">
        <v>35</v>
      </c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</row>
    <row r="310" spans="18:32" ht="21" customHeight="1">
      <c r="R310" s="38" t="s">
        <v>79</v>
      </c>
      <c r="S310" s="8" t="s">
        <v>19</v>
      </c>
      <c r="T310" s="13">
        <v>3500</v>
      </c>
      <c r="U310" s="13">
        <v>150</v>
      </c>
      <c r="V310" s="12">
        <v>114</v>
      </c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</row>
    <row r="311" spans="18:32" ht="21" customHeight="1">
      <c r="R311" s="38" t="s">
        <v>79</v>
      </c>
      <c r="S311" s="8" t="s">
        <v>20</v>
      </c>
      <c r="T311" s="13">
        <v>2500</v>
      </c>
      <c r="U311" s="13">
        <v>150</v>
      </c>
      <c r="V311" s="12">
        <v>240</v>
      </c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</row>
    <row r="312" spans="18:32" ht="17">
      <c r="R312" s="38" t="s">
        <v>79</v>
      </c>
      <c r="S312" s="8" t="s">
        <v>23</v>
      </c>
      <c r="T312" s="35">
        <v>2505</v>
      </c>
      <c r="U312" s="13">
        <v>64</v>
      </c>
      <c r="V312" s="12">
        <v>154</v>
      </c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</row>
    <row r="313" spans="18:32" ht="17">
      <c r="R313" s="38" t="s">
        <v>79</v>
      </c>
      <c r="S313" s="8" t="s">
        <v>24</v>
      </c>
      <c r="T313" s="35">
        <v>1700</v>
      </c>
      <c r="U313" s="13">
        <v>50</v>
      </c>
      <c r="V313" s="12">
        <v>320</v>
      </c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</row>
    <row r="314" spans="18:32" ht="17">
      <c r="R314" s="38" t="s">
        <v>79</v>
      </c>
      <c r="S314" s="8" t="s">
        <v>25</v>
      </c>
      <c r="T314" s="35">
        <v>4480</v>
      </c>
      <c r="U314" s="13">
        <v>200</v>
      </c>
      <c r="V314" s="12">
        <v>1120</v>
      </c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</row>
    <row r="315" spans="18:32" ht="17">
      <c r="R315" s="38" t="s">
        <v>79</v>
      </c>
      <c r="S315" s="8" t="s">
        <v>30</v>
      </c>
      <c r="T315" s="35">
        <v>5994</v>
      </c>
      <c r="U315" s="13">
        <v>240</v>
      </c>
      <c r="V315" s="12">
        <v>448</v>
      </c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</row>
    <row r="316" spans="18:32" ht="17">
      <c r="R316" s="38" t="s">
        <v>79</v>
      </c>
      <c r="S316" s="8" t="s">
        <v>31</v>
      </c>
      <c r="T316" s="13">
        <v>398</v>
      </c>
      <c r="U316" s="13">
        <v>10</v>
      </c>
      <c r="V316" s="12">
        <v>26</v>
      </c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</row>
    <row r="317" spans="18:32" ht="17">
      <c r="R317" s="38" t="s">
        <v>79</v>
      </c>
      <c r="S317" s="8" t="s">
        <v>61</v>
      </c>
      <c r="T317" s="13">
        <v>4000</v>
      </c>
      <c r="U317" s="13">
        <v>200</v>
      </c>
      <c r="V317" s="12">
        <v>130</v>
      </c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</row>
    <row r="318" spans="18:32" ht="17">
      <c r="R318" s="38" t="s">
        <v>79</v>
      </c>
      <c r="S318" s="8" t="s">
        <v>33</v>
      </c>
      <c r="T318" s="13">
        <v>3000</v>
      </c>
      <c r="U318" s="13">
        <v>50</v>
      </c>
      <c r="V318" s="12">
        <v>220</v>
      </c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</row>
    <row r="319" spans="18:32" ht="17">
      <c r="R319" s="38" t="s">
        <v>79</v>
      </c>
      <c r="S319" s="44" t="s">
        <v>35</v>
      </c>
      <c r="T319" s="45"/>
      <c r="U319" s="45"/>
      <c r="V319" s="46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</row>
    <row r="320" spans="18:32" ht="17">
      <c r="R320" s="38" t="s">
        <v>79</v>
      </c>
      <c r="S320" s="44" t="s">
        <v>36</v>
      </c>
      <c r="T320" s="45"/>
      <c r="U320" s="45"/>
      <c r="V320" s="46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</row>
    <row r="321" spans="18:32" ht="17">
      <c r="R321" s="38" t="s">
        <v>79</v>
      </c>
      <c r="S321" s="8" t="s">
        <v>37</v>
      </c>
      <c r="T321" s="13">
        <v>180</v>
      </c>
      <c r="U321" s="13">
        <v>20</v>
      </c>
      <c r="V321" s="12">
        <v>40</v>
      </c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</row>
    <row r="322" spans="18:32" ht="17"/>
    <row r="323" spans="18:32" ht="17">
      <c r="R323" s="11" t="s">
        <v>59</v>
      </c>
      <c r="S323" s="5" t="s">
        <v>2</v>
      </c>
      <c r="T323" s="5" t="s">
        <v>3</v>
      </c>
      <c r="U323" s="5" t="s">
        <v>4</v>
      </c>
      <c r="V323" s="5" t="s">
        <v>5</v>
      </c>
      <c r="W323" s="5" t="s">
        <v>6</v>
      </c>
      <c r="X323" s="5" t="s">
        <v>7</v>
      </c>
      <c r="Y323" s="5" t="s">
        <v>8</v>
      </c>
      <c r="Z323" s="5" t="s">
        <v>9</v>
      </c>
      <c r="AA323" s="5" t="s">
        <v>10</v>
      </c>
      <c r="AB323" s="5" t="s">
        <v>11</v>
      </c>
      <c r="AC323" s="5" t="s">
        <v>12</v>
      </c>
      <c r="AD323" s="5" t="s">
        <v>13</v>
      </c>
      <c r="AE323" s="5" t="s">
        <v>14</v>
      </c>
      <c r="AF323" s="5" t="s">
        <v>15</v>
      </c>
    </row>
    <row r="324" spans="18:32" ht="17">
      <c r="R324" s="38" t="s">
        <v>80</v>
      </c>
      <c r="S324" s="8" t="s">
        <v>17</v>
      </c>
      <c r="T324" s="13">
        <v>2908</v>
      </c>
      <c r="U324" s="13">
        <v>60</v>
      </c>
      <c r="V324" s="12">
        <v>180</v>
      </c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</row>
    <row r="325" spans="18:32" ht="17">
      <c r="R325" s="38" t="s">
        <v>80</v>
      </c>
      <c r="S325" s="8" t="s">
        <v>18</v>
      </c>
      <c r="T325" s="13">
        <v>2000</v>
      </c>
      <c r="U325" s="13">
        <v>100</v>
      </c>
      <c r="V325" s="12">
        <v>50</v>
      </c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</row>
    <row r="326" spans="18:32" ht="17">
      <c r="R326" s="38" t="s">
        <v>80</v>
      </c>
      <c r="S326" s="8" t="s">
        <v>19</v>
      </c>
      <c r="T326" s="13">
        <v>7000</v>
      </c>
      <c r="U326" s="13">
        <v>200</v>
      </c>
      <c r="V326" s="12">
        <v>300</v>
      </c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</row>
    <row r="327" spans="18:32" ht="17">
      <c r="R327" s="38" t="s">
        <v>80</v>
      </c>
      <c r="S327" s="8" t="s">
        <v>20</v>
      </c>
      <c r="T327" s="13">
        <v>3000</v>
      </c>
      <c r="U327" s="13">
        <v>100</v>
      </c>
      <c r="V327" s="12">
        <v>40</v>
      </c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</row>
    <row r="328" spans="18:32" ht="17">
      <c r="R328" s="38" t="s">
        <v>80</v>
      </c>
      <c r="S328" s="8" t="s">
        <v>23</v>
      </c>
      <c r="T328" s="13">
        <v>2</v>
      </c>
      <c r="U328" s="13">
        <v>0</v>
      </c>
      <c r="V328" s="12">
        <v>0</v>
      </c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</row>
    <row r="329" spans="18:32" ht="17">
      <c r="R329" s="38" t="s">
        <v>80</v>
      </c>
      <c r="S329" s="8" t="s">
        <v>24</v>
      </c>
      <c r="T329" s="13">
        <v>150</v>
      </c>
      <c r="U329" s="13">
        <v>10</v>
      </c>
      <c r="V329" s="12">
        <v>20</v>
      </c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</row>
    <row r="330" spans="18:32" ht="17">
      <c r="R330" s="38" t="s">
        <v>80</v>
      </c>
      <c r="S330" s="8" t="s">
        <v>25</v>
      </c>
      <c r="T330" s="13">
        <v>100</v>
      </c>
      <c r="U330" s="13">
        <v>10</v>
      </c>
      <c r="V330" s="12">
        <v>20</v>
      </c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</row>
    <row r="331" spans="18:32" ht="17">
      <c r="R331" s="38" t="s">
        <v>80</v>
      </c>
      <c r="S331" s="8" t="s">
        <v>30</v>
      </c>
      <c r="T331" s="13">
        <v>1001</v>
      </c>
      <c r="U331" s="13">
        <v>12</v>
      </c>
      <c r="V331" s="12">
        <v>58</v>
      </c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</row>
    <row r="332" spans="18:32" ht="17">
      <c r="R332" s="38" t="s">
        <v>80</v>
      </c>
      <c r="S332" s="8" t="s">
        <v>31</v>
      </c>
      <c r="T332" s="13">
        <v>160</v>
      </c>
      <c r="U332" s="13">
        <v>5</v>
      </c>
      <c r="V332" s="12">
        <v>15</v>
      </c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</row>
    <row r="333" spans="18:32" ht="17">
      <c r="R333" s="38" t="s">
        <v>80</v>
      </c>
      <c r="S333" s="8" t="s">
        <v>61</v>
      </c>
      <c r="T333" s="13">
        <v>600</v>
      </c>
      <c r="U333" s="13">
        <v>30</v>
      </c>
      <c r="V333" s="12">
        <v>30</v>
      </c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</row>
    <row r="334" spans="18:32" ht="17">
      <c r="R334" s="38" t="s">
        <v>80</v>
      </c>
      <c r="S334" s="8" t="s">
        <v>33</v>
      </c>
      <c r="T334" s="13">
        <v>650</v>
      </c>
      <c r="U334" s="13">
        <v>30</v>
      </c>
      <c r="V334" s="12">
        <v>30</v>
      </c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</row>
    <row r="335" spans="18:32" ht="17">
      <c r="R335" s="38" t="s">
        <v>80</v>
      </c>
      <c r="S335" s="44" t="s">
        <v>35</v>
      </c>
      <c r="T335" s="45"/>
      <c r="U335" s="45"/>
      <c r="V335" s="46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</row>
    <row r="336" spans="18:32" ht="17">
      <c r="R336" s="38" t="s">
        <v>80</v>
      </c>
      <c r="S336" s="44" t="s">
        <v>36</v>
      </c>
      <c r="T336" s="45"/>
      <c r="U336" s="45"/>
      <c r="V336" s="46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</row>
    <row r="337" spans="18:32" ht="17">
      <c r="R337" s="38" t="s">
        <v>80</v>
      </c>
      <c r="S337" s="8" t="s">
        <v>37</v>
      </c>
      <c r="T337" s="13">
        <v>50</v>
      </c>
      <c r="U337" s="13">
        <v>5</v>
      </c>
      <c r="V337" s="12">
        <v>5</v>
      </c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</row>
    <row r="338" spans="18:32" ht="17"/>
    <row r="339" spans="18:32" ht="17">
      <c r="R339" s="11" t="s">
        <v>59</v>
      </c>
      <c r="S339" s="5" t="s">
        <v>2</v>
      </c>
      <c r="T339" s="5" t="s">
        <v>3</v>
      </c>
      <c r="U339" s="5" t="s">
        <v>4</v>
      </c>
      <c r="V339" s="5" t="s">
        <v>5</v>
      </c>
      <c r="W339" s="5" t="s">
        <v>6</v>
      </c>
      <c r="X339" s="5" t="s">
        <v>7</v>
      </c>
      <c r="Y339" s="5" t="s">
        <v>8</v>
      </c>
      <c r="Z339" s="5" t="s">
        <v>9</v>
      </c>
      <c r="AA339" s="5" t="s">
        <v>10</v>
      </c>
      <c r="AB339" s="5" t="s">
        <v>11</v>
      </c>
      <c r="AC339" s="5" t="s">
        <v>12</v>
      </c>
      <c r="AD339" s="5" t="s">
        <v>13</v>
      </c>
      <c r="AE339" s="5" t="s">
        <v>14</v>
      </c>
      <c r="AF339" s="5" t="s">
        <v>15</v>
      </c>
    </row>
    <row r="340" spans="18:32" ht="17">
      <c r="R340" s="38" t="s">
        <v>81</v>
      </c>
      <c r="S340" s="8" t="s">
        <v>17</v>
      </c>
      <c r="T340" s="12">
        <v>861</v>
      </c>
      <c r="U340" s="12">
        <v>0</v>
      </c>
      <c r="V340" s="12">
        <v>0</v>
      </c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</row>
    <row r="341" spans="18:32" ht="17">
      <c r="R341" s="38" t="s">
        <v>81</v>
      </c>
      <c r="S341" s="8" t="s">
        <v>18</v>
      </c>
      <c r="T341" s="12">
        <v>423</v>
      </c>
      <c r="U341" s="12">
        <v>2</v>
      </c>
      <c r="V341" s="12">
        <v>0</v>
      </c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</row>
    <row r="342" spans="18:32" ht="17">
      <c r="R342" s="38" t="s">
        <v>81</v>
      </c>
      <c r="S342" s="8" t="s">
        <v>19</v>
      </c>
      <c r="T342" s="12">
        <v>323</v>
      </c>
      <c r="U342" s="12">
        <v>0</v>
      </c>
      <c r="V342" s="12">
        <v>0</v>
      </c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</row>
    <row r="343" spans="18:32" ht="17">
      <c r="R343" s="38" t="s">
        <v>81</v>
      </c>
      <c r="S343" s="8" t="s">
        <v>20</v>
      </c>
      <c r="T343" s="12">
        <v>689</v>
      </c>
      <c r="U343" s="12">
        <v>30</v>
      </c>
      <c r="V343" s="12">
        <v>42</v>
      </c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</row>
    <row r="344" spans="18:32" ht="17">
      <c r="R344" s="38" t="s">
        <v>81</v>
      </c>
      <c r="S344" s="8" t="s">
        <v>23</v>
      </c>
      <c r="T344" s="12">
        <v>0</v>
      </c>
      <c r="U344" s="12">
        <v>0</v>
      </c>
      <c r="V344" s="12">
        <v>0</v>
      </c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</row>
    <row r="345" spans="18:32" ht="17">
      <c r="R345" s="38" t="s">
        <v>81</v>
      </c>
      <c r="S345" s="8" t="s">
        <v>24</v>
      </c>
      <c r="T345" s="12">
        <v>166</v>
      </c>
      <c r="U345" s="12">
        <v>11</v>
      </c>
      <c r="V345" s="12">
        <v>17</v>
      </c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</row>
    <row r="346" spans="18:32" ht="17">
      <c r="R346" s="38" t="s">
        <v>81</v>
      </c>
      <c r="S346" s="8" t="s">
        <v>25</v>
      </c>
      <c r="T346" s="12">
        <v>323</v>
      </c>
      <c r="U346" s="12">
        <v>24</v>
      </c>
      <c r="V346" s="12">
        <v>33</v>
      </c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</row>
    <row r="347" spans="18:32" ht="17">
      <c r="R347" s="38" t="s">
        <v>81</v>
      </c>
      <c r="S347" s="8" t="s">
        <v>30</v>
      </c>
      <c r="T347" s="12">
        <v>815</v>
      </c>
      <c r="U347" s="12">
        <v>24</v>
      </c>
      <c r="V347" s="12">
        <v>45</v>
      </c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</row>
    <row r="348" spans="18:32" ht="17">
      <c r="R348" s="38" t="s">
        <v>81</v>
      </c>
      <c r="S348" s="8" t="s">
        <v>31</v>
      </c>
      <c r="T348" s="12">
        <v>1555</v>
      </c>
      <c r="U348" s="12">
        <v>39</v>
      </c>
      <c r="V348" s="12">
        <v>43</v>
      </c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</row>
    <row r="349" spans="18:32" ht="17">
      <c r="R349" s="38" t="s">
        <v>81</v>
      </c>
      <c r="S349" s="8" t="s">
        <v>61</v>
      </c>
      <c r="T349" s="12">
        <v>390</v>
      </c>
      <c r="U349" s="12">
        <v>5</v>
      </c>
      <c r="V349" s="12">
        <v>18</v>
      </c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</row>
    <row r="350" spans="18:32" ht="17">
      <c r="R350" s="38" t="s">
        <v>81</v>
      </c>
      <c r="S350" s="8" t="s">
        <v>33</v>
      </c>
      <c r="T350" s="12">
        <v>800</v>
      </c>
      <c r="U350" s="12">
        <v>83</v>
      </c>
      <c r="V350" s="12">
        <v>90</v>
      </c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</row>
    <row r="351" spans="18:32" ht="17">
      <c r="R351" s="38" t="s">
        <v>81</v>
      </c>
      <c r="S351" s="44" t="s">
        <v>35</v>
      </c>
      <c r="T351" s="46"/>
      <c r="U351" s="46"/>
      <c r="V351" s="46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</row>
    <row r="352" spans="18:32" ht="17">
      <c r="R352" s="38" t="s">
        <v>81</v>
      </c>
      <c r="S352" s="44" t="s">
        <v>36</v>
      </c>
      <c r="T352" s="46"/>
      <c r="U352" s="46"/>
      <c r="V352" s="46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</row>
    <row r="353" spans="18:32" ht="17">
      <c r="R353" s="38" t="s">
        <v>81</v>
      </c>
      <c r="S353" s="8" t="s">
        <v>37</v>
      </c>
      <c r="T353" s="12">
        <v>71</v>
      </c>
      <c r="U353" s="12">
        <v>2</v>
      </c>
      <c r="V353" s="12">
        <v>3</v>
      </c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</row>
  </sheetData>
  <mergeCells count="6">
    <mergeCell ref="B16:B19"/>
    <mergeCell ref="B4:B7"/>
    <mergeCell ref="B21:B23"/>
    <mergeCell ref="B9:B11"/>
    <mergeCell ref="B8:C8"/>
    <mergeCell ref="B12:C1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F146"/>
  <sheetViews>
    <sheetView showGridLines="0" topLeftCell="G1" zoomScale="90" zoomScaleNormal="90" workbookViewId="0">
      <selection activeCell="R1" sqref="R1:R1048576"/>
    </sheetView>
  </sheetViews>
  <sheetFormatPr defaultRowHeight="21" customHeight="1"/>
  <cols>
    <col min="1" max="1" width="2.25" style="43" customWidth="1"/>
    <col min="2" max="2" width="17.25" style="43" customWidth="1"/>
    <col min="3" max="3" width="23.08203125" style="43" bestFit="1" customWidth="1"/>
    <col min="4" max="16" width="9" style="1" customWidth="1"/>
    <col min="18" max="18" width="16.25" style="43" customWidth="1"/>
    <col min="19" max="19" width="23.08203125" style="43" bestFit="1" customWidth="1"/>
    <col min="20" max="32" width="18" style="43" customWidth="1"/>
  </cols>
  <sheetData>
    <row r="2" spans="2:32" ht="21" customHeight="1">
      <c r="B2" t="s">
        <v>56</v>
      </c>
      <c r="P2" s="7" t="s">
        <v>57</v>
      </c>
      <c r="R2" t="s">
        <v>104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2:32" ht="21" customHeight="1">
      <c r="B3" s="9"/>
      <c r="C3" s="4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R3" s="11" t="s">
        <v>59</v>
      </c>
      <c r="S3" s="5" t="s">
        <v>2</v>
      </c>
      <c r="T3" s="5" t="s">
        <v>3</v>
      </c>
      <c r="U3" s="5" t="s">
        <v>4</v>
      </c>
      <c r="V3" s="5" t="s">
        <v>5</v>
      </c>
      <c r="W3" s="5" t="s">
        <v>6</v>
      </c>
      <c r="X3" s="5" t="s">
        <v>7</v>
      </c>
      <c r="Y3" s="5" t="s">
        <v>8</v>
      </c>
      <c r="Z3" s="5" t="s">
        <v>9</v>
      </c>
      <c r="AA3" s="5" t="s">
        <v>10</v>
      </c>
      <c r="AB3" s="5" t="s">
        <v>11</v>
      </c>
      <c r="AC3" s="5" t="s">
        <v>12</v>
      </c>
      <c r="AD3" s="5" t="s">
        <v>13</v>
      </c>
      <c r="AE3" s="5" t="s">
        <v>14</v>
      </c>
      <c r="AF3" s="5" t="s">
        <v>15</v>
      </c>
    </row>
    <row r="4" spans="2:32" ht="21" customHeight="1">
      <c r="B4" s="52" t="s">
        <v>16</v>
      </c>
      <c r="C4" s="8" t="s">
        <v>17</v>
      </c>
      <c r="D4" s="13">
        <f>SUMIF($S:$S,$C4,T:T)</f>
        <v>9348</v>
      </c>
      <c r="E4" s="13">
        <f>SUMIF($S:$S,$C4,U:U)</f>
        <v>748</v>
      </c>
      <c r="F4" s="13">
        <f>SUMIF($S:$S,$C4,V:V)</f>
        <v>798</v>
      </c>
      <c r="G4" s="13">
        <f>SUMIF($S:$S,$C4,W:W)</f>
        <v>0</v>
      </c>
      <c r="H4" s="13">
        <f>SUMIF($S:$S,$C4,X:X)</f>
        <v>0</v>
      </c>
      <c r="I4" s="13">
        <f>SUMIF($S:$S,$C4,Y:Y)</f>
        <v>0</v>
      </c>
      <c r="J4" s="13">
        <f>SUMIF($S:$S,$C4,Z:Z)</f>
        <v>0</v>
      </c>
      <c r="K4" s="13">
        <f>SUMIF($S:$S,$C4,AA:AA)</f>
        <v>0</v>
      </c>
      <c r="L4" s="13">
        <f>SUMIF($S:$S,$C4,AB:AB)</f>
        <v>0</v>
      </c>
      <c r="M4" s="13">
        <f>SUMIF($S:$S,$C4,AC:AC)</f>
        <v>0</v>
      </c>
      <c r="N4" s="13">
        <f>SUMIF($S:$S,$C4,AD:AD)</f>
        <v>0</v>
      </c>
      <c r="O4" s="13">
        <f>SUMIF($S:$S,$C4,AE:AE)</f>
        <v>0</v>
      </c>
      <c r="P4" s="13">
        <f>SUMIF($S:$S,$C4,AF:AF)</f>
        <v>0</v>
      </c>
      <c r="R4" s="38" t="s">
        <v>105</v>
      </c>
      <c r="S4" s="8" t="s">
        <v>17</v>
      </c>
      <c r="T4" s="3">
        <v>492</v>
      </c>
      <c r="U4" s="3">
        <v>22</v>
      </c>
      <c r="V4" s="3">
        <v>29</v>
      </c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2:32" ht="21" customHeight="1">
      <c r="B5" s="53"/>
      <c r="C5" s="8" t="s">
        <v>18</v>
      </c>
      <c r="D5" s="13">
        <f>SUMIF($S:$S,$C5,T:T)</f>
        <v>1414</v>
      </c>
      <c r="E5" s="13">
        <f>SUMIF($S:$S,$C5,U:U)</f>
        <v>91</v>
      </c>
      <c r="F5" s="13">
        <f>SUMIF($S:$S,$C5,V:V)</f>
        <v>90</v>
      </c>
      <c r="G5" s="13">
        <f>SUMIF($S:$S,$C5,W:W)</f>
        <v>0</v>
      </c>
      <c r="H5" s="13">
        <f>SUMIF($S:$S,$C5,X:X)</f>
        <v>0</v>
      </c>
      <c r="I5" s="13">
        <f>SUMIF($S:$S,$C5,Y:Y)</f>
        <v>0</v>
      </c>
      <c r="J5" s="13">
        <f>SUMIF($S:$S,$C5,Z:Z)</f>
        <v>0</v>
      </c>
      <c r="K5" s="13">
        <f>SUMIF($S:$S,$C5,AA:AA)</f>
        <v>0</v>
      </c>
      <c r="L5" s="13">
        <f>SUMIF($S:$S,$C5,AB:AB)</f>
        <v>0</v>
      </c>
      <c r="M5" s="13">
        <f>SUMIF($S:$S,$C5,AC:AC)</f>
        <v>0</v>
      </c>
      <c r="N5" s="13">
        <f>SUMIF($S:$S,$C5,AD:AD)</f>
        <v>0</v>
      </c>
      <c r="O5" s="13">
        <f>SUMIF($S:$S,$C5,AE:AE)</f>
        <v>0</v>
      </c>
      <c r="P5" s="13">
        <f>SUMIF($S:$S,$C5,AF:AF)</f>
        <v>0</v>
      </c>
      <c r="R5" s="38" t="s">
        <v>105</v>
      </c>
      <c r="S5" s="8" t="s">
        <v>18</v>
      </c>
      <c r="T5" s="3">
        <v>85</v>
      </c>
      <c r="U5" s="3">
        <v>6</v>
      </c>
      <c r="V5" s="3">
        <v>8</v>
      </c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2:32" ht="21" customHeight="1">
      <c r="B6" s="53"/>
      <c r="C6" s="8" t="s">
        <v>19</v>
      </c>
      <c r="D6" s="13">
        <f>SUMIF($S:$S,$C6,T:T)</f>
        <v>3775</v>
      </c>
      <c r="E6" s="13">
        <f>SUMIF($S:$S,$C6,U:U)</f>
        <v>254</v>
      </c>
      <c r="F6" s="13">
        <f>SUMIF($S:$S,$C6,V:V)</f>
        <v>381</v>
      </c>
      <c r="G6" s="13">
        <f>SUMIF($S:$S,$C6,W:W)</f>
        <v>0</v>
      </c>
      <c r="H6" s="13">
        <f>SUMIF($S:$S,$C6,X:X)</f>
        <v>0</v>
      </c>
      <c r="I6" s="13">
        <f>SUMIF($S:$S,$C6,Y:Y)</f>
        <v>0</v>
      </c>
      <c r="J6" s="13">
        <f>SUMIF($S:$S,$C6,Z:Z)</f>
        <v>0</v>
      </c>
      <c r="K6" s="13">
        <f>SUMIF($S:$S,$C6,AA:AA)</f>
        <v>0</v>
      </c>
      <c r="L6" s="13">
        <f>SUMIF($S:$S,$C6,AB:AB)</f>
        <v>0</v>
      </c>
      <c r="M6" s="13">
        <f>SUMIF($S:$S,$C6,AC:AC)</f>
        <v>0</v>
      </c>
      <c r="N6" s="13">
        <f>SUMIF($S:$S,$C6,AD:AD)</f>
        <v>0</v>
      </c>
      <c r="O6" s="13">
        <f>SUMIF($S:$S,$C6,AE:AE)</f>
        <v>0</v>
      </c>
      <c r="P6" s="13">
        <f>SUMIF($S:$S,$C6,AF:AF)</f>
        <v>0</v>
      </c>
      <c r="R6" s="38" t="s">
        <v>105</v>
      </c>
      <c r="S6" s="8" t="s">
        <v>19</v>
      </c>
      <c r="T6" s="3">
        <v>593</v>
      </c>
      <c r="U6" s="3">
        <v>39</v>
      </c>
      <c r="V6" s="3">
        <v>59</v>
      </c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2:32" ht="21" customHeight="1">
      <c r="B7" s="54"/>
      <c r="C7" s="8" t="s">
        <v>20</v>
      </c>
      <c r="D7" s="13">
        <f>SUMIF($S:$S,$C7,T:T)</f>
        <v>8207</v>
      </c>
      <c r="E7" s="13">
        <f>SUMIF($S:$S,$C7,U:U)</f>
        <v>519</v>
      </c>
      <c r="F7" s="13">
        <f>SUMIF($S:$S,$C7,V:V)</f>
        <v>544</v>
      </c>
      <c r="G7" s="13">
        <f>SUMIF($S:$S,$C7,W:W)</f>
        <v>0</v>
      </c>
      <c r="H7" s="13">
        <f>SUMIF($S:$S,$C7,X:X)</f>
        <v>0</v>
      </c>
      <c r="I7" s="13">
        <f>SUMIF($S:$S,$C7,Y:Y)</f>
        <v>0</v>
      </c>
      <c r="J7" s="13">
        <f>SUMIF($S:$S,$C7,Z:Z)</f>
        <v>0</v>
      </c>
      <c r="K7" s="13">
        <f>SUMIF($S:$S,$C7,AA:AA)</f>
        <v>0</v>
      </c>
      <c r="L7" s="13">
        <f>SUMIF($S:$S,$C7,AB:AB)</f>
        <v>0</v>
      </c>
      <c r="M7" s="13">
        <f>SUMIF($S:$S,$C7,AC:AC)</f>
        <v>0</v>
      </c>
      <c r="N7" s="13">
        <f>SUMIF($S:$S,$C7,AD:AD)</f>
        <v>0</v>
      </c>
      <c r="O7" s="13">
        <f>SUMIF($S:$S,$C7,AE:AE)</f>
        <v>0</v>
      </c>
      <c r="P7" s="13">
        <f>SUMIF($S:$S,$C7,AF:AF)</f>
        <v>0</v>
      </c>
      <c r="R7" s="38" t="s">
        <v>105</v>
      </c>
      <c r="S7" s="8" t="s">
        <v>20</v>
      </c>
      <c r="T7" s="3">
        <v>610</v>
      </c>
      <c r="U7" s="3">
        <v>34</v>
      </c>
      <c r="V7" s="3">
        <v>58</v>
      </c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2:32" ht="21" customHeight="1">
      <c r="B8" s="65" t="s">
        <v>21</v>
      </c>
      <c r="C8" s="56"/>
      <c r="D8" s="12">
        <f t="shared" ref="D8:P8" si="0">SUM(D4:D7)</f>
        <v>22744</v>
      </c>
      <c r="E8" s="12">
        <f t="shared" si="0"/>
        <v>1612</v>
      </c>
      <c r="F8" s="12">
        <f t="shared" si="0"/>
        <v>1813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R8" s="38" t="s">
        <v>105</v>
      </c>
      <c r="S8" s="8" t="s">
        <v>23</v>
      </c>
      <c r="T8" s="3">
        <v>20</v>
      </c>
      <c r="U8" s="3">
        <v>2</v>
      </c>
      <c r="V8" s="3">
        <v>7</v>
      </c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2:32" ht="21" customHeight="1">
      <c r="B9" s="57" t="s">
        <v>22</v>
      </c>
      <c r="C9" s="2" t="s">
        <v>23</v>
      </c>
      <c r="D9" s="13">
        <f>SUMIF($S:$S,$C9,T:T)</f>
        <v>357</v>
      </c>
      <c r="E9" s="13">
        <f>SUMIF($S:$S,$C9,U:U)</f>
        <v>45</v>
      </c>
      <c r="F9" s="13">
        <f>SUMIF($S:$S,$C9,V:V)</f>
        <v>54</v>
      </c>
      <c r="G9" s="13">
        <f>SUMIF($S:$S,$C9,W:W)</f>
        <v>0</v>
      </c>
      <c r="H9" s="13">
        <f>SUMIF($S:$S,$C9,X:X)</f>
        <v>0</v>
      </c>
      <c r="I9" s="13">
        <f>SUMIF($S:$S,$C9,Y:Y)</f>
        <v>0</v>
      </c>
      <c r="J9" s="13">
        <f>SUMIF($S:$S,$C9,Z:Z)</f>
        <v>0</v>
      </c>
      <c r="K9" s="13">
        <f>SUMIF($S:$S,$C9,AA:AA)</f>
        <v>0</v>
      </c>
      <c r="L9" s="13">
        <f>SUMIF($S:$S,$C9,AB:AB)</f>
        <v>0</v>
      </c>
      <c r="M9" s="13">
        <f>SUMIF($S:$S,$C9,AC:AC)</f>
        <v>0</v>
      </c>
      <c r="N9" s="13">
        <f>SUMIF($S:$S,$C9,AD:AD)</f>
        <v>0</v>
      </c>
      <c r="O9" s="13">
        <f>SUMIF($S:$S,$C9,AE:AE)</f>
        <v>0</v>
      </c>
      <c r="P9" s="13">
        <f>SUMIF($S:$S,$C9,AF:AF)</f>
        <v>0</v>
      </c>
      <c r="R9" s="38" t="s">
        <v>105</v>
      </c>
      <c r="S9" s="8" t="s">
        <v>24</v>
      </c>
      <c r="T9" s="3">
        <v>260</v>
      </c>
      <c r="U9" s="3">
        <v>17</v>
      </c>
      <c r="V9" s="3">
        <v>24</v>
      </c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2:32" ht="21" customHeight="1">
      <c r="B10" s="58"/>
      <c r="C10" s="2" t="s">
        <v>24</v>
      </c>
      <c r="D10" s="13">
        <f>SUMIF($S:$S,$C10,T:T)</f>
        <v>4699</v>
      </c>
      <c r="E10" s="13">
        <f>SUMIF($S:$S,$C10,U:U)</f>
        <v>284</v>
      </c>
      <c r="F10" s="13">
        <f>SUMIF($S:$S,$C10,V:V)</f>
        <v>329</v>
      </c>
      <c r="G10" s="13">
        <f>SUMIF($S:$S,$C10,W:W)</f>
        <v>0</v>
      </c>
      <c r="H10" s="13">
        <f>SUMIF($S:$S,$C10,X:X)</f>
        <v>0</v>
      </c>
      <c r="I10" s="13">
        <f>SUMIF($S:$S,$C10,Y:Y)</f>
        <v>0</v>
      </c>
      <c r="J10" s="13">
        <f>SUMIF($S:$S,$C10,Z:Z)</f>
        <v>0</v>
      </c>
      <c r="K10" s="13">
        <f>SUMIF($S:$S,$C10,AA:AA)</f>
        <v>0</v>
      </c>
      <c r="L10" s="13">
        <f>SUMIF($S:$S,$C10,AB:AB)</f>
        <v>0</v>
      </c>
      <c r="M10" s="13">
        <f>SUMIF($S:$S,$C10,AC:AC)</f>
        <v>0</v>
      </c>
      <c r="N10" s="13">
        <f>SUMIF($S:$S,$C10,AD:AD)</f>
        <v>0</v>
      </c>
      <c r="O10" s="13">
        <f>SUMIF($S:$S,$C10,AE:AE)</f>
        <v>0</v>
      </c>
      <c r="P10" s="13">
        <f>SUMIF($S:$S,$C10,AF:AF)</f>
        <v>0</v>
      </c>
      <c r="R10" s="38" t="s">
        <v>105</v>
      </c>
      <c r="S10" s="8" t="s">
        <v>25</v>
      </c>
      <c r="T10" s="3">
        <v>701</v>
      </c>
      <c r="U10" s="3">
        <v>45</v>
      </c>
      <c r="V10" s="3">
        <v>34</v>
      </c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2:32" ht="21" customHeight="1">
      <c r="B11" s="59"/>
      <c r="C11" s="2" t="s">
        <v>25</v>
      </c>
      <c r="D11" s="13">
        <f>SUMIF($S:$S,$C11,T:T)</f>
        <v>10221</v>
      </c>
      <c r="E11" s="13">
        <f>SUMIF($S:$S,$C11,U:U)</f>
        <v>696</v>
      </c>
      <c r="F11" s="13">
        <f>SUMIF($S:$S,$C11,V:V)</f>
        <v>765</v>
      </c>
      <c r="G11" s="13">
        <f>SUMIF($S:$S,$C11,W:W)</f>
        <v>0</v>
      </c>
      <c r="H11" s="13">
        <f>SUMIF($S:$S,$C11,X:X)</f>
        <v>0</v>
      </c>
      <c r="I11" s="13">
        <f>SUMIF($S:$S,$C11,Y:Y)</f>
        <v>0</v>
      </c>
      <c r="J11" s="13">
        <f>SUMIF($S:$S,$C11,Z:Z)</f>
        <v>0</v>
      </c>
      <c r="K11" s="13">
        <f>SUMIF($S:$S,$C11,AA:AA)</f>
        <v>0</v>
      </c>
      <c r="L11" s="13">
        <f>SUMIF($S:$S,$C11,AB:AB)</f>
        <v>0</v>
      </c>
      <c r="M11" s="13">
        <f>SUMIF($S:$S,$C11,AC:AC)</f>
        <v>0</v>
      </c>
      <c r="N11" s="13">
        <f>SUMIF($S:$S,$C11,AD:AD)</f>
        <v>0</v>
      </c>
      <c r="O11" s="13">
        <f>SUMIF($S:$S,$C11,AE:AE)</f>
        <v>0</v>
      </c>
      <c r="P11" s="13">
        <f>SUMIF($S:$S,$C11,AF:AF)</f>
        <v>0</v>
      </c>
      <c r="R11" s="38" t="s">
        <v>105</v>
      </c>
      <c r="S11" s="8" t="s">
        <v>30</v>
      </c>
      <c r="T11" s="3">
        <v>650</v>
      </c>
      <c r="U11" s="3">
        <v>43</v>
      </c>
      <c r="V11" s="3">
        <v>62</v>
      </c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2:32" ht="21" customHeight="1">
      <c r="B12" s="66" t="s">
        <v>21</v>
      </c>
      <c r="C12" s="51"/>
      <c r="D12" s="12">
        <f t="shared" ref="D12:P12" si="1">SUM(D9:D11)</f>
        <v>15277</v>
      </c>
      <c r="E12" s="12">
        <f t="shared" si="1"/>
        <v>1025</v>
      </c>
      <c r="F12" s="12">
        <f t="shared" si="1"/>
        <v>1148</v>
      </c>
      <c r="G12" s="12">
        <f t="shared" si="1"/>
        <v>0</v>
      </c>
      <c r="H12" s="12">
        <f t="shared" si="1"/>
        <v>0</v>
      </c>
      <c r="I12" s="12">
        <f t="shared" si="1"/>
        <v>0</v>
      </c>
      <c r="J12" s="12">
        <f t="shared" si="1"/>
        <v>0</v>
      </c>
      <c r="K12" s="12">
        <f t="shared" si="1"/>
        <v>0</v>
      </c>
      <c r="L12" s="12">
        <f t="shared" si="1"/>
        <v>0</v>
      </c>
      <c r="M12" s="12">
        <f t="shared" si="1"/>
        <v>0</v>
      </c>
      <c r="N12" s="12">
        <f t="shared" si="1"/>
        <v>0</v>
      </c>
      <c r="O12" s="12">
        <f t="shared" si="1"/>
        <v>0</v>
      </c>
      <c r="P12" s="12">
        <f t="shared" si="1"/>
        <v>0</v>
      </c>
      <c r="R12" s="38" t="s">
        <v>105</v>
      </c>
      <c r="S12" s="8" t="s">
        <v>31</v>
      </c>
      <c r="T12" s="3">
        <v>212</v>
      </c>
      <c r="U12" s="3">
        <v>15</v>
      </c>
      <c r="V12" s="3">
        <v>12</v>
      </c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2:32" ht="21" customHeight="1">
      <c r="R13" s="38" t="s">
        <v>105</v>
      </c>
      <c r="S13" s="8" t="s">
        <v>61</v>
      </c>
      <c r="T13" s="3">
        <v>1080</v>
      </c>
      <c r="U13" s="3">
        <v>69</v>
      </c>
      <c r="V13" s="3">
        <v>85</v>
      </c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2:32" ht="21" customHeight="1">
      <c r="B14" t="s">
        <v>62</v>
      </c>
      <c r="P14" s="7" t="s">
        <v>57</v>
      </c>
      <c r="R14" s="38" t="s">
        <v>105</v>
      </c>
      <c r="S14" s="8" t="s">
        <v>33</v>
      </c>
      <c r="T14" s="3">
        <v>410</v>
      </c>
      <c r="U14" s="3">
        <v>26</v>
      </c>
      <c r="V14" s="3">
        <v>39</v>
      </c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2:32" ht="21" customHeight="1">
      <c r="B15" s="9"/>
      <c r="C15" s="4" t="s">
        <v>2</v>
      </c>
      <c r="D15" s="5" t="s">
        <v>3</v>
      </c>
      <c r="E15" s="5" t="s">
        <v>4</v>
      </c>
      <c r="F15" s="5" t="s">
        <v>5</v>
      </c>
      <c r="G15" s="5" t="s">
        <v>6</v>
      </c>
      <c r="H15" s="5" t="s">
        <v>7</v>
      </c>
      <c r="I15" s="5" t="s">
        <v>8</v>
      </c>
      <c r="J15" s="5" t="s">
        <v>9</v>
      </c>
      <c r="K15" s="5" t="s">
        <v>10</v>
      </c>
      <c r="L15" s="5" t="s">
        <v>11</v>
      </c>
      <c r="M15" s="5" t="s">
        <v>12</v>
      </c>
      <c r="N15" s="5" t="s">
        <v>13</v>
      </c>
      <c r="O15" s="5" t="s">
        <v>14</v>
      </c>
      <c r="P15" s="5" t="s">
        <v>15</v>
      </c>
      <c r="R15" s="38" t="s">
        <v>105</v>
      </c>
      <c r="S15" s="44" t="s">
        <v>35</v>
      </c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</row>
    <row r="16" spans="2:32" ht="21" customHeight="1">
      <c r="B16" s="62" t="s">
        <v>29</v>
      </c>
      <c r="C16" s="8" t="s">
        <v>30</v>
      </c>
      <c r="D16" s="13">
        <f>SUMIF($S:$S,$C16,T:T)</f>
        <v>3662</v>
      </c>
      <c r="E16" s="13">
        <f>SUMIF($S:$S,$C16,U:U)</f>
        <v>208</v>
      </c>
      <c r="F16" s="13">
        <f>SUMIF($S:$S,$C16,V:V)</f>
        <v>274</v>
      </c>
      <c r="G16" s="13">
        <f>SUMIF($S:$S,$C16,W:W)</f>
        <v>0</v>
      </c>
      <c r="H16" s="13">
        <f>SUMIF($S:$S,$C16,X:X)</f>
        <v>0</v>
      </c>
      <c r="I16" s="13">
        <f>SUMIF($S:$S,$C16,Y:Y)</f>
        <v>0</v>
      </c>
      <c r="J16" s="13">
        <f>SUMIF($S:$S,$C16,Z:Z)</f>
        <v>0</v>
      </c>
      <c r="K16" s="13">
        <f>SUMIF($S:$S,$C16,AA:AA)</f>
        <v>0</v>
      </c>
      <c r="L16" s="13">
        <f>SUMIF($S:$S,$C16,AB:AB)</f>
        <v>0</v>
      </c>
      <c r="M16" s="13">
        <f>SUMIF($S:$S,$C16,AC:AC)</f>
        <v>0</v>
      </c>
      <c r="N16" s="13">
        <f>SUMIF($S:$S,$C16,AD:AD)</f>
        <v>0</v>
      </c>
      <c r="O16" s="13">
        <f>SUMIF($S:$S,$C16,AE:AE)</f>
        <v>0</v>
      </c>
      <c r="P16" s="13">
        <f>SUMIF($S:$S,$C16,AF:AF)</f>
        <v>0</v>
      </c>
      <c r="R16" s="38" t="s">
        <v>105</v>
      </c>
      <c r="S16" s="44" t="s">
        <v>36</v>
      </c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</row>
    <row r="17" spans="2:32" ht="21" customHeight="1">
      <c r="B17" s="53"/>
      <c r="C17" s="8" t="s">
        <v>31</v>
      </c>
      <c r="D17" s="13">
        <f>SUMIF($S:$S,$C17,T:T)</f>
        <v>2865</v>
      </c>
      <c r="E17" s="13">
        <f>SUMIF($S:$S,$C17,U:U)</f>
        <v>250</v>
      </c>
      <c r="F17" s="13">
        <f>SUMIF($S:$S,$C17,V:V)</f>
        <v>200</v>
      </c>
      <c r="G17" s="13">
        <f>SUMIF($S:$S,$C17,W:W)</f>
        <v>0</v>
      </c>
      <c r="H17" s="13">
        <f>SUMIF($S:$S,$C17,X:X)</f>
        <v>0</v>
      </c>
      <c r="I17" s="13">
        <f>SUMIF($S:$S,$C17,Y:Y)</f>
        <v>0</v>
      </c>
      <c r="J17" s="13">
        <f>SUMIF($S:$S,$C17,Z:Z)</f>
        <v>0</v>
      </c>
      <c r="K17" s="13">
        <f>SUMIF($S:$S,$C17,AA:AA)</f>
        <v>0</v>
      </c>
      <c r="L17" s="13">
        <f>SUMIF($S:$S,$C17,AB:AB)</f>
        <v>0</v>
      </c>
      <c r="M17" s="13">
        <f>SUMIF($S:$S,$C17,AC:AC)</f>
        <v>0</v>
      </c>
      <c r="N17" s="13">
        <f>SUMIF($S:$S,$C17,AD:AD)</f>
        <v>0</v>
      </c>
      <c r="O17" s="13">
        <f>SUMIF($S:$S,$C17,AE:AE)</f>
        <v>0</v>
      </c>
      <c r="P17" s="13">
        <f>SUMIF($S:$S,$C17,AF:AF)</f>
        <v>0</v>
      </c>
      <c r="R17" s="38" t="s">
        <v>105</v>
      </c>
      <c r="S17" s="8" t="s">
        <v>37</v>
      </c>
      <c r="T17" s="3">
        <v>80</v>
      </c>
      <c r="U17" s="3">
        <v>5</v>
      </c>
      <c r="V17" s="3">
        <v>4</v>
      </c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2:32" ht="21" customHeight="1">
      <c r="B18" s="53"/>
      <c r="C18" s="8" t="s">
        <v>61</v>
      </c>
      <c r="D18" s="13">
        <f>SUMIF($S:$S,$C18,T:T)</f>
        <v>2779</v>
      </c>
      <c r="E18" s="13">
        <f>SUMIF($S:$S,$C18,U:U)</f>
        <v>171</v>
      </c>
      <c r="F18" s="13">
        <f>SUMIF($S:$S,$C18,V:V)</f>
        <v>251</v>
      </c>
      <c r="G18" s="13">
        <f>SUMIF($S:$S,$C18,W:W)</f>
        <v>0</v>
      </c>
      <c r="H18" s="13">
        <f>SUMIF($S:$S,$C18,X:X)</f>
        <v>0</v>
      </c>
      <c r="I18" s="13">
        <f>SUMIF($S:$S,$C18,Y:Y)</f>
        <v>0</v>
      </c>
      <c r="J18" s="13">
        <f>SUMIF($S:$S,$C18,Z:Z)</f>
        <v>0</v>
      </c>
      <c r="K18" s="13">
        <f>SUMIF($S:$S,$C18,AA:AA)</f>
        <v>0</v>
      </c>
      <c r="L18" s="13">
        <f>SUMIF($S:$S,$C18,AB:AB)</f>
        <v>0</v>
      </c>
      <c r="M18" s="13">
        <f>SUMIF($S:$S,$C18,AC:AC)</f>
        <v>0</v>
      </c>
      <c r="N18" s="13">
        <f>SUMIF($S:$S,$C18,AD:AD)</f>
        <v>0</v>
      </c>
      <c r="O18" s="13">
        <f>SUMIF($S:$S,$C18,AE:AE)</f>
        <v>0</v>
      </c>
      <c r="P18" s="13">
        <f>SUMIF($S:$S,$C18,AF:AF)</f>
        <v>0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2:32" ht="21" customHeight="1">
      <c r="B19" s="63"/>
      <c r="C19" s="8" t="s">
        <v>33</v>
      </c>
      <c r="D19" s="13">
        <f>SUMIF($S:$S,$C19,T:T)</f>
        <v>5760</v>
      </c>
      <c r="E19" s="13">
        <f>SUMIF($S:$S,$C19,U:U)</f>
        <v>401</v>
      </c>
      <c r="F19" s="13">
        <f>SUMIF($S:$S,$C19,V:V)</f>
        <v>455</v>
      </c>
      <c r="G19" s="13">
        <f>SUMIF($S:$S,$C19,W:W)</f>
        <v>0</v>
      </c>
      <c r="H19" s="13">
        <f>SUMIF($S:$S,$C19,X:X)</f>
        <v>0</v>
      </c>
      <c r="I19" s="13">
        <f>SUMIF($S:$S,$C19,Y:Y)</f>
        <v>0</v>
      </c>
      <c r="J19" s="13">
        <f>SUMIF($S:$S,$C19,Z:Z)</f>
        <v>0</v>
      </c>
      <c r="K19" s="13">
        <f>SUMIF($S:$S,$C19,AA:AA)</f>
        <v>0</v>
      </c>
      <c r="L19" s="13">
        <f>SUMIF($S:$S,$C19,AB:AB)</f>
        <v>0</v>
      </c>
      <c r="M19" s="13">
        <f>SUMIF($S:$S,$C19,AC:AC)</f>
        <v>0</v>
      </c>
      <c r="N19" s="13">
        <f>SUMIF($S:$S,$C19,AD:AD)</f>
        <v>0</v>
      </c>
      <c r="O19" s="13">
        <f>SUMIF($S:$S,$C19,AE:AE)</f>
        <v>0</v>
      </c>
      <c r="P19" s="13">
        <f>SUMIF($S:$S,$C19,AF:AF)</f>
        <v>0</v>
      </c>
      <c r="R19" s="11" t="s">
        <v>59</v>
      </c>
      <c r="S19" s="5" t="s">
        <v>2</v>
      </c>
      <c r="T19" s="5" t="s">
        <v>3</v>
      </c>
      <c r="U19" s="5" t="s">
        <v>4</v>
      </c>
      <c r="V19" s="5" t="s">
        <v>5</v>
      </c>
      <c r="W19" s="5" t="s">
        <v>6</v>
      </c>
      <c r="X19" s="5" t="s">
        <v>7</v>
      </c>
      <c r="Y19" s="5" t="s">
        <v>8</v>
      </c>
      <c r="Z19" s="5" t="s">
        <v>9</v>
      </c>
      <c r="AA19" s="5" t="s">
        <v>10</v>
      </c>
      <c r="AB19" s="5" t="s">
        <v>11</v>
      </c>
      <c r="AC19" s="5" t="s">
        <v>12</v>
      </c>
      <c r="AD19" s="5" t="s">
        <v>13</v>
      </c>
      <c r="AE19" s="5" t="s">
        <v>14</v>
      </c>
      <c r="AF19" s="5" t="s">
        <v>15</v>
      </c>
    </row>
    <row r="20" spans="2:32" ht="21" customHeight="1">
      <c r="B20" s="10"/>
      <c r="C20" s="6" t="s">
        <v>21</v>
      </c>
      <c r="D20" s="12">
        <f t="shared" ref="D20:P20" si="2">SUM(D16:D19)</f>
        <v>15066</v>
      </c>
      <c r="E20" s="12">
        <f t="shared" si="2"/>
        <v>1030</v>
      </c>
      <c r="F20" s="12">
        <f t="shared" si="2"/>
        <v>1180</v>
      </c>
      <c r="G20" s="12">
        <f t="shared" si="2"/>
        <v>0</v>
      </c>
      <c r="H20" s="12">
        <f t="shared" si="2"/>
        <v>0</v>
      </c>
      <c r="I20" s="12">
        <f t="shared" si="2"/>
        <v>0</v>
      </c>
      <c r="J20" s="12">
        <f t="shared" si="2"/>
        <v>0</v>
      </c>
      <c r="K20" s="12">
        <f t="shared" si="2"/>
        <v>0</v>
      </c>
      <c r="L20" s="12">
        <f t="shared" si="2"/>
        <v>0</v>
      </c>
      <c r="M20" s="12">
        <f t="shared" si="2"/>
        <v>0</v>
      </c>
      <c r="N20" s="12">
        <f t="shared" si="2"/>
        <v>0</v>
      </c>
      <c r="O20" s="12">
        <f t="shared" si="2"/>
        <v>0</v>
      </c>
      <c r="P20" s="12">
        <f t="shared" si="2"/>
        <v>0</v>
      </c>
      <c r="R20" s="38" t="s">
        <v>106</v>
      </c>
      <c r="S20" s="8" t="s">
        <v>17</v>
      </c>
      <c r="T20" s="3">
        <v>345</v>
      </c>
      <c r="U20" s="3">
        <v>12</v>
      </c>
      <c r="V20" s="3">
        <v>27</v>
      </c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2:32" ht="21" customHeight="1">
      <c r="B21" s="64" t="s">
        <v>34</v>
      </c>
      <c r="C21" s="8" t="s">
        <v>35</v>
      </c>
      <c r="D21" s="13">
        <f>SUMIF($S:$S,$C21,T:T)</f>
        <v>0</v>
      </c>
      <c r="E21" s="13">
        <f>SUMIF($S:$S,$C21,U:U)</f>
        <v>0</v>
      </c>
      <c r="F21" s="13">
        <f>SUMIF($S:$S,$C21,V:V)</f>
        <v>0</v>
      </c>
      <c r="G21" s="13">
        <f>SUMIF($S:$S,$C21,W:W)</f>
        <v>0</v>
      </c>
      <c r="H21" s="13">
        <f>SUMIF($S:$S,$C21,X:X)</f>
        <v>0</v>
      </c>
      <c r="I21" s="13">
        <f>SUMIF($S:$S,$C21,Y:Y)</f>
        <v>0</v>
      </c>
      <c r="J21" s="13">
        <f>SUMIF($S:$S,$C21,Z:Z)</f>
        <v>0</v>
      </c>
      <c r="K21" s="13">
        <f>SUMIF($S:$S,$C21,AA:AA)</f>
        <v>0</v>
      </c>
      <c r="L21" s="13">
        <f>SUMIF($S:$S,$C21,AB:AB)</f>
        <v>0</v>
      </c>
      <c r="M21" s="13">
        <f>SUMIF($S:$S,$C21,AC:AC)</f>
        <v>0</v>
      </c>
      <c r="N21" s="13">
        <f>SUMIF($S:$S,$C21,AD:AD)</f>
        <v>0</v>
      </c>
      <c r="O21" s="13">
        <f>SUMIF($S:$S,$C21,AE:AE)</f>
        <v>0</v>
      </c>
      <c r="P21" s="13">
        <f>SUMIF($S:$S,$C21,AF:AF)</f>
        <v>0</v>
      </c>
      <c r="R21" s="38" t="s">
        <v>106</v>
      </c>
      <c r="S21" s="8" t="s">
        <v>18</v>
      </c>
      <c r="T21" s="3">
        <v>88</v>
      </c>
      <c r="U21" s="3">
        <v>6</v>
      </c>
      <c r="V21" s="3">
        <v>7</v>
      </c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2:32" ht="21" customHeight="1">
      <c r="B22" s="53"/>
      <c r="C22" s="8" t="s">
        <v>36</v>
      </c>
      <c r="D22" s="13">
        <f>SUMIF($S:$S,$C22,T:T)</f>
        <v>0</v>
      </c>
      <c r="E22" s="13">
        <f>SUMIF($S:$S,$C22,U:U)</f>
        <v>0</v>
      </c>
      <c r="F22" s="13">
        <f>SUMIF($S:$S,$C22,V:V)</f>
        <v>0</v>
      </c>
      <c r="G22" s="13">
        <f>SUMIF($S:$S,$C22,W:W)</f>
        <v>0</v>
      </c>
      <c r="H22" s="13">
        <f>SUMIF($S:$S,$C22,X:X)</f>
        <v>0</v>
      </c>
      <c r="I22" s="13">
        <f>SUMIF($S:$S,$C22,Y:Y)</f>
        <v>0</v>
      </c>
      <c r="J22" s="13">
        <f>SUMIF($S:$S,$C22,Z:Z)</f>
        <v>0</v>
      </c>
      <c r="K22" s="13">
        <f>SUMIF($S:$S,$C22,AA:AA)</f>
        <v>0</v>
      </c>
      <c r="L22" s="13">
        <f>SUMIF($S:$S,$C22,AB:AB)</f>
        <v>0</v>
      </c>
      <c r="M22" s="13">
        <f>SUMIF($S:$S,$C22,AC:AC)</f>
        <v>0</v>
      </c>
      <c r="N22" s="13">
        <f>SUMIF($S:$S,$C22,AD:AD)</f>
        <v>0</v>
      </c>
      <c r="O22" s="13">
        <f>SUMIF($S:$S,$C22,AE:AE)</f>
        <v>0</v>
      </c>
      <c r="P22" s="13">
        <f>SUMIF($S:$S,$C22,AF:AF)</f>
        <v>0</v>
      </c>
      <c r="R22" s="38" t="s">
        <v>106</v>
      </c>
      <c r="S22" s="8" t="s">
        <v>19</v>
      </c>
      <c r="T22" s="3">
        <v>294</v>
      </c>
      <c r="U22" s="3">
        <v>19</v>
      </c>
      <c r="V22" s="3">
        <v>30</v>
      </c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2:32" ht="21" customHeight="1">
      <c r="B23" s="54"/>
      <c r="C23" s="8" t="s">
        <v>37</v>
      </c>
      <c r="D23" s="13">
        <f>SUMIF($S:$S,$C23,T:T)</f>
        <v>788</v>
      </c>
      <c r="E23" s="13">
        <f>SUMIF($S:$S,$C23,U:U)</f>
        <v>47</v>
      </c>
      <c r="F23" s="13">
        <f>SUMIF($S:$S,$C23,V:V)</f>
        <v>56</v>
      </c>
      <c r="G23" s="13">
        <f>SUMIF($S:$S,$C23,W:W)</f>
        <v>0</v>
      </c>
      <c r="H23" s="13">
        <f>SUMIF($S:$S,$C23,X:X)</f>
        <v>0</v>
      </c>
      <c r="I23" s="13">
        <f>SUMIF($S:$S,$C23,Y:Y)</f>
        <v>0</v>
      </c>
      <c r="J23" s="13">
        <f>SUMIF($S:$S,$C23,Z:Z)</f>
        <v>0</v>
      </c>
      <c r="K23" s="13">
        <f>SUMIF($S:$S,$C23,AA:AA)</f>
        <v>0</v>
      </c>
      <c r="L23" s="13">
        <f>SUMIF($S:$S,$C23,AB:AB)</f>
        <v>0</v>
      </c>
      <c r="M23" s="13">
        <f>SUMIF($S:$S,$C23,AC:AC)</f>
        <v>0</v>
      </c>
      <c r="N23" s="13">
        <f>SUMIF($S:$S,$C23,AD:AD)</f>
        <v>0</v>
      </c>
      <c r="O23" s="13">
        <f>SUMIF($S:$S,$C23,AE:AE)</f>
        <v>0</v>
      </c>
      <c r="P23" s="13">
        <f>SUMIF($S:$S,$C23,AF:AF)</f>
        <v>0</v>
      </c>
      <c r="R23" s="38" t="s">
        <v>106</v>
      </c>
      <c r="S23" s="8" t="s">
        <v>20</v>
      </c>
      <c r="T23" s="3">
        <v>240</v>
      </c>
      <c r="U23" s="3">
        <v>16</v>
      </c>
      <c r="V23" s="3">
        <v>14</v>
      </c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2:32" ht="21" customHeight="1">
      <c r="B24" s="10"/>
      <c r="C24" s="6" t="s">
        <v>21</v>
      </c>
      <c r="D24" s="12">
        <f t="shared" ref="D24:P24" si="3">SUM(D21:D23)</f>
        <v>788</v>
      </c>
      <c r="E24" s="12">
        <f t="shared" si="3"/>
        <v>47</v>
      </c>
      <c r="F24" s="12">
        <f t="shared" si="3"/>
        <v>56</v>
      </c>
      <c r="G24" s="12">
        <f t="shared" si="3"/>
        <v>0</v>
      </c>
      <c r="H24" s="12">
        <f t="shared" si="3"/>
        <v>0</v>
      </c>
      <c r="I24" s="12">
        <f t="shared" si="3"/>
        <v>0</v>
      </c>
      <c r="J24" s="12">
        <f t="shared" si="3"/>
        <v>0</v>
      </c>
      <c r="K24" s="12">
        <f t="shared" si="3"/>
        <v>0</v>
      </c>
      <c r="L24" s="12">
        <f t="shared" si="3"/>
        <v>0</v>
      </c>
      <c r="M24" s="12">
        <f t="shared" si="3"/>
        <v>0</v>
      </c>
      <c r="N24" s="12">
        <f t="shared" si="3"/>
        <v>0</v>
      </c>
      <c r="O24" s="12">
        <f t="shared" si="3"/>
        <v>0</v>
      </c>
      <c r="P24" s="12">
        <f t="shared" si="3"/>
        <v>0</v>
      </c>
      <c r="R24" s="38" t="s">
        <v>106</v>
      </c>
      <c r="S24" s="8" t="s">
        <v>23</v>
      </c>
      <c r="T24" s="3">
        <v>85</v>
      </c>
      <c r="U24" s="3">
        <v>10</v>
      </c>
      <c r="V24" s="3">
        <v>12</v>
      </c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2:32" ht="21" customHeight="1">
      <c r="R25" s="38" t="s">
        <v>106</v>
      </c>
      <c r="S25" s="8" t="s">
        <v>24</v>
      </c>
      <c r="T25" s="3">
        <v>601</v>
      </c>
      <c r="U25" s="3">
        <v>39</v>
      </c>
      <c r="V25" s="3">
        <v>39</v>
      </c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2:32" ht="21" customHeight="1">
      <c r="R26" s="38" t="s">
        <v>106</v>
      </c>
      <c r="S26" s="8" t="s">
        <v>25</v>
      </c>
      <c r="T26" s="3">
        <v>1223</v>
      </c>
      <c r="U26" s="3">
        <v>75</v>
      </c>
      <c r="V26" s="3">
        <v>92</v>
      </c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2:32" ht="21" customHeight="1">
      <c r="R27" s="38" t="s">
        <v>106</v>
      </c>
      <c r="S27" s="8" t="s">
        <v>30</v>
      </c>
      <c r="T27" s="3">
        <v>478</v>
      </c>
      <c r="U27" s="3">
        <v>0</v>
      </c>
      <c r="V27" s="3">
        <v>24</v>
      </c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2:32" ht="21" customHeight="1">
      <c r="R28" s="38" t="s">
        <v>106</v>
      </c>
      <c r="S28" s="8" t="s">
        <v>31</v>
      </c>
      <c r="T28" s="3">
        <v>425</v>
      </c>
      <c r="U28" s="3">
        <v>22</v>
      </c>
      <c r="V28" s="3">
        <v>20</v>
      </c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2:32" ht="21" customHeight="1">
      <c r="R29" s="38" t="s">
        <v>106</v>
      </c>
      <c r="S29" s="8" t="s">
        <v>61</v>
      </c>
      <c r="T29" s="3">
        <v>540</v>
      </c>
      <c r="U29" s="3">
        <v>37</v>
      </c>
      <c r="V29" s="3">
        <v>43</v>
      </c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2:32" ht="21" customHeight="1">
      <c r="R30" s="38" t="s">
        <v>106</v>
      </c>
      <c r="S30" s="8" t="s">
        <v>33</v>
      </c>
      <c r="T30" s="3">
        <v>430</v>
      </c>
      <c r="U30" s="3">
        <v>30</v>
      </c>
      <c r="V30" s="3">
        <v>29</v>
      </c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2:32" ht="21" customHeight="1">
      <c r="R31" s="38" t="s">
        <v>106</v>
      </c>
      <c r="S31" s="44" t="s">
        <v>35</v>
      </c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</row>
    <row r="32" spans="2:32" ht="21" customHeight="1">
      <c r="R32" s="38" t="s">
        <v>106</v>
      </c>
      <c r="S32" s="44" t="s">
        <v>36</v>
      </c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</row>
    <row r="33" spans="18:32" ht="21" customHeight="1">
      <c r="R33" s="38" t="s">
        <v>106</v>
      </c>
      <c r="S33" s="8" t="s">
        <v>37</v>
      </c>
      <c r="T33" s="3">
        <v>42</v>
      </c>
      <c r="U33" s="3">
        <v>1</v>
      </c>
      <c r="V33" s="3">
        <v>0</v>
      </c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8:32" ht="21" customHeight="1"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8:32" ht="21" customHeight="1">
      <c r="R35" s="11" t="s">
        <v>59</v>
      </c>
      <c r="S35" s="5" t="s">
        <v>2</v>
      </c>
      <c r="T35" s="5" t="s">
        <v>3</v>
      </c>
      <c r="U35" s="5" t="s">
        <v>4</v>
      </c>
      <c r="V35" s="5" t="s">
        <v>5</v>
      </c>
      <c r="W35" s="5" t="s">
        <v>6</v>
      </c>
      <c r="X35" s="5" t="s">
        <v>7</v>
      </c>
      <c r="Y35" s="5" t="s">
        <v>8</v>
      </c>
      <c r="Z35" s="5" t="s">
        <v>9</v>
      </c>
      <c r="AA35" s="5" t="s">
        <v>10</v>
      </c>
      <c r="AB35" s="5" t="s">
        <v>11</v>
      </c>
      <c r="AC35" s="5" t="s">
        <v>12</v>
      </c>
      <c r="AD35" s="5" t="s">
        <v>13</v>
      </c>
      <c r="AE35" s="5" t="s">
        <v>14</v>
      </c>
      <c r="AF35" s="5" t="s">
        <v>15</v>
      </c>
    </row>
    <row r="36" spans="18:32" ht="21" customHeight="1">
      <c r="R36" s="38" t="s">
        <v>107</v>
      </c>
      <c r="S36" s="8" t="s">
        <v>17</v>
      </c>
      <c r="T36" s="3">
        <v>1498</v>
      </c>
      <c r="U36" s="3">
        <v>124</v>
      </c>
      <c r="V36" s="3">
        <v>114</v>
      </c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8:32" ht="21" customHeight="1">
      <c r="R37" s="38" t="s">
        <v>107</v>
      </c>
      <c r="S37" s="8" t="s">
        <v>18</v>
      </c>
      <c r="T37" s="3">
        <v>345</v>
      </c>
      <c r="U37" s="3">
        <v>20</v>
      </c>
      <c r="V37" s="3">
        <v>19</v>
      </c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8:32" ht="21" customHeight="1">
      <c r="R38" s="38" t="s">
        <v>107</v>
      </c>
      <c r="S38" s="8" t="s">
        <v>19</v>
      </c>
      <c r="T38" s="3">
        <v>1312</v>
      </c>
      <c r="U38" s="3">
        <v>80</v>
      </c>
      <c r="V38" s="3">
        <v>188</v>
      </c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8:32" ht="21" customHeight="1">
      <c r="R39" s="38" t="s">
        <v>107</v>
      </c>
      <c r="S39" s="8" t="s">
        <v>20</v>
      </c>
      <c r="T39" s="3">
        <v>2656</v>
      </c>
      <c r="U39" s="3">
        <v>162</v>
      </c>
      <c r="V39" s="3">
        <v>183</v>
      </c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8:32" ht="21" customHeight="1">
      <c r="R40" s="38" t="s">
        <v>107</v>
      </c>
      <c r="S40" s="8" t="s">
        <v>23</v>
      </c>
      <c r="T40" s="3">
        <v>0</v>
      </c>
      <c r="U40" s="3">
        <v>0</v>
      </c>
      <c r="V40" s="3">
        <v>0</v>
      </c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8:32" ht="21" customHeight="1">
      <c r="R41" s="38" t="s">
        <v>107</v>
      </c>
      <c r="S41" s="8" t="s">
        <v>24</v>
      </c>
      <c r="T41" s="3">
        <v>71</v>
      </c>
      <c r="U41" s="3">
        <v>5</v>
      </c>
      <c r="V41" s="3">
        <v>2</v>
      </c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8:32" ht="21" customHeight="1">
      <c r="R42" s="38" t="s">
        <v>107</v>
      </c>
      <c r="S42" s="8" t="s">
        <v>25</v>
      </c>
      <c r="T42" s="3">
        <v>211</v>
      </c>
      <c r="U42" s="3">
        <v>15</v>
      </c>
      <c r="V42" s="3">
        <v>8</v>
      </c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8:32" ht="21" customHeight="1">
      <c r="R43" s="38" t="s">
        <v>107</v>
      </c>
      <c r="S43" s="8" t="s">
        <v>30</v>
      </c>
      <c r="T43" s="3">
        <v>298</v>
      </c>
      <c r="U43" s="3">
        <v>12</v>
      </c>
      <c r="V43" s="3">
        <v>23</v>
      </c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8:32" ht="21" customHeight="1">
      <c r="R44" s="38" t="s">
        <v>107</v>
      </c>
      <c r="S44" s="8" t="s">
        <v>31</v>
      </c>
      <c r="T44" s="3">
        <v>842</v>
      </c>
      <c r="U44" s="3">
        <v>153</v>
      </c>
      <c r="V44" s="3">
        <v>96</v>
      </c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8:32" ht="21" customHeight="1">
      <c r="R45" s="38" t="s">
        <v>107</v>
      </c>
      <c r="S45" s="8" t="s">
        <v>61</v>
      </c>
      <c r="T45" s="3">
        <v>1003</v>
      </c>
      <c r="U45" s="3">
        <v>56</v>
      </c>
      <c r="V45" s="3">
        <v>119</v>
      </c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8:32" ht="21" customHeight="1">
      <c r="R46" s="38" t="s">
        <v>107</v>
      </c>
      <c r="S46" s="8" t="s">
        <v>33</v>
      </c>
      <c r="T46" s="3">
        <v>1240</v>
      </c>
      <c r="U46" s="3">
        <v>85</v>
      </c>
      <c r="V46" s="3">
        <v>100</v>
      </c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8:32" ht="21" customHeight="1">
      <c r="R47" s="38" t="s">
        <v>107</v>
      </c>
      <c r="S47" s="44" t="s">
        <v>35</v>
      </c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</row>
    <row r="48" spans="18:32" ht="21" customHeight="1">
      <c r="R48" s="38" t="s">
        <v>107</v>
      </c>
      <c r="S48" s="44" t="s">
        <v>36</v>
      </c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</row>
    <row r="49" spans="18:32" ht="21" customHeight="1">
      <c r="R49" s="38" t="s">
        <v>107</v>
      </c>
      <c r="S49" s="8" t="s">
        <v>37</v>
      </c>
      <c r="T49" s="3">
        <v>270</v>
      </c>
      <c r="U49" s="3">
        <v>13</v>
      </c>
      <c r="V49" s="3">
        <v>11</v>
      </c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8:32" ht="21" customHeight="1"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8:32" ht="21" customHeight="1">
      <c r="R51" s="11" t="s">
        <v>59</v>
      </c>
      <c r="S51" s="5" t="s">
        <v>2</v>
      </c>
      <c r="T51" s="5" t="s">
        <v>3</v>
      </c>
      <c r="U51" s="5" t="s">
        <v>4</v>
      </c>
      <c r="V51" s="5" t="s">
        <v>5</v>
      </c>
      <c r="W51" s="5" t="s">
        <v>6</v>
      </c>
      <c r="X51" s="5" t="s">
        <v>7</v>
      </c>
      <c r="Y51" s="5" t="s">
        <v>8</v>
      </c>
      <c r="Z51" s="5" t="s">
        <v>9</v>
      </c>
      <c r="AA51" s="5" t="s">
        <v>10</v>
      </c>
      <c r="AB51" s="5" t="s">
        <v>11</v>
      </c>
      <c r="AC51" s="5" t="s">
        <v>12</v>
      </c>
      <c r="AD51" s="5" t="s">
        <v>13</v>
      </c>
      <c r="AE51" s="5" t="s">
        <v>14</v>
      </c>
      <c r="AF51" s="5" t="s">
        <v>15</v>
      </c>
    </row>
    <row r="52" spans="18:32" ht="21" customHeight="1">
      <c r="R52" s="38" t="s">
        <v>108</v>
      </c>
      <c r="S52" s="8" t="s">
        <v>17</v>
      </c>
      <c r="T52" s="3">
        <v>2587</v>
      </c>
      <c r="U52" s="3">
        <v>246</v>
      </c>
      <c r="V52" s="3">
        <v>249</v>
      </c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8:32" ht="21" customHeight="1">
      <c r="R53" s="38" t="s">
        <v>108</v>
      </c>
      <c r="S53" s="8" t="s">
        <v>18</v>
      </c>
      <c r="T53" s="3">
        <v>322</v>
      </c>
      <c r="U53" s="3">
        <v>21</v>
      </c>
      <c r="V53" s="3">
        <v>20</v>
      </c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8:32" ht="21" customHeight="1">
      <c r="R54" s="38" t="s">
        <v>108</v>
      </c>
      <c r="S54" s="8" t="s">
        <v>19</v>
      </c>
      <c r="T54" s="3">
        <v>820</v>
      </c>
      <c r="U54" s="3">
        <v>66</v>
      </c>
      <c r="V54" s="3">
        <v>59</v>
      </c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8:32" ht="21" customHeight="1">
      <c r="R55" s="38" t="s">
        <v>108</v>
      </c>
      <c r="S55" s="8" t="s">
        <v>20</v>
      </c>
      <c r="T55" s="3">
        <v>1634</v>
      </c>
      <c r="U55" s="3">
        <v>103</v>
      </c>
      <c r="V55" s="3">
        <v>113</v>
      </c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8:32" ht="21" customHeight="1">
      <c r="R56" s="38" t="s">
        <v>108</v>
      </c>
      <c r="S56" s="8" t="s">
        <v>23</v>
      </c>
      <c r="T56" s="3">
        <v>40</v>
      </c>
      <c r="U56" s="3">
        <v>3</v>
      </c>
      <c r="V56" s="3">
        <v>5</v>
      </c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8:32" ht="21" customHeight="1">
      <c r="R57" s="38" t="s">
        <v>108</v>
      </c>
      <c r="S57" s="8" t="s">
        <v>24</v>
      </c>
      <c r="T57" s="3">
        <v>0</v>
      </c>
      <c r="U57" s="3">
        <v>0</v>
      </c>
      <c r="V57" s="3">
        <v>0</v>
      </c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8:32" ht="21" customHeight="1">
      <c r="R58" s="38" t="s">
        <v>108</v>
      </c>
      <c r="S58" s="8" t="s">
        <v>25</v>
      </c>
      <c r="T58" s="3">
        <v>260</v>
      </c>
      <c r="U58" s="3">
        <v>17</v>
      </c>
      <c r="V58" s="3">
        <v>17</v>
      </c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8:32" ht="21" customHeight="1">
      <c r="R59" s="38" t="s">
        <v>108</v>
      </c>
      <c r="S59" s="8" t="s">
        <v>30</v>
      </c>
      <c r="T59" s="3">
        <v>601</v>
      </c>
      <c r="U59" s="3">
        <v>69</v>
      </c>
      <c r="V59" s="3">
        <v>65</v>
      </c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8:32" ht="21" customHeight="1">
      <c r="R60" s="38" t="s">
        <v>108</v>
      </c>
      <c r="S60" s="8" t="s">
        <v>31</v>
      </c>
      <c r="T60" s="3">
        <v>410</v>
      </c>
      <c r="U60" s="3">
        <v>11</v>
      </c>
      <c r="V60" s="3">
        <v>27</v>
      </c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8:32" ht="21" customHeight="1">
      <c r="R61" s="38" t="s">
        <v>108</v>
      </c>
      <c r="S61" s="8" t="s">
        <v>61</v>
      </c>
      <c r="T61" s="3">
        <v>0</v>
      </c>
      <c r="U61" s="3">
        <v>0</v>
      </c>
      <c r="V61" s="3">
        <v>0</v>
      </c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8:32" ht="21" customHeight="1">
      <c r="R62" s="38" t="s">
        <v>108</v>
      </c>
      <c r="S62" s="8" t="s">
        <v>33</v>
      </c>
      <c r="T62" s="3">
        <v>793</v>
      </c>
      <c r="U62" s="3">
        <v>49</v>
      </c>
      <c r="V62" s="3">
        <v>62</v>
      </c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8:32" ht="21" customHeight="1">
      <c r="R63" s="38" t="s">
        <v>108</v>
      </c>
      <c r="S63" s="44" t="s">
        <v>35</v>
      </c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</row>
    <row r="64" spans="18:32" ht="21" customHeight="1">
      <c r="R64" s="38" t="s">
        <v>108</v>
      </c>
      <c r="S64" s="44" t="s">
        <v>36</v>
      </c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</row>
    <row r="65" spans="18:32" ht="21" customHeight="1">
      <c r="R65" s="38" t="s">
        <v>108</v>
      </c>
      <c r="S65" s="8" t="s">
        <v>37</v>
      </c>
      <c r="T65" s="3">
        <v>143</v>
      </c>
      <c r="U65" s="3">
        <v>10</v>
      </c>
      <c r="V65" s="3">
        <v>16</v>
      </c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8:32" ht="21" customHeight="1"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8:32" ht="21" customHeight="1">
      <c r="R67" s="11" t="s">
        <v>59</v>
      </c>
      <c r="S67" s="5" t="s">
        <v>2</v>
      </c>
      <c r="T67" s="5" t="s">
        <v>3</v>
      </c>
      <c r="U67" s="5" t="s">
        <v>4</v>
      </c>
      <c r="V67" s="5" t="s">
        <v>5</v>
      </c>
      <c r="W67" s="5" t="s">
        <v>6</v>
      </c>
      <c r="X67" s="5" t="s">
        <v>7</v>
      </c>
      <c r="Y67" s="5" t="s">
        <v>8</v>
      </c>
      <c r="Z67" s="5" t="s">
        <v>9</v>
      </c>
      <c r="AA67" s="5" t="s">
        <v>10</v>
      </c>
      <c r="AB67" s="5" t="s">
        <v>11</v>
      </c>
      <c r="AC67" s="5" t="s">
        <v>12</v>
      </c>
      <c r="AD67" s="5" t="s">
        <v>13</v>
      </c>
      <c r="AE67" s="5" t="s">
        <v>14</v>
      </c>
      <c r="AF67" s="5" t="s">
        <v>15</v>
      </c>
    </row>
    <row r="68" spans="18:32" ht="21" customHeight="1">
      <c r="R68" s="38" t="s">
        <v>109</v>
      </c>
      <c r="S68" s="8" t="s">
        <v>17</v>
      </c>
      <c r="T68" s="3">
        <v>1660</v>
      </c>
      <c r="U68" s="3">
        <v>113</v>
      </c>
      <c r="V68" s="3">
        <v>133</v>
      </c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8:32" ht="21" customHeight="1">
      <c r="R69" s="38" t="s">
        <v>109</v>
      </c>
      <c r="S69" s="8" t="s">
        <v>18</v>
      </c>
      <c r="T69" s="3">
        <v>100</v>
      </c>
      <c r="U69" s="3">
        <v>7</v>
      </c>
      <c r="V69" s="3">
        <v>10</v>
      </c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8:32" ht="21" customHeight="1">
      <c r="R70" s="38" t="s">
        <v>109</v>
      </c>
      <c r="S70" s="8" t="s">
        <v>19</v>
      </c>
      <c r="T70" s="3">
        <v>42</v>
      </c>
      <c r="U70" s="3">
        <v>3</v>
      </c>
      <c r="V70" s="3">
        <v>4</v>
      </c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8:32" ht="21" customHeight="1">
      <c r="R71" s="38" t="s">
        <v>109</v>
      </c>
      <c r="S71" s="8" t="s">
        <v>20</v>
      </c>
      <c r="T71" s="3">
        <v>98</v>
      </c>
      <c r="U71" s="3">
        <v>5</v>
      </c>
      <c r="V71" s="3">
        <v>6</v>
      </c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8:32" ht="21" customHeight="1">
      <c r="R72" s="38" t="s">
        <v>109</v>
      </c>
      <c r="S72" s="8" t="s">
        <v>23</v>
      </c>
      <c r="T72" s="3">
        <v>200</v>
      </c>
      <c r="U72" s="3">
        <v>30</v>
      </c>
      <c r="V72" s="3">
        <v>25</v>
      </c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8:32" ht="21" customHeight="1">
      <c r="R73" s="38" t="s">
        <v>109</v>
      </c>
      <c r="S73" s="8" t="s">
        <v>24</v>
      </c>
      <c r="T73" s="3">
        <v>3420</v>
      </c>
      <c r="U73" s="3">
        <v>206</v>
      </c>
      <c r="V73" s="3">
        <v>230</v>
      </c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8:32" ht="21" customHeight="1">
      <c r="R74" s="38" t="s">
        <v>109</v>
      </c>
      <c r="S74" s="8" t="s">
        <v>25</v>
      </c>
      <c r="T74" s="3">
        <v>6125</v>
      </c>
      <c r="U74" s="3">
        <v>439</v>
      </c>
      <c r="V74" s="3">
        <v>500</v>
      </c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8:32" ht="21" customHeight="1">
      <c r="R75" s="38" t="s">
        <v>109</v>
      </c>
      <c r="S75" s="8" t="s">
        <v>30</v>
      </c>
      <c r="T75" s="3">
        <v>889</v>
      </c>
      <c r="U75" s="3">
        <v>41</v>
      </c>
      <c r="V75" s="3">
        <v>46</v>
      </c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8:32" ht="21" customHeight="1">
      <c r="R76" s="38" t="s">
        <v>109</v>
      </c>
      <c r="S76" s="8" t="s">
        <v>31</v>
      </c>
      <c r="T76" s="3">
        <v>99</v>
      </c>
      <c r="U76" s="3">
        <v>7</v>
      </c>
      <c r="V76" s="3">
        <v>7</v>
      </c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8:32" ht="21" customHeight="1">
      <c r="R77" s="38" t="s">
        <v>109</v>
      </c>
      <c r="S77" s="8" t="s">
        <v>61</v>
      </c>
      <c r="T77" s="3">
        <v>0</v>
      </c>
      <c r="U77" s="3">
        <v>0</v>
      </c>
      <c r="V77" s="3">
        <v>0</v>
      </c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8:32" ht="21" customHeight="1">
      <c r="R78" s="38" t="s">
        <v>109</v>
      </c>
      <c r="S78" s="8" t="s">
        <v>33</v>
      </c>
      <c r="T78" s="3">
        <v>780</v>
      </c>
      <c r="U78" s="3">
        <v>56</v>
      </c>
      <c r="V78" s="3">
        <v>59</v>
      </c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8:32" ht="21" customHeight="1">
      <c r="R79" s="38" t="s">
        <v>109</v>
      </c>
      <c r="S79" s="44" t="s">
        <v>35</v>
      </c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</row>
    <row r="80" spans="18:32" ht="21" customHeight="1">
      <c r="R80" s="38" t="s">
        <v>109</v>
      </c>
      <c r="S80" s="44" t="s">
        <v>36</v>
      </c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</row>
    <row r="81" spans="18:32" ht="21" customHeight="1">
      <c r="R81" s="38" t="s">
        <v>109</v>
      </c>
      <c r="S81" s="8" t="s">
        <v>37</v>
      </c>
      <c r="T81" s="3">
        <v>26</v>
      </c>
      <c r="U81" s="3">
        <v>2</v>
      </c>
      <c r="V81" s="3">
        <v>2</v>
      </c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8:32" ht="21" customHeight="1"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8:32" ht="21" customHeight="1">
      <c r="R83" s="11" t="s">
        <v>59</v>
      </c>
      <c r="S83" s="5" t="s">
        <v>2</v>
      </c>
      <c r="T83" s="5" t="s">
        <v>3</v>
      </c>
      <c r="U83" s="5" t="s">
        <v>4</v>
      </c>
      <c r="V83" s="5" t="s">
        <v>5</v>
      </c>
      <c r="W83" s="5" t="s">
        <v>6</v>
      </c>
      <c r="X83" s="5" t="s">
        <v>7</v>
      </c>
      <c r="Y83" s="5" t="s">
        <v>8</v>
      </c>
      <c r="Z83" s="5" t="s">
        <v>9</v>
      </c>
      <c r="AA83" s="5" t="s">
        <v>10</v>
      </c>
      <c r="AB83" s="5" t="s">
        <v>11</v>
      </c>
      <c r="AC83" s="5" t="s">
        <v>12</v>
      </c>
      <c r="AD83" s="5" t="s">
        <v>13</v>
      </c>
      <c r="AE83" s="5" t="s">
        <v>14</v>
      </c>
      <c r="AF83" s="5" t="s">
        <v>15</v>
      </c>
    </row>
    <row r="84" spans="18:32" ht="21" customHeight="1">
      <c r="R84" s="38" t="s">
        <v>110</v>
      </c>
      <c r="S84" s="8" t="s">
        <v>17</v>
      </c>
      <c r="T84" s="3">
        <v>820</v>
      </c>
      <c r="U84" s="3">
        <v>60</v>
      </c>
      <c r="V84" s="3">
        <v>69</v>
      </c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8:32" ht="21" customHeight="1">
      <c r="R85" s="38" t="s">
        <v>110</v>
      </c>
      <c r="S85" s="8" t="s">
        <v>18</v>
      </c>
      <c r="T85" s="3">
        <v>99</v>
      </c>
      <c r="U85" s="3">
        <v>7</v>
      </c>
      <c r="V85" s="3">
        <v>6</v>
      </c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8:32" ht="21" customHeight="1">
      <c r="R86" s="38" t="s">
        <v>110</v>
      </c>
      <c r="S86" s="8" t="s">
        <v>19</v>
      </c>
      <c r="T86" s="3">
        <v>6</v>
      </c>
      <c r="U86" s="3">
        <v>1</v>
      </c>
      <c r="V86" s="3">
        <v>1</v>
      </c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8:32" ht="21" customHeight="1">
      <c r="R87" s="38" t="s">
        <v>110</v>
      </c>
      <c r="S87" s="8" t="s">
        <v>20</v>
      </c>
      <c r="T87" s="3">
        <v>682</v>
      </c>
      <c r="U87" s="3">
        <v>44</v>
      </c>
      <c r="V87" s="3">
        <v>52</v>
      </c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8:32" ht="21" customHeight="1">
      <c r="R88" s="38" t="s">
        <v>110</v>
      </c>
      <c r="S88" s="8" t="s">
        <v>23</v>
      </c>
      <c r="T88" s="3">
        <v>6</v>
      </c>
      <c r="U88" s="3">
        <v>0</v>
      </c>
      <c r="V88" s="3">
        <v>0</v>
      </c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8:32" ht="21" customHeight="1">
      <c r="R89" s="38" t="s">
        <v>110</v>
      </c>
      <c r="S89" s="8" t="s">
        <v>24</v>
      </c>
      <c r="T89" s="3">
        <v>32</v>
      </c>
      <c r="U89" s="3">
        <v>0</v>
      </c>
      <c r="V89" s="3">
        <v>2</v>
      </c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8:32" ht="21" customHeight="1">
      <c r="R90" s="38" t="s">
        <v>110</v>
      </c>
      <c r="S90" s="8" t="s">
        <v>25</v>
      </c>
      <c r="T90" s="3">
        <v>350</v>
      </c>
      <c r="U90" s="3">
        <v>23</v>
      </c>
      <c r="V90" s="3">
        <v>24</v>
      </c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8:32" ht="21" customHeight="1">
      <c r="R91" s="38" t="s">
        <v>110</v>
      </c>
      <c r="S91" s="8" t="s">
        <v>30</v>
      </c>
      <c r="T91" s="3">
        <v>292</v>
      </c>
      <c r="U91" s="3">
        <v>16</v>
      </c>
      <c r="V91" s="3">
        <v>25</v>
      </c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8:32" ht="21" customHeight="1">
      <c r="R92" s="38" t="s">
        <v>110</v>
      </c>
      <c r="S92" s="8" t="s">
        <v>31</v>
      </c>
      <c r="T92" s="3">
        <v>174</v>
      </c>
      <c r="U92" s="3">
        <v>9</v>
      </c>
      <c r="V92" s="3">
        <v>10</v>
      </c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8:32" ht="21" customHeight="1">
      <c r="R93" s="38" t="s">
        <v>110</v>
      </c>
      <c r="S93" s="8" t="s">
        <v>61</v>
      </c>
      <c r="T93" s="3">
        <v>0</v>
      </c>
      <c r="U93" s="3">
        <v>0</v>
      </c>
      <c r="V93" s="3">
        <v>0</v>
      </c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8:32" ht="21" customHeight="1">
      <c r="R94" s="38" t="s">
        <v>110</v>
      </c>
      <c r="S94" s="8" t="s">
        <v>33</v>
      </c>
      <c r="T94" s="3">
        <v>389</v>
      </c>
      <c r="U94" s="3">
        <v>30</v>
      </c>
      <c r="V94" s="3">
        <v>38</v>
      </c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8:32" ht="21" customHeight="1">
      <c r="R95" s="38" t="s">
        <v>110</v>
      </c>
      <c r="S95" s="44" t="s">
        <v>35</v>
      </c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</row>
    <row r="96" spans="18:32" ht="21" customHeight="1">
      <c r="R96" s="38" t="s">
        <v>110</v>
      </c>
      <c r="S96" s="44" t="s">
        <v>36</v>
      </c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</row>
    <row r="97" spans="18:32" ht="21" customHeight="1">
      <c r="R97" s="38" t="s">
        <v>110</v>
      </c>
      <c r="S97" s="8" t="s">
        <v>37</v>
      </c>
      <c r="T97" s="3">
        <v>3</v>
      </c>
      <c r="U97" s="3">
        <v>0</v>
      </c>
      <c r="V97" s="3">
        <v>0</v>
      </c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8:32" ht="21" customHeight="1"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8:32" ht="21" customHeight="1">
      <c r="R99" s="11" t="s">
        <v>59</v>
      </c>
      <c r="S99" s="5" t="s">
        <v>2</v>
      </c>
      <c r="T99" s="5" t="s">
        <v>3</v>
      </c>
      <c r="U99" s="5" t="s">
        <v>4</v>
      </c>
      <c r="V99" s="5" t="s">
        <v>5</v>
      </c>
      <c r="W99" s="5" t="s">
        <v>6</v>
      </c>
      <c r="X99" s="5" t="s">
        <v>7</v>
      </c>
      <c r="Y99" s="5" t="s">
        <v>8</v>
      </c>
      <c r="Z99" s="5" t="s">
        <v>9</v>
      </c>
      <c r="AA99" s="5" t="s">
        <v>10</v>
      </c>
      <c r="AB99" s="5" t="s">
        <v>11</v>
      </c>
      <c r="AC99" s="5" t="s">
        <v>12</v>
      </c>
      <c r="AD99" s="5" t="s">
        <v>13</v>
      </c>
      <c r="AE99" s="5" t="s">
        <v>14</v>
      </c>
      <c r="AF99" s="5" t="s">
        <v>15</v>
      </c>
    </row>
    <row r="100" spans="18:32" ht="21" customHeight="1">
      <c r="R100" s="38" t="s">
        <v>111</v>
      </c>
      <c r="S100" s="8" t="s">
        <v>17</v>
      </c>
      <c r="T100" s="3">
        <v>781</v>
      </c>
      <c r="U100" s="3">
        <v>74</v>
      </c>
      <c r="V100" s="3">
        <v>65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8:32" ht="21" customHeight="1">
      <c r="R101" s="38" t="s">
        <v>111</v>
      </c>
      <c r="S101" s="8" t="s">
        <v>18</v>
      </c>
      <c r="T101" s="3">
        <v>12</v>
      </c>
      <c r="U101" s="3">
        <v>1</v>
      </c>
      <c r="V101" s="3">
        <v>4</v>
      </c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8:32" ht="21" customHeight="1">
      <c r="R102" s="38" t="s">
        <v>111</v>
      </c>
      <c r="S102" s="8" t="s">
        <v>19</v>
      </c>
      <c r="T102" s="3">
        <v>0</v>
      </c>
      <c r="U102" s="3">
        <v>0</v>
      </c>
      <c r="V102" s="3">
        <v>0</v>
      </c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8:32" ht="21" customHeight="1">
      <c r="R103" s="38" t="s">
        <v>111</v>
      </c>
      <c r="S103" s="8" t="s">
        <v>20</v>
      </c>
      <c r="T103" s="3">
        <v>81</v>
      </c>
      <c r="U103" s="3">
        <v>5</v>
      </c>
      <c r="V103" s="3">
        <v>13</v>
      </c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8:32" ht="21" customHeight="1">
      <c r="R104" s="38" t="s">
        <v>111</v>
      </c>
      <c r="S104" s="8" t="s">
        <v>23</v>
      </c>
      <c r="T104" s="3">
        <v>0</v>
      </c>
      <c r="U104" s="3">
        <v>0</v>
      </c>
      <c r="V104" s="3">
        <v>0</v>
      </c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8:32" ht="21" customHeight="1">
      <c r="R105" s="38" t="s">
        <v>111</v>
      </c>
      <c r="S105" s="8" t="s">
        <v>24</v>
      </c>
      <c r="T105" s="3">
        <v>5</v>
      </c>
      <c r="U105" s="3">
        <v>0</v>
      </c>
      <c r="V105" s="3">
        <v>0</v>
      </c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8:32" ht="21" customHeight="1">
      <c r="R106" s="38" t="s">
        <v>111</v>
      </c>
      <c r="S106" s="8" t="s">
        <v>25</v>
      </c>
      <c r="T106" s="3">
        <v>27</v>
      </c>
      <c r="U106" s="3">
        <v>1</v>
      </c>
      <c r="V106" s="3">
        <v>0</v>
      </c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8:32" ht="21" customHeight="1">
      <c r="R107" s="38" t="s">
        <v>111</v>
      </c>
      <c r="S107" s="8" t="s">
        <v>30</v>
      </c>
      <c r="T107" s="3">
        <v>67</v>
      </c>
      <c r="U107" s="3">
        <v>7</v>
      </c>
      <c r="V107" s="3">
        <v>6</v>
      </c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8:32" ht="21" customHeight="1">
      <c r="R108" s="38" t="s">
        <v>111</v>
      </c>
      <c r="S108" s="8" t="s">
        <v>31</v>
      </c>
      <c r="T108" s="3">
        <v>337</v>
      </c>
      <c r="U108" s="3">
        <v>0</v>
      </c>
      <c r="V108" s="3">
        <v>1</v>
      </c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8:32" ht="21" customHeight="1">
      <c r="R109" s="38" t="s">
        <v>111</v>
      </c>
      <c r="S109" s="8" t="s">
        <v>61</v>
      </c>
      <c r="T109" s="3">
        <v>0</v>
      </c>
      <c r="U109" s="3">
        <v>0</v>
      </c>
      <c r="V109" s="3">
        <v>0</v>
      </c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8:32" ht="21" customHeight="1">
      <c r="R110" s="38" t="s">
        <v>111</v>
      </c>
      <c r="S110" s="8" t="s">
        <v>33</v>
      </c>
      <c r="T110" s="3">
        <v>141</v>
      </c>
      <c r="U110" s="3">
        <v>8</v>
      </c>
      <c r="V110" s="3">
        <v>8</v>
      </c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8:32" ht="21" customHeight="1">
      <c r="R111" s="38" t="s">
        <v>111</v>
      </c>
      <c r="S111" s="44" t="s">
        <v>35</v>
      </c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</row>
    <row r="112" spans="18:32" ht="21" customHeight="1">
      <c r="R112" s="38" t="s">
        <v>111</v>
      </c>
      <c r="S112" s="44" t="s">
        <v>36</v>
      </c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</row>
    <row r="113" spans="18:32" ht="21" customHeight="1">
      <c r="R113" s="38" t="s">
        <v>111</v>
      </c>
      <c r="S113" s="8" t="s">
        <v>37</v>
      </c>
      <c r="T113" s="3">
        <v>0</v>
      </c>
      <c r="U113" s="3">
        <v>0</v>
      </c>
      <c r="V113" s="3">
        <v>0</v>
      </c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8:32" ht="21" customHeight="1"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8:32" ht="21" customHeight="1">
      <c r="R115" s="11" t="s">
        <v>59</v>
      </c>
      <c r="S115" s="5" t="s">
        <v>2</v>
      </c>
      <c r="T115" s="5" t="s">
        <v>3</v>
      </c>
      <c r="U115" s="5" t="s">
        <v>4</v>
      </c>
      <c r="V115" s="5" t="s">
        <v>5</v>
      </c>
      <c r="W115" s="5" t="s">
        <v>6</v>
      </c>
      <c r="X115" s="5" t="s">
        <v>7</v>
      </c>
      <c r="Y115" s="5" t="s">
        <v>8</v>
      </c>
      <c r="Z115" s="5" t="s">
        <v>9</v>
      </c>
      <c r="AA115" s="5" t="s">
        <v>10</v>
      </c>
      <c r="AB115" s="5" t="s">
        <v>11</v>
      </c>
      <c r="AC115" s="5" t="s">
        <v>12</v>
      </c>
      <c r="AD115" s="5" t="s">
        <v>13</v>
      </c>
      <c r="AE115" s="5" t="s">
        <v>14</v>
      </c>
      <c r="AF115" s="5" t="s">
        <v>15</v>
      </c>
    </row>
    <row r="116" spans="18:32" ht="21" customHeight="1">
      <c r="R116" s="38" t="s">
        <v>112</v>
      </c>
      <c r="S116" s="8" t="s">
        <v>17</v>
      </c>
      <c r="T116" s="3">
        <v>895</v>
      </c>
      <c r="U116" s="3">
        <v>61</v>
      </c>
      <c r="V116" s="3">
        <v>71</v>
      </c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8:32" ht="21" customHeight="1">
      <c r="R117" s="38" t="s">
        <v>112</v>
      </c>
      <c r="S117" s="8" t="s">
        <v>18</v>
      </c>
      <c r="T117" s="3">
        <v>260</v>
      </c>
      <c r="U117" s="3">
        <v>17</v>
      </c>
      <c r="V117" s="3">
        <v>13</v>
      </c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8:32" ht="21" customHeight="1">
      <c r="R118" s="38" t="s">
        <v>112</v>
      </c>
      <c r="S118" s="8" t="s">
        <v>19</v>
      </c>
      <c r="T118" s="3">
        <v>23</v>
      </c>
      <c r="U118" s="3">
        <v>4</v>
      </c>
      <c r="V118" s="3">
        <v>0</v>
      </c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8:32" ht="21" customHeight="1">
      <c r="R119" s="38" t="s">
        <v>112</v>
      </c>
      <c r="S119" s="8" t="s">
        <v>20</v>
      </c>
      <c r="T119" s="3">
        <v>623</v>
      </c>
      <c r="U119" s="3">
        <v>40</v>
      </c>
      <c r="V119" s="3">
        <v>43</v>
      </c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8:32" ht="21" customHeight="1">
      <c r="R120" s="38" t="s">
        <v>112</v>
      </c>
      <c r="S120" s="8" t="s">
        <v>23</v>
      </c>
      <c r="T120" s="3">
        <v>0</v>
      </c>
      <c r="U120" s="3">
        <v>0</v>
      </c>
      <c r="V120" s="3">
        <v>0</v>
      </c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8:32" ht="21" customHeight="1">
      <c r="R121" s="38" t="s">
        <v>112</v>
      </c>
      <c r="S121" s="8" t="s">
        <v>24</v>
      </c>
      <c r="T121" s="3">
        <v>0</v>
      </c>
      <c r="U121" s="3">
        <v>0</v>
      </c>
      <c r="V121" s="3">
        <v>0</v>
      </c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8:32" ht="21" customHeight="1">
      <c r="R122" s="38" t="s">
        <v>112</v>
      </c>
      <c r="S122" s="8" t="s">
        <v>25</v>
      </c>
      <c r="T122" s="3">
        <v>0</v>
      </c>
      <c r="U122" s="3">
        <v>0</v>
      </c>
      <c r="V122" s="3">
        <v>0</v>
      </c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8:32" ht="21" customHeight="1">
      <c r="R123" s="38" t="s">
        <v>112</v>
      </c>
      <c r="S123" s="8" t="s">
        <v>30</v>
      </c>
      <c r="T123" s="3">
        <v>257</v>
      </c>
      <c r="U123" s="3">
        <v>15</v>
      </c>
      <c r="V123" s="3">
        <v>18</v>
      </c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8:32" ht="21" customHeight="1">
      <c r="R124" s="38" t="s">
        <v>112</v>
      </c>
      <c r="S124" s="8" t="s">
        <v>31</v>
      </c>
      <c r="T124" s="3">
        <v>66</v>
      </c>
      <c r="U124" s="3">
        <v>2</v>
      </c>
      <c r="V124" s="3">
        <v>1</v>
      </c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8:32" ht="21" customHeight="1">
      <c r="R125" s="38" t="s">
        <v>112</v>
      </c>
      <c r="S125" s="8" t="s">
        <v>61</v>
      </c>
      <c r="T125" s="3">
        <v>0</v>
      </c>
      <c r="U125" s="3">
        <v>0</v>
      </c>
      <c r="V125" s="3">
        <v>0</v>
      </c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8:32" ht="21" customHeight="1">
      <c r="R126" s="38" t="s">
        <v>112</v>
      </c>
      <c r="S126" s="8" t="s">
        <v>33</v>
      </c>
      <c r="T126" s="3">
        <v>423</v>
      </c>
      <c r="U126" s="3">
        <v>27</v>
      </c>
      <c r="V126" s="3">
        <v>38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8:32" ht="21" customHeight="1">
      <c r="R127" s="38" t="s">
        <v>112</v>
      </c>
      <c r="S127" s="44" t="s">
        <v>35</v>
      </c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</row>
    <row r="128" spans="18:32" ht="21" customHeight="1">
      <c r="R128" s="38" t="s">
        <v>112</v>
      </c>
      <c r="S128" s="44" t="s">
        <v>36</v>
      </c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</row>
    <row r="129" spans="18:32" ht="21" customHeight="1">
      <c r="R129" s="38" t="s">
        <v>112</v>
      </c>
      <c r="S129" s="8" t="s">
        <v>37</v>
      </c>
      <c r="T129" s="3">
        <v>62</v>
      </c>
      <c r="U129" s="3">
        <v>6</v>
      </c>
      <c r="V129" s="3">
        <v>20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8:32" ht="21" customHeight="1"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8:32" ht="21" customHeight="1">
      <c r="R131" s="11" t="s">
        <v>59</v>
      </c>
      <c r="S131" s="5" t="s">
        <v>2</v>
      </c>
      <c r="T131" s="5" t="s">
        <v>3</v>
      </c>
      <c r="U131" s="5" t="s">
        <v>4</v>
      </c>
      <c r="V131" s="5" t="s">
        <v>5</v>
      </c>
      <c r="W131" s="5" t="s">
        <v>6</v>
      </c>
      <c r="X131" s="5" t="s">
        <v>7</v>
      </c>
      <c r="Y131" s="5" t="s">
        <v>8</v>
      </c>
      <c r="Z131" s="5" t="s">
        <v>9</v>
      </c>
      <c r="AA131" s="5" t="s">
        <v>10</v>
      </c>
      <c r="AB131" s="5" t="s">
        <v>11</v>
      </c>
      <c r="AC131" s="5" t="s">
        <v>12</v>
      </c>
      <c r="AD131" s="5" t="s">
        <v>13</v>
      </c>
      <c r="AE131" s="5" t="s">
        <v>14</v>
      </c>
      <c r="AF131" s="5" t="s">
        <v>15</v>
      </c>
    </row>
    <row r="132" spans="18:32" ht="21" customHeight="1">
      <c r="R132" s="38" t="s">
        <v>113</v>
      </c>
      <c r="S132" s="8" t="s">
        <v>17</v>
      </c>
      <c r="T132" s="3">
        <v>270</v>
      </c>
      <c r="U132" s="3">
        <v>36</v>
      </c>
      <c r="V132" s="3">
        <v>41</v>
      </c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8:32" ht="21" customHeight="1">
      <c r="R133" s="38" t="s">
        <v>113</v>
      </c>
      <c r="S133" s="8" t="s">
        <v>18</v>
      </c>
      <c r="T133" s="3">
        <v>103</v>
      </c>
      <c r="U133" s="3">
        <v>6</v>
      </c>
      <c r="V133" s="3">
        <v>3</v>
      </c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8:32" ht="21" customHeight="1">
      <c r="R134" s="38" t="s">
        <v>113</v>
      </c>
      <c r="S134" s="8" t="s">
        <v>19</v>
      </c>
      <c r="T134" s="3">
        <v>685</v>
      </c>
      <c r="U134" s="3">
        <v>42</v>
      </c>
      <c r="V134" s="3">
        <v>40</v>
      </c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8:32" ht="21" customHeight="1">
      <c r="R135" s="38" t="s">
        <v>113</v>
      </c>
      <c r="S135" s="8" t="s">
        <v>20</v>
      </c>
      <c r="T135" s="3">
        <v>1583</v>
      </c>
      <c r="U135" s="3">
        <v>110</v>
      </c>
      <c r="V135" s="3">
        <v>62</v>
      </c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8:32" ht="21" customHeight="1">
      <c r="R136" s="38" t="s">
        <v>113</v>
      </c>
      <c r="S136" s="8" t="s">
        <v>23</v>
      </c>
      <c r="T136" s="3">
        <v>6</v>
      </c>
      <c r="U136" s="3">
        <v>0</v>
      </c>
      <c r="V136" s="3">
        <v>5</v>
      </c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8:32" ht="21" customHeight="1">
      <c r="R137" s="38" t="s">
        <v>113</v>
      </c>
      <c r="S137" s="8" t="s">
        <v>24</v>
      </c>
      <c r="T137" s="3">
        <v>310</v>
      </c>
      <c r="U137" s="3">
        <v>17</v>
      </c>
      <c r="V137" s="3">
        <v>32</v>
      </c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8:32" ht="21" customHeight="1">
      <c r="R138" s="38" t="s">
        <v>113</v>
      </c>
      <c r="S138" s="8" t="s">
        <v>25</v>
      </c>
      <c r="T138" s="3">
        <v>1324</v>
      </c>
      <c r="U138" s="3">
        <v>81</v>
      </c>
      <c r="V138" s="3">
        <v>90</v>
      </c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8:32" ht="21" customHeight="1">
      <c r="R139" s="38" t="s">
        <v>113</v>
      </c>
      <c r="S139" s="8" t="s">
        <v>30</v>
      </c>
      <c r="T139" s="3">
        <v>130</v>
      </c>
      <c r="U139" s="3">
        <v>5</v>
      </c>
      <c r="V139" s="3">
        <v>5</v>
      </c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8:32" ht="21" customHeight="1">
      <c r="R140" s="38" t="s">
        <v>113</v>
      </c>
      <c r="S140" s="8" t="s">
        <v>31</v>
      </c>
      <c r="T140" s="3">
        <v>300</v>
      </c>
      <c r="U140" s="3">
        <v>31</v>
      </c>
      <c r="V140" s="3">
        <v>26</v>
      </c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8:32" ht="21" customHeight="1">
      <c r="R141" s="38" t="s">
        <v>113</v>
      </c>
      <c r="S141" s="8" t="s">
        <v>61</v>
      </c>
      <c r="T141" s="3">
        <v>156</v>
      </c>
      <c r="U141" s="3">
        <v>9</v>
      </c>
      <c r="V141" s="3">
        <v>4</v>
      </c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8:32" ht="21" customHeight="1">
      <c r="R142" s="38" t="s">
        <v>113</v>
      </c>
      <c r="S142" s="8" t="s">
        <v>33</v>
      </c>
      <c r="T142" s="3">
        <v>1154</v>
      </c>
      <c r="U142" s="3">
        <v>90</v>
      </c>
      <c r="V142" s="3">
        <v>82</v>
      </c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8:32" ht="21" customHeight="1">
      <c r="R143" s="38" t="s">
        <v>113</v>
      </c>
      <c r="S143" s="44" t="s">
        <v>35</v>
      </c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</row>
    <row r="144" spans="18:32" ht="21" customHeight="1">
      <c r="R144" s="38" t="s">
        <v>113</v>
      </c>
      <c r="S144" s="44" t="s">
        <v>36</v>
      </c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</row>
    <row r="145" spans="18:32" ht="21" customHeight="1">
      <c r="R145" s="38" t="s">
        <v>113</v>
      </c>
      <c r="S145" s="8" t="s">
        <v>37</v>
      </c>
      <c r="T145" s="3">
        <v>162</v>
      </c>
      <c r="U145" s="3">
        <v>10</v>
      </c>
      <c r="V145" s="3">
        <v>3</v>
      </c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8:32" ht="21" customHeight="1"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</sheetData>
  <mergeCells count="6">
    <mergeCell ref="B9:B11"/>
    <mergeCell ref="B16:B19"/>
    <mergeCell ref="B12:C12"/>
    <mergeCell ref="B8:C8"/>
    <mergeCell ref="B21:B23"/>
    <mergeCell ref="B4:B7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F98"/>
  <sheetViews>
    <sheetView showGridLines="0" topLeftCell="J4" workbookViewId="0">
      <selection activeCell="R4" sqref="R1:R1048576"/>
    </sheetView>
  </sheetViews>
  <sheetFormatPr defaultRowHeight="21" customHeight="1"/>
  <cols>
    <col min="1" max="1" width="2.25" style="43" customWidth="1"/>
    <col min="2" max="2" width="17.25" style="43" customWidth="1"/>
    <col min="3" max="3" width="23.08203125" style="43" bestFit="1" customWidth="1"/>
    <col min="4" max="16" width="9" style="1" customWidth="1"/>
    <col min="18" max="18" width="16.25" style="43" customWidth="1"/>
    <col min="19" max="19" width="23.08203125" style="43" bestFit="1" customWidth="1"/>
    <col min="20" max="32" width="17.83203125" style="43" customWidth="1"/>
  </cols>
  <sheetData>
    <row r="2" spans="2:32" ht="21" customHeight="1">
      <c r="B2" t="s">
        <v>56</v>
      </c>
      <c r="P2" s="7" t="s">
        <v>57</v>
      </c>
      <c r="R2" t="s">
        <v>104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2:32" ht="21" customHeight="1">
      <c r="B3" s="9"/>
      <c r="C3" s="4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R3" s="11" t="s">
        <v>59</v>
      </c>
      <c r="S3" s="5" t="s">
        <v>2</v>
      </c>
      <c r="T3" s="5" t="s">
        <v>3</v>
      </c>
      <c r="U3" s="5" t="s">
        <v>4</v>
      </c>
      <c r="V3" s="5" t="s">
        <v>5</v>
      </c>
      <c r="W3" s="5" t="s">
        <v>6</v>
      </c>
      <c r="X3" s="5" t="s">
        <v>7</v>
      </c>
      <c r="Y3" s="5" t="s">
        <v>8</v>
      </c>
      <c r="Z3" s="5" t="s">
        <v>9</v>
      </c>
      <c r="AA3" s="5" t="s">
        <v>10</v>
      </c>
      <c r="AB3" s="5" t="s">
        <v>11</v>
      </c>
      <c r="AC3" s="5" t="s">
        <v>12</v>
      </c>
      <c r="AD3" s="5" t="s">
        <v>13</v>
      </c>
      <c r="AE3" s="5" t="s">
        <v>14</v>
      </c>
      <c r="AF3" s="5" t="s">
        <v>15</v>
      </c>
    </row>
    <row r="4" spans="2:32" ht="21" customHeight="1">
      <c r="B4" s="52" t="s">
        <v>16</v>
      </c>
      <c r="C4" s="8" t="s">
        <v>17</v>
      </c>
      <c r="D4" s="13">
        <f>SUMIF($S:$S,$C4,T:T)</f>
        <v>2790</v>
      </c>
      <c r="E4" s="13">
        <f>SUMIF($S:$S,$C4,U:U)</f>
        <v>194</v>
      </c>
      <c r="F4" s="13">
        <f>SUMIF($S:$S,$C4,V:V)</f>
        <v>149</v>
      </c>
      <c r="G4" s="13">
        <f>SUMIF($S:$S,$C4,W:W)</f>
        <v>0</v>
      </c>
      <c r="H4" s="13">
        <f>SUMIF($S:$S,$C4,X:X)</f>
        <v>0</v>
      </c>
      <c r="I4" s="13">
        <f>SUMIF($S:$S,$C4,Y:Y)</f>
        <v>0</v>
      </c>
      <c r="J4" s="13">
        <f>SUMIF($S:$S,$C4,Z:Z)</f>
        <v>0</v>
      </c>
      <c r="K4" s="13">
        <f>SUMIF($S:$S,$C4,AA:AA)</f>
        <v>0</v>
      </c>
      <c r="L4" s="13">
        <f>SUMIF($S:$S,$C4,AB:AB)</f>
        <v>0</v>
      </c>
      <c r="M4" s="13">
        <f>SUMIF($S:$S,$C4,AC:AC)</f>
        <v>0</v>
      </c>
      <c r="N4" s="13">
        <f>SUMIF($S:$S,$C4,AD:AD)</f>
        <v>0</v>
      </c>
      <c r="O4" s="13">
        <f>SUMIF($S:$S,$C4,AE:AE)</f>
        <v>0</v>
      </c>
      <c r="P4" s="13">
        <f>SUMIF($S:$S,$C4,AF:AF)</f>
        <v>0</v>
      </c>
      <c r="R4" s="38" t="s">
        <v>82</v>
      </c>
      <c r="S4" s="8" t="s">
        <v>17</v>
      </c>
      <c r="T4" s="3">
        <v>1080</v>
      </c>
      <c r="U4" s="3">
        <v>78</v>
      </c>
      <c r="V4" s="3">
        <v>66</v>
      </c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2:32" ht="21" customHeight="1">
      <c r="B5" s="53"/>
      <c r="C5" s="8" t="s">
        <v>18</v>
      </c>
      <c r="D5" s="13">
        <f>SUMIF($S:$S,$C5,T:T)</f>
        <v>1097</v>
      </c>
      <c r="E5" s="13">
        <f>SUMIF($S:$S,$C5,U:U)</f>
        <v>80</v>
      </c>
      <c r="F5" s="13">
        <f>SUMIF($S:$S,$C5,V:V)</f>
        <v>78</v>
      </c>
      <c r="G5" s="13">
        <f>SUMIF($S:$S,$C5,W:W)</f>
        <v>0</v>
      </c>
      <c r="H5" s="13">
        <f>SUMIF($S:$S,$C5,X:X)</f>
        <v>0</v>
      </c>
      <c r="I5" s="13">
        <f>SUMIF($S:$S,$C5,Y:Y)</f>
        <v>0</v>
      </c>
      <c r="J5" s="13">
        <f>SUMIF($S:$S,$C5,Z:Z)</f>
        <v>0</v>
      </c>
      <c r="K5" s="13">
        <f>SUMIF($S:$S,$C5,AA:AA)</f>
        <v>0</v>
      </c>
      <c r="L5" s="13">
        <f>SUMIF($S:$S,$C5,AB:AB)</f>
        <v>0</v>
      </c>
      <c r="M5" s="13">
        <f>SUMIF($S:$S,$C5,AC:AC)</f>
        <v>0</v>
      </c>
      <c r="N5" s="13">
        <f>SUMIF($S:$S,$C5,AD:AD)</f>
        <v>0</v>
      </c>
      <c r="O5" s="13">
        <f>SUMIF($S:$S,$C5,AE:AE)</f>
        <v>0</v>
      </c>
      <c r="P5" s="13">
        <f>SUMIF($S:$S,$C5,AF:AF)</f>
        <v>0</v>
      </c>
      <c r="R5" s="38" t="s">
        <v>82</v>
      </c>
      <c r="S5" s="8" t="s">
        <v>18</v>
      </c>
      <c r="T5" s="3">
        <v>362</v>
      </c>
      <c r="U5" s="3">
        <v>27</v>
      </c>
      <c r="V5" s="3">
        <v>22</v>
      </c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2:32" ht="21" customHeight="1">
      <c r="B6" s="53"/>
      <c r="C6" s="8" t="s">
        <v>19</v>
      </c>
      <c r="D6" s="13">
        <f>SUMIF($S:$S,$C6,T:T)</f>
        <v>5244</v>
      </c>
      <c r="E6" s="13">
        <f>SUMIF($S:$S,$C6,U:U)</f>
        <v>409</v>
      </c>
      <c r="F6" s="13">
        <f>SUMIF($S:$S,$C6,V:V)</f>
        <v>458</v>
      </c>
      <c r="G6" s="13">
        <f>SUMIF($S:$S,$C6,W:W)</f>
        <v>0</v>
      </c>
      <c r="H6" s="13">
        <f>SUMIF($S:$S,$C6,X:X)</f>
        <v>0</v>
      </c>
      <c r="I6" s="13">
        <f>SUMIF($S:$S,$C6,Y:Y)</f>
        <v>0</v>
      </c>
      <c r="J6" s="13">
        <f>SUMIF($S:$S,$C6,Z:Z)</f>
        <v>0</v>
      </c>
      <c r="K6" s="13">
        <f>SUMIF($S:$S,$C6,AA:AA)</f>
        <v>0</v>
      </c>
      <c r="L6" s="13">
        <f>SUMIF($S:$S,$C6,AB:AB)</f>
        <v>0</v>
      </c>
      <c r="M6" s="13">
        <f>SUMIF($S:$S,$C6,AC:AC)</f>
        <v>0</v>
      </c>
      <c r="N6" s="13">
        <f>SUMIF($S:$S,$C6,AD:AD)</f>
        <v>0</v>
      </c>
      <c r="O6" s="13">
        <f>SUMIF($S:$S,$C6,AE:AE)</f>
        <v>0</v>
      </c>
      <c r="P6" s="13">
        <f>SUMIF($S:$S,$C6,AF:AF)</f>
        <v>0</v>
      </c>
      <c r="R6" s="38" t="s">
        <v>82</v>
      </c>
      <c r="S6" s="8" t="s">
        <v>19</v>
      </c>
      <c r="T6" s="3">
        <v>2792</v>
      </c>
      <c r="U6" s="3">
        <v>199</v>
      </c>
      <c r="V6" s="3">
        <v>196</v>
      </c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2:32" ht="21" customHeight="1">
      <c r="B7" s="54"/>
      <c r="C7" s="8" t="s">
        <v>20</v>
      </c>
      <c r="D7" s="13">
        <f>SUMIF($S:$S,$C7,T:T)</f>
        <v>810</v>
      </c>
      <c r="E7" s="13">
        <f>SUMIF($S:$S,$C7,U:U)</f>
        <v>65</v>
      </c>
      <c r="F7" s="13">
        <f>SUMIF($S:$S,$C7,V:V)</f>
        <v>64</v>
      </c>
      <c r="G7" s="13">
        <f>SUMIF($S:$S,$C7,W:W)</f>
        <v>0</v>
      </c>
      <c r="H7" s="13">
        <f>SUMIF($S:$S,$C7,X:X)</f>
        <v>0</v>
      </c>
      <c r="I7" s="13">
        <f>SUMIF($S:$S,$C7,Y:Y)</f>
        <v>0</v>
      </c>
      <c r="J7" s="13">
        <f>SUMIF($S:$S,$C7,Z:Z)</f>
        <v>0</v>
      </c>
      <c r="K7" s="13">
        <f>SUMIF($S:$S,$C7,AA:AA)</f>
        <v>0</v>
      </c>
      <c r="L7" s="13">
        <f>SUMIF($S:$S,$C7,AB:AB)</f>
        <v>0</v>
      </c>
      <c r="M7" s="13">
        <f>SUMIF($S:$S,$C7,AC:AC)</f>
        <v>0</v>
      </c>
      <c r="N7" s="13">
        <f>SUMIF($S:$S,$C7,AD:AD)</f>
        <v>0</v>
      </c>
      <c r="O7" s="13">
        <f>SUMIF($S:$S,$C7,AE:AE)</f>
        <v>0</v>
      </c>
      <c r="P7" s="13">
        <f>SUMIF($S:$S,$C7,AF:AF)</f>
        <v>0</v>
      </c>
      <c r="R7" s="38" t="s">
        <v>82</v>
      </c>
      <c r="S7" s="8" t="s">
        <v>20</v>
      </c>
      <c r="T7" s="3">
        <v>305</v>
      </c>
      <c r="U7" s="3">
        <v>22</v>
      </c>
      <c r="V7" s="3">
        <v>23</v>
      </c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2:32" ht="21" customHeight="1">
      <c r="B8" s="65" t="s">
        <v>21</v>
      </c>
      <c r="C8" s="56"/>
      <c r="D8" s="12">
        <f t="shared" ref="D8:P8" si="0">SUM(D4:D7)</f>
        <v>9941</v>
      </c>
      <c r="E8" s="12">
        <f t="shared" si="0"/>
        <v>748</v>
      </c>
      <c r="F8" s="12">
        <f t="shared" si="0"/>
        <v>749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R8" s="38" t="s">
        <v>82</v>
      </c>
      <c r="S8" s="8" t="s">
        <v>23</v>
      </c>
      <c r="T8" s="3">
        <v>33</v>
      </c>
      <c r="U8" s="3">
        <v>10</v>
      </c>
      <c r="V8" s="3">
        <v>5</v>
      </c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2:32" ht="21" customHeight="1">
      <c r="B9" s="57" t="s">
        <v>22</v>
      </c>
      <c r="C9" s="2" t="s">
        <v>23</v>
      </c>
      <c r="D9" s="13">
        <f>SUMIF($S:$S,$C9,T:T)</f>
        <v>240</v>
      </c>
      <c r="E9" s="13">
        <f>SUMIF($S:$S,$C9,U:U)</f>
        <v>43</v>
      </c>
      <c r="F9" s="13">
        <f>SUMIF($S:$S,$C9,V:V)</f>
        <v>21</v>
      </c>
      <c r="G9" s="13">
        <f>SUMIF($S:$S,$C9,W:W)</f>
        <v>0</v>
      </c>
      <c r="H9" s="13">
        <f>SUMIF($S:$S,$C9,X:X)</f>
        <v>0</v>
      </c>
      <c r="I9" s="13">
        <f>SUMIF($S:$S,$C9,Y:Y)</f>
        <v>0</v>
      </c>
      <c r="J9" s="13">
        <f>SUMIF($S:$S,$C9,Z:Z)</f>
        <v>0</v>
      </c>
      <c r="K9" s="13">
        <f>SUMIF($S:$S,$C9,AA:AA)</f>
        <v>0</v>
      </c>
      <c r="L9" s="13">
        <f>SUMIF($S:$S,$C9,AB:AB)</f>
        <v>0</v>
      </c>
      <c r="M9" s="13">
        <f>SUMIF($S:$S,$C9,AC:AC)</f>
        <v>0</v>
      </c>
      <c r="N9" s="13">
        <f>SUMIF($S:$S,$C9,AD:AD)</f>
        <v>0</v>
      </c>
      <c r="O9" s="13">
        <f>SUMIF($S:$S,$C9,AE:AE)</f>
        <v>0</v>
      </c>
      <c r="P9" s="13">
        <f>SUMIF($S:$S,$C9,AF:AF)</f>
        <v>0</v>
      </c>
      <c r="R9" s="38" t="s">
        <v>82</v>
      </c>
      <c r="S9" s="8" t="s">
        <v>24</v>
      </c>
      <c r="T9" s="3">
        <v>561</v>
      </c>
      <c r="U9" s="3">
        <v>35</v>
      </c>
      <c r="V9" s="3">
        <v>44</v>
      </c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2:32" ht="21" customHeight="1">
      <c r="B10" s="58"/>
      <c r="C10" s="2" t="s">
        <v>24</v>
      </c>
      <c r="D10" s="13">
        <f>SUMIF($S:$S,$C10,T:T)</f>
        <v>2166</v>
      </c>
      <c r="E10" s="13">
        <f>SUMIF($S:$S,$C10,U:U)</f>
        <v>172</v>
      </c>
      <c r="F10" s="13">
        <f>SUMIF($S:$S,$C10,V:V)</f>
        <v>157</v>
      </c>
      <c r="G10" s="13">
        <f>SUMIF($S:$S,$C10,W:W)</f>
        <v>0</v>
      </c>
      <c r="H10" s="13">
        <f>SUMIF($S:$S,$C10,X:X)</f>
        <v>0</v>
      </c>
      <c r="I10" s="13">
        <f>SUMIF($S:$S,$C10,Y:Y)</f>
        <v>0</v>
      </c>
      <c r="J10" s="13">
        <f>SUMIF($S:$S,$C10,Z:Z)</f>
        <v>0</v>
      </c>
      <c r="K10" s="13">
        <f>SUMIF($S:$S,$C10,AA:AA)</f>
        <v>0</v>
      </c>
      <c r="L10" s="13">
        <f>SUMIF($S:$S,$C10,AB:AB)</f>
        <v>0</v>
      </c>
      <c r="M10" s="13">
        <f>SUMIF($S:$S,$C10,AC:AC)</f>
        <v>0</v>
      </c>
      <c r="N10" s="13">
        <f>SUMIF($S:$S,$C10,AD:AD)</f>
        <v>0</v>
      </c>
      <c r="O10" s="13">
        <f>SUMIF($S:$S,$C10,AE:AE)</f>
        <v>0</v>
      </c>
      <c r="P10" s="13">
        <f>SUMIF($S:$S,$C10,AF:AF)</f>
        <v>0</v>
      </c>
      <c r="R10" s="38" t="s">
        <v>82</v>
      </c>
      <c r="S10" s="8" t="s">
        <v>25</v>
      </c>
      <c r="T10" s="3">
        <v>1662</v>
      </c>
      <c r="U10" s="3">
        <v>115</v>
      </c>
      <c r="V10" s="3">
        <v>123</v>
      </c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2:32" ht="21" customHeight="1">
      <c r="B11" s="59"/>
      <c r="C11" s="2" t="s">
        <v>25</v>
      </c>
      <c r="D11" s="13">
        <f>SUMIF($S:$S,$C11,T:T)</f>
        <v>6317</v>
      </c>
      <c r="E11" s="13">
        <f>SUMIF($S:$S,$C11,U:U)</f>
        <v>519</v>
      </c>
      <c r="F11" s="13">
        <f>SUMIF($S:$S,$C11,V:V)</f>
        <v>517</v>
      </c>
      <c r="G11" s="13">
        <f>SUMIF($S:$S,$C11,W:W)</f>
        <v>0</v>
      </c>
      <c r="H11" s="13">
        <f>SUMIF($S:$S,$C11,X:X)</f>
        <v>0</v>
      </c>
      <c r="I11" s="13">
        <f>SUMIF($S:$S,$C11,Y:Y)</f>
        <v>0</v>
      </c>
      <c r="J11" s="13">
        <f>SUMIF($S:$S,$C11,Z:Z)</f>
        <v>0</v>
      </c>
      <c r="K11" s="13">
        <f>SUMIF($S:$S,$C11,AA:AA)</f>
        <v>0</v>
      </c>
      <c r="L11" s="13">
        <f>SUMIF($S:$S,$C11,AB:AB)</f>
        <v>0</v>
      </c>
      <c r="M11" s="13">
        <f>SUMIF($S:$S,$C11,AC:AC)</f>
        <v>0</v>
      </c>
      <c r="N11" s="13">
        <f>SUMIF($S:$S,$C11,AD:AD)</f>
        <v>0</v>
      </c>
      <c r="O11" s="13">
        <f>SUMIF($S:$S,$C11,AE:AE)</f>
        <v>0</v>
      </c>
      <c r="P11" s="13">
        <f>SUMIF($S:$S,$C11,AF:AF)</f>
        <v>0</v>
      </c>
      <c r="R11" s="38" t="s">
        <v>82</v>
      </c>
      <c r="S11" s="8" t="s">
        <v>30</v>
      </c>
      <c r="T11" s="3">
        <v>427</v>
      </c>
      <c r="U11" s="3">
        <v>29</v>
      </c>
      <c r="V11" s="3">
        <v>30</v>
      </c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2:32" ht="21" customHeight="1">
      <c r="B12" s="66" t="s">
        <v>21</v>
      </c>
      <c r="C12" s="51"/>
      <c r="D12" s="12">
        <f t="shared" ref="D12:P12" si="1">SUM(D9:D11)</f>
        <v>8723</v>
      </c>
      <c r="E12" s="12">
        <f t="shared" si="1"/>
        <v>734</v>
      </c>
      <c r="F12" s="12">
        <f t="shared" si="1"/>
        <v>695</v>
      </c>
      <c r="G12" s="12">
        <f t="shared" si="1"/>
        <v>0</v>
      </c>
      <c r="H12" s="12">
        <f t="shared" si="1"/>
        <v>0</v>
      </c>
      <c r="I12" s="12">
        <f t="shared" si="1"/>
        <v>0</v>
      </c>
      <c r="J12" s="12">
        <f t="shared" si="1"/>
        <v>0</v>
      </c>
      <c r="K12" s="12">
        <f t="shared" si="1"/>
        <v>0</v>
      </c>
      <c r="L12" s="12">
        <f t="shared" si="1"/>
        <v>0</v>
      </c>
      <c r="M12" s="12">
        <f t="shared" si="1"/>
        <v>0</v>
      </c>
      <c r="N12" s="12">
        <f t="shared" si="1"/>
        <v>0</v>
      </c>
      <c r="O12" s="12">
        <f t="shared" si="1"/>
        <v>0</v>
      </c>
      <c r="P12" s="12">
        <f t="shared" si="1"/>
        <v>0</v>
      </c>
      <c r="R12" s="38" t="s">
        <v>82</v>
      </c>
      <c r="S12" s="8" t="s">
        <v>31</v>
      </c>
      <c r="T12" s="3">
        <v>128</v>
      </c>
      <c r="U12" s="3">
        <v>2</v>
      </c>
      <c r="V12" s="3">
        <v>2</v>
      </c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2:32" ht="21" customHeight="1">
      <c r="R13" s="38" t="s">
        <v>82</v>
      </c>
      <c r="S13" s="8" t="s">
        <v>61</v>
      </c>
      <c r="T13" s="3">
        <v>200</v>
      </c>
      <c r="U13" s="3">
        <v>14</v>
      </c>
      <c r="V13" s="3">
        <v>11</v>
      </c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2:32" ht="21" customHeight="1">
      <c r="B14" t="s">
        <v>62</v>
      </c>
      <c r="P14" s="7" t="s">
        <v>57</v>
      </c>
      <c r="R14" s="38" t="s">
        <v>82</v>
      </c>
      <c r="S14" s="8" t="s">
        <v>33</v>
      </c>
      <c r="T14" s="3">
        <v>692</v>
      </c>
      <c r="U14" s="3">
        <v>55</v>
      </c>
      <c r="V14" s="3">
        <v>47</v>
      </c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2:32" ht="21" customHeight="1">
      <c r="B15" s="9"/>
      <c r="C15" s="4" t="s">
        <v>2</v>
      </c>
      <c r="D15" s="5" t="s">
        <v>3</v>
      </c>
      <c r="E15" s="5" t="s">
        <v>4</v>
      </c>
      <c r="F15" s="5" t="s">
        <v>5</v>
      </c>
      <c r="G15" s="5" t="s">
        <v>6</v>
      </c>
      <c r="H15" s="5" t="s">
        <v>7</v>
      </c>
      <c r="I15" s="5" t="s">
        <v>8</v>
      </c>
      <c r="J15" s="5" t="s">
        <v>9</v>
      </c>
      <c r="K15" s="5" t="s">
        <v>10</v>
      </c>
      <c r="L15" s="5" t="s">
        <v>11</v>
      </c>
      <c r="M15" s="5" t="s">
        <v>12</v>
      </c>
      <c r="N15" s="5" t="s">
        <v>13</v>
      </c>
      <c r="O15" s="5" t="s">
        <v>14</v>
      </c>
      <c r="P15" s="5" t="s">
        <v>15</v>
      </c>
      <c r="R15" s="38" t="s">
        <v>82</v>
      </c>
      <c r="S15" s="44" t="s">
        <v>35</v>
      </c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</row>
    <row r="16" spans="2:32" ht="21" customHeight="1">
      <c r="B16" s="62" t="s">
        <v>29</v>
      </c>
      <c r="C16" s="8" t="s">
        <v>30</v>
      </c>
      <c r="D16" s="13">
        <f>SUMIF($S:$S,$C16,T:T)</f>
        <v>1004</v>
      </c>
      <c r="E16" s="13">
        <f>SUMIF($S:$S,$C16,U:U)</f>
        <v>57</v>
      </c>
      <c r="F16" s="13">
        <f>SUMIF($S:$S,$C16,V:V)</f>
        <v>59</v>
      </c>
      <c r="G16" s="13">
        <f>SUMIF($S:$S,$C16,W:W)</f>
        <v>0</v>
      </c>
      <c r="H16" s="13">
        <f>SUMIF($S:$S,$C16,X:X)</f>
        <v>0</v>
      </c>
      <c r="I16" s="13">
        <f>SUMIF($S:$S,$C16,Y:Y)</f>
        <v>0</v>
      </c>
      <c r="J16" s="13">
        <f>SUMIF($S:$S,$C16,Z:Z)</f>
        <v>0</v>
      </c>
      <c r="K16" s="13">
        <f>SUMIF($S:$S,$C16,AA:AA)</f>
        <v>0</v>
      </c>
      <c r="L16" s="13">
        <f>SUMIF($S:$S,$C16,AB:AB)</f>
        <v>0</v>
      </c>
      <c r="M16" s="13">
        <f>SUMIF($S:$S,$C16,AC:AC)</f>
        <v>0</v>
      </c>
      <c r="N16" s="13">
        <f>SUMIF($S:$S,$C16,AD:AD)</f>
        <v>0</v>
      </c>
      <c r="O16" s="13">
        <f>SUMIF($S:$S,$C16,AE:AE)</f>
        <v>0</v>
      </c>
      <c r="P16" s="13">
        <f>SUMIF($S:$S,$C16,AF:AF)</f>
        <v>0</v>
      </c>
      <c r="R16" s="38" t="s">
        <v>82</v>
      </c>
      <c r="S16" s="44" t="s">
        <v>36</v>
      </c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</row>
    <row r="17" spans="2:32" ht="21" customHeight="1">
      <c r="B17" s="53"/>
      <c r="C17" s="8" t="s">
        <v>31</v>
      </c>
      <c r="D17" s="13">
        <f>SUMIF($S:$S,$C17,T:T)</f>
        <v>1512</v>
      </c>
      <c r="E17" s="13">
        <f>SUMIF($S:$S,$C17,U:U)</f>
        <v>23</v>
      </c>
      <c r="F17" s="13">
        <f>SUMIF($S:$S,$C17,V:V)</f>
        <v>45</v>
      </c>
      <c r="G17" s="13">
        <f>SUMIF($S:$S,$C17,W:W)</f>
        <v>0</v>
      </c>
      <c r="H17" s="13">
        <f>SUMIF($S:$S,$C17,X:X)</f>
        <v>0</v>
      </c>
      <c r="I17" s="13">
        <f>SUMIF($S:$S,$C17,Y:Y)</f>
        <v>0</v>
      </c>
      <c r="J17" s="13">
        <f>SUMIF($S:$S,$C17,Z:Z)</f>
        <v>0</v>
      </c>
      <c r="K17" s="13">
        <f>SUMIF($S:$S,$C17,AA:AA)</f>
        <v>0</v>
      </c>
      <c r="L17" s="13">
        <f>SUMIF($S:$S,$C17,AB:AB)</f>
        <v>0</v>
      </c>
      <c r="M17" s="13">
        <f>SUMIF($S:$S,$C17,AC:AC)</f>
        <v>0</v>
      </c>
      <c r="N17" s="13">
        <f>SUMIF($S:$S,$C17,AD:AD)</f>
        <v>0</v>
      </c>
      <c r="O17" s="13">
        <f>SUMIF($S:$S,$C17,AE:AE)</f>
        <v>0</v>
      </c>
      <c r="P17" s="13">
        <f>SUMIF($S:$S,$C17,AF:AF)</f>
        <v>0</v>
      </c>
      <c r="R17" s="38" t="s">
        <v>82</v>
      </c>
      <c r="S17" s="8" t="s">
        <v>37</v>
      </c>
      <c r="T17" s="3">
        <v>57</v>
      </c>
      <c r="U17" s="3">
        <v>6</v>
      </c>
      <c r="V17" s="3">
        <v>4</v>
      </c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2:32" ht="21" customHeight="1">
      <c r="B18" s="53"/>
      <c r="C18" s="8" t="s">
        <v>61</v>
      </c>
      <c r="D18" s="13">
        <f>SUMIF($S:$S,$C18,T:T)</f>
        <v>1453</v>
      </c>
      <c r="E18" s="13">
        <f>SUMIF($S:$S,$C18,U:U)</f>
        <v>63</v>
      </c>
      <c r="F18" s="13">
        <f>SUMIF($S:$S,$C18,V:V)</f>
        <v>62</v>
      </c>
      <c r="G18" s="13">
        <f>SUMIF($S:$S,$C18,W:W)</f>
        <v>0</v>
      </c>
      <c r="H18" s="13">
        <f>SUMIF($S:$S,$C18,X:X)</f>
        <v>0</v>
      </c>
      <c r="I18" s="13">
        <f>SUMIF($S:$S,$C18,Y:Y)</f>
        <v>0</v>
      </c>
      <c r="J18" s="13">
        <f>SUMIF($S:$S,$C18,Z:Z)</f>
        <v>0</v>
      </c>
      <c r="K18" s="13">
        <f>SUMIF($S:$S,$C18,AA:AA)</f>
        <v>0</v>
      </c>
      <c r="L18" s="13">
        <f>SUMIF($S:$S,$C18,AB:AB)</f>
        <v>0</v>
      </c>
      <c r="M18" s="13">
        <f>SUMIF($S:$S,$C18,AC:AC)</f>
        <v>0</v>
      </c>
      <c r="N18" s="13">
        <f>SUMIF($S:$S,$C18,AD:AD)</f>
        <v>0</v>
      </c>
      <c r="O18" s="13">
        <f>SUMIF($S:$S,$C18,AE:AE)</f>
        <v>0</v>
      </c>
      <c r="P18" s="13">
        <f>SUMIF($S:$S,$C18,AF:AF)</f>
        <v>0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2:32" ht="21" customHeight="1">
      <c r="B19" s="63"/>
      <c r="C19" s="8" t="s">
        <v>33</v>
      </c>
      <c r="D19" s="13">
        <f>SUMIF($S:$S,$C19,T:T)</f>
        <v>2536</v>
      </c>
      <c r="E19" s="13">
        <f>SUMIF($S:$S,$C19,U:U)</f>
        <v>168</v>
      </c>
      <c r="F19" s="13">
        <f>SUMIF($S:$S,$C19,V:V)</f>
        <v>164</v>
      </c>
      <c r="G19" s="13">
        <f>SUMIF($S:$S,$C19,W:W)</f>
        <v>0</v>
      </c>
      <c r="H19" s="13">
        <f>SUMIF($S:$S,$C19,X:X)</f>
        <v>0</v>
      </c>
      <c r="I19" s="13">
        <f>SUMIF($S:$S,$C19,Y:Y)</f>
        <v>0</v>
      </c>
      <c r="J19" s="13">
        <f>SUMIF($S:$S,$C19,Z:Z)</f>
        <v>0</v>
      </c>
      <c r="K19" s="13">
        <f>SUMIF($S:$S,$C19,AA:AA)</f>
        <v>0</v>
      </c>
      <c r="L19" s="13">
        <f>SUMIF($S:$S,$C19,AB:AB)</f>
        <v>0</v>
      </c>
      <c r="M19" s="13">
        <f>SUMIF($S:$S,$C19,AC:AC)</f>
        <v>0</v>
      </c>
      <c r="N19" s="13">
        <f>SUMIF($S:$S,$C19,AD:AD)</f>
        <v>0</v>
      </c>
      <c r="O19" s="13">
        <f>SUMIF($S:$S,$C19,AE:AE)</f>
        <v>0</v>
      </c>
      <c r="P19" s="13">
        <f>SUMIF($S:$S,$C19,AF:AF)</f>
        <v>0</v>
      </c>
      <c r="R19" s="11" t="s">
        <v>59</v>
      </c>
      <c r="S19" s="5" t="s">
        <v>2</v>
      </c>
      <c r="T19" s="5" t="s">
        <v>3</v>
      </c>
      <c r="U19" s="5" t="s">
        <v>4</v>
      </c>
      <c r="V19" s="5" t="s">
        <v>5</v>
      </c>
      <c r="W19" s="5" t="s">
        <v>6</v>
      </c>
      <c r="X19" s="5" t="s">
        <v>7</v>
      </c>
      <c r="Y19" s="5" t="s">
        <v>8</v>
      </c>
      <c r="Z19" s="5" t="s">
        <v>9</v>
      </c>
      <c r="AA19" s="5" t="s">
        <v>10</v>
      </c>
      <c r="AB19" s="5" t="s">
        <v>11</v>
      </c>
      <c r="AC19" s="5" t="s">
        <v>12</v>
      </c>
      <c r="AD19" s="5" t="s">
        <v>13</v>
      </c>
      <c r="AE19" s="5" t="s">
        <v>14</v>
      </c>
      <c r="AF19" s="5" t="s">
        <v>15</v>
      </c>
    </row>
    <row r="20" spans="2:32" ht="21" customHeight="1">
      <c r="B20" s="10"/>
      <c r="C20" s="6" t="s">
        <v>21</v>
      </c>
      <c r="D20" s="12">
        <f t="shared" ref="D20:P20" si="2">SUM(D16:D19)</f>
        <v>6505</v>
      </c>
      <c r="E20" s="12">
        <f t="shared" si="2"/>
        <v>311</v>
      </c>
      <c r="F20" s="12">
        <f t="shared" si="2"/>
        <v>330</v>
      </c>
      <c r="G20" s="12">
        <f t="shared" si="2"/>
        <v>0</v>
      </c>
      <c r="H20" s="12">
        <f t="shared" si="2"/>
        <v>0</v>
      </c>
      <c r="I20" s="12">
        <f t="shared" si="2"/>
        <v>0</v>
      </c>
      <c r="J20" s="12">
        <f t="shared" si="2"/>
        <v>0</v>
      </c>
      <c r="K20" s="12">
        <f t="shared" si="2"/>
        <v>0</v>
      </c>
      <c r="L20" s="12">
        <f t="shared" si="2"/>
        <v>0</v>
      </c>
      <c r="M20" s="12">
        <f t="shared" si="2"/>
        <v>0</v>
      </c>
      <c r="N20" s="12">
        <f t="shared" si="2"/>
        <v>0</v>
      </c>
      <c r="O20" s="12">
        <f t="shared" si="2"/>
        <v>0</v>
      </c>
      <c r="P20" s="12">
        <f t="shared" si="2"/>
        <v>0</v>
      </c>
      <c r="R20" s="38" t="s">
        <v>83</v>
      </c>
      <c r="S20" s="8" t="s">
        <v>17</v>
      </c>
      <c r="T20" s="3">
        <v>223</v>
      </c>
      <c r="U20" s="3">
        <v>12</v>
      </c>
      <c r="V20" s="3">
        <v>25</v>
      </c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2:32" ht="21" customHeight="1">
      <c r="B21" s="64" t="s">
        <v>34</v>
      </c>
      <c r="C21" s="8" t="s">
        <v>35</v>
      </c>
      <c r="D21" s="13">
        <f>SUMIF($S:$S,$C21,T:T)</f>
        <v>0</v>
      </c>
      <c r="E21" s="13">
        <f>SUMIF($S:$S,$C21,U:U)</f>
        <v>0</v>
      </c>
      <c r="F21" s="13">
        <f>SUMIF($S:$S,$C21,V:V)</f>
        <v>0</v>
      </c>
      <c r="G21" s="13">
        <f>SUMIF($S:$S,$C21,W:W)</f>
        <v>0</v>
      </c>
      <c r="H21" s="13">
        <f>SUMIF($S:$S,$C21,X:X)</f>
        <v>0</v>
      </c>
      <c r="I21" s="13">
        <f>SUMIF($S:$S,$C21,Y:Y)</f>
        <v>0</v>
      </c>
      <c r="J21" s="13">
        <f>SUMIF($S:$S,$C21,Z:Z)</f>
        <v>0</v>
      </c>
      <c r="K21" s="13">
        <f>SUMIF($S:$S,$C21,AA:AA)</f>
        <v>0</v>
      </c>
      <c r="L21" s="13">
        <f>SUMIF($S:$S,$C21,AB:AB)</f>
        <v>0</v>
      </c>
      <c r="M21" s="13">
        <f>SUMIF($S:$S,$C21,AC:AC)</f>
        <v>0</v>
      </c>
      <c r="N21" s="13">
        <f>SUMIF($S:$S,$C21,AD:AD)</f>
        <v>0</v>
      </c>
      <c r="O21" s="13">
        <f>SUMIF($S:$S,$C21,AE:AE)</f>
        <v>0</v>
      </c>
      <c r="P21" s="13">
        <f>SUMIF($S:$S,$C21,AF:AF)</f>
        <v>0</v>
      </c>
      <c r="R21" s="38" t="s">
        <v>83</v>
      </c>
      <c r="S21" s="8" t="s">
        <v>18</v>
      </c>
      <c r="T21" s="3">
        <v>43</v>
      </c>
      <c r="U21" s="3">
        <v>5</v>
      </c>
      <c r="V21" s="3">
        <v>8</v>
      </c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2:32" ht="21" customHeight="1">
      <c r="B22" s="53"/>
      <c r="C22" s="8" t="s">
        <v>36</v>
      </c>
      <c r="D22" s="13">
        <f>SUMIF($S:$S,$C22,T:T)</f>
        <v>0</v>
      </c>
      <c r="E22" s="13">
        <f>SUMIF($S:$S,$C22,U:U)</f>
        <v>0</v>
      </c>
      <c r="F22" s="13">
        <f>SUMIF($S:$S,$C22,V:V)</f>
        <v>0</v>
      </c>
      <c r="G22" s="13">
        <f>SUMIF($S:$S,$C22,W:W)</f>
        <v>0</v>
      </c>
      <c r="H22" s="13">
        <f>SUMIF($S:$S,$C22,X:X)</f>
        <v>0</v>
      </c>
      <c r="I22" s="13">
        <f>SUMIF($S:$S,$C22,Y:Y)</f>
        <v>0</v>
      </c>
      <c r="J22" s="13">
        <f>SUMIF($S:$S,$C22,Z:Z)</f>
        <v>0</v>
      </c>
      <c r="K22" s="13">
        <f>SUMIF($S:$S,$C22,AA:AA)</f>
        <v>0</v>
      </c>
      <c r="L22" s="13">
        <f>SUMIF($S:$S,$C22,AB:AB)</f>
        <v>0</v>
      </c>
      <c r="M22" s="13">
        <f>SUMIF($S:$S,$C22,AC:AC)</f>
        <v>0</v>
      </c>
      <c r="N22" s="13">
        <f>SUMIF($S:$S,$C22,AD:AD)</f>
        <v>0</v>
      </c>
      <c r="O22" s="13">
        <f>SUMIF($S:$S,$C22,AE:AE)</f>
        <v>0</v>
      </c>
      <c r="P22" s="13">
        <f>SUMIF($S:$S,$C22,AF:AF)</f>
        <v>0</v>
      </c>
      <c r="R22" s="38" t="s">
        <v>83</v>
      </c>
      <c r="S22" s="8" t="s">
        <v>19</v>
      </c>
      <c r="T22" s="3">
        <v>482</v>
      </c>
      <c r="U22" s="3">
        <v>34</v>
      </c>
      <c r="V22" s="3">
        <v>40</v>
      </c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2:32" ht="21" customHeight="1">
      <c r="B23" s="54"/>
      <c r="C23" s="8" t="s">
        <v>37</v>
      </c>
      <c r="D23" s="13">
        <f>SUMIF($S:$S,$C23,T:T)</f>
        <v>124</v>
      </c>
      <c r="E23" s="13">
        <f>SUMIF($S:$S,$C23,U:U)</f>
        <v>10</v>
      </c>
      <c r="F23" s="13">
        <f>SUMIF($S:$S,$C23,V:V)</f>
        <v>7</v>
      </c>
      <c r="G23" s="13">
        <f>SUMIF($S:$S,$C23,W:W)</f>
        <v>0</v>
      </c>
      <c r="H23" s="13">
        <f>SUMIF($S:$S,$C23,X:X)</f>
        <v>0</v>
      </c>
      <c r="I23" s="13">
        <f>SUMIF($S:$S,$C23,Y:Y)</f>
        <v>0</v>
      </c>
      <c r="J23" s="13">
        <f>SUMIF($S:$S,$C23,Z:Z)</f>
        <v>0</v>
      </c>
      <c r="K23" s="13">
        <f>SUMIF($S:$S,$C23,AA:AA)</f>
        <v>0</v>
      </c>
      <c r="L23" s="13">
        <f>SUMIF($S:$S,$C23,AB:AB)</f>
        <v>0</v>
      </c>
      <c r="M23" s="13">
        <f>SUMIF($S:$S,$C23,AC:AC)</f>
        <v>0</v>
      </c>
      <c r="N23" s="13">
        <f>SUMIF($S:$S,$C23,AD:AD)</f>
        <v>0</v>
      </c>
      <c r="O23" s="13">
        <f>SUMIF($S:$S,$C23,AE:AE)</f>
        <v>0</v>
      </c>
      <c r="P23" s="13">
        <f>SUMIF($S:$S,$C23,AF:AF)</f>
        <v>0</v>
      </c>
      <c r="R23" s="38" t="s">
        <v>83</v>
      </c>
      <c r="S23" s="8" t="s">
        <v>20</v>
      </c>
      <c r="T23" s="3">
        <v>48</v>
      </c>
      <c r="U23" s="3">
        <v>5</v>
      </c>
      <c r="V23" s="3">
        <v>4</v>
      </c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2:32" ht="21" customHeight="1">
      <c r="B24" s="10"/>
      <c r="C24" s="6" t="s">
        <v>21</v>
      </c>
      <c r="D24" s="12">
        <f t="shared" ref="D24:P24" si="3">SUM(D21:D23)</f>
        <v>124</v>
      </c>
      <c r="E24" s="12">
        <f t="shared" si="3"/>
        <v>10</v>
      </c>
      <c r="F24" s="12">
        <f t="shared" si="3"/>
        <v>7</v>
      </c>
      <c r="G24" s="12">
        <f t="shared" si="3"/>
        <v>0</v>
      </c>
      <c r="H24" s="12">
        <f t="shared" si="3"/>
        <v>0</v>
      </c>
      <c r="I24" s="12">
        <f t="shared" si="3"/>
        <v>0</v>
      </c>
      <c r="J24" s="12">
        <f t="shared" si="3"/>
        <v>0</v>
      </c>
      <c r="K24" s="12">
        <f t="shared" si="3"/>
        <v>0</v>
      </c>
      <c r="L24" s="12">
        <f t="shared" si="3"/>
        <v>0</v>
      </c>
      <c r="M24" s="12">
        <f t="shared" si="3"/>
        <v>0</v>
      </c>
      <c r="N24" s="12">
        <f t="shared" si="3"/>
        <v>0</v>
      </c>
      <c r="O24" s="12">
        <f t="shared" si="3"/>
        <v>0</v>
      </c>
      <c r="P24" s="12">
        <f t="shared" si="3"/>
        <v>0</v>
      </c>
      <c r="R24" s="38" t="s">
        <v>83</v>
      </c>
      <c r="S24" s="8" t="s">
        <v>23</v>
      </c>
      <c r="T24" s="3">
        <v>30</v>
      </c>
      <c r="U24" s="3">
        <v>2</v>
      </c>
      <c r="V24" s="3">
        <v>2</v>
      </c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2:32" ht="21" customHeight="1">
      <c r="R25" s="38" t="s">
        <v>83</v>
      </c>
      <c r="S25" s="8" t="s">
        <v>24</v>
      </c>
      <c r="T25" s="3">
        <v>493</v>
      </c>
      <c r="U25" s="3">
        <v>38</v>
      </c>
      <c r="V25" s="3">
        <v>30</v>
      </c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2:32" ht="21" customHeight="1">
      <c r="R26" s="38" t="s">
        <v>83</v>
      </c>
      <c r="S26" s="8" t="s">
        <v>25</v>
      </c>
      <c r="T26" s="3">
        <v>1043</v>
      </c>
      <c r="U26" s="3">
        <v>76</v>
      </c>
      <c r="V26" s="3">
        <v>3</v>
      </c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2:32" ht="21" customHeight="1">
      <c r="R27" s="38" t="s">
        <v>83</v>
      </c>
      <c r="S27" s="8" t="s">
        <v>30</v>
      </c>
      <c r="T27" s="3">
        <v>12</v>
      </c>
      <c r="U27" s="3">
        <v>0</v>
      </c>
      <c r="V27" s="3">
        <v>0</v>
      </c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2:32" ht="21" customHeight="1">
      <c r="R28" s="38" t="s">
        <v>83</v>
      </c>
      <c r="S28" s="8" t="s">
        <v>31</v>
      </c>
      <c r="T28" s="3">
        <v>18</v>
      </c>
      <c r="U28" s="3">
        <v>3</v>
      </c>
      <c r="V28" s="3">
        <v>1</v>
      </c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2:32" ht="21" customHeight="1">
      <c r="R29" s="38" t="s">
        <v>83</v>
      </c>
      <c r="S29" s="8" t="s">
        <v>61</v>
      </c>
      <c r="T29" s="3">
        <v>68</v>
      </c>
      <c r="U29" s="3">
        <v>3</v>
      </c>
      <c r="V29" s="3">
        <v>10</v>
      </c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2:32" ht="21" customHeight="1">
      <c r="R30" s="38" t="s">
        <v>83</v>
      </c>
      <c r="S30" s="8" t="s">
        <v>33</v>
      </c>
      <c r="T30" s="3">
        <v>114</v>
      </c>
      <c r="U30" s="3">
        <v>5</v>
      </c>
      <c r="V30" s="3">
        <v>11</v>
      </c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2:32" ht="21" customHeight="1">
      <c r="R31" s="38" t="s">
        <v>83</v>
      </c>
      <c r="S31" s="44" t="s">
        <v>35</v>
      </c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</row>
    <row r="32" spans="2:32" ht="21" customHeight="1">
      <c r="R32" s="38" t="s">
        <v>83</v>
      </c>
      <c r="S32" s="44" t="s">
        <v>36</v>
      </c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</row>
    <row r="33" spans="18:32" ht="21" customHeight="1">
      <c r="R33" s="38" t="s">
        <v>83</v>
      </c>
      <c r="S33" s="8" t="s">
        <v>37</v>
      </c>
      <c r="T33" s="3">
        <v>17</v>
      </c>
      <c r="U33" s="3">
        <v>2</v>
      </c>
      <c r="V33" s="3">
        <v>1</v>
      </c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8:32" ht="21" customHeight="1"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8:32" ht="21" customHeight="1">
      <c r="R35" s="11" t="s">
        <v>59</v>
      </c>
      <c r="S35" s="5" t="s">
        <v>2</v>
      </c>
      <c r="T35" s="5" t="s">
        <v>3</v>
      </c>
      <c r="U35" s="5" t="s">
        <v>4</v>
      </c>
      <c r="V35" s="5" t="s">
        <v>5</v>
      </c>
      <c r="W35" s="5" t="s">
        <v>6</v>
      </c>
      <c r="X35" s="5" t="s">
        <v>7</v>
      </c>
      <c r="Y35" s="5" t="s">
        <v>8</v>
      </c>
      <c r="Z35" s="5" t="s">
        <v>9</v>
      </c>
      <c r="AA35" s="5" t="s">
        <v>10</v>
      </c>
      <c r="AB35" s="5" t="s">
        <v>11</v>
      </c>
      <c r="AC35" s="5" t="s">
        <v>12</v>
      </c>
      <c r="AD35" s="5" t="s">
        <v>13</v>
      </c>
      <c r="AE35" s="5" t="s">
        <v>14</v>
      </c>
      <c r="AF35" s="5" t="s">
        <v>15</v>
      </c>
    </row>
    <row r="36" spans="18:32" ht="21" customHeight="1">
      <c r="R36" s="38" t="s">
        <v>84</v>
      </c>
      <c r="S36" s="8" t="s">
        <v>17</v>
      </c>
      <c r="T36" s="3">
        <v>236</v>
      </c>
      <c r="U36" s="3">
        <v>17</v>
      </c>
      <c r="V36" s="3">
        <v>13</v>
      </c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8:32" ht="21" customHeight="1">
      <c r="R37" s="38" t="s">
        <v>84</v>
      </c>
      <c r="S37" s="8" t="s">
        <v>18</v>
      </c>
      <c r="T37" s="3">
        <v>88</v>
      </c>
      <c r="U37" s="3">
        <v>13</v>
      </c>
      <c r="V37" s="3">
        <v>1</v>
      </c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8:32" ht="21" customHeight="1">
      <c r="R38" s="38" t="s">
        <v>84</v>
      </c>
      <c r="S38" s="8" t="s">
        <v>19</v>
      </c>
      <c r="T38" s="3">
        <v>609</v>
      </c>
      <c r="U38" s="3">
        <v>67</v>
      </c>
      <c r="V38" s="3">
        <v>52</v>
      </c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8:32" ht="21" customHeight="1">
      <c r="R39" s="38" t="s">
        <v>84</v>
      </c>
      <c r="S39" s="8" t="s">
        <v>20</v>
      </c>
      <c r="T39" s="3">
        <v>108</v>
      </c>
      <c r="U39" s="3">
        <v>13</v>
      </c>
      <c r="V39" s="3">
        <v>12</v>
      </c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8:32" ht="21" customHeight="1">
      <c r="R40" s="38" t="s">
        <v>84</v>
      </c>
      <c r="S40" s="8" t="s">
        <v>23</v>
      </c>
      <c r="T40" s="3">
        <v>0</v>
      </c>
      <c r="U40" s="3">
        <v>0</v>
      </c>
      <c r="V40" s="3">
        <v>0</v>
      </c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8:32" ht="21" customHeight="1">
      <c r="R41" s="38" t="s">
        <v>84</v>
      </c>
      <c r="S41" s="8" t="s">
        <v>24</v>
      </c>
      <c r="T41" s="3">
        <v>311</v>
      </c>
      <c r="U41" s="3">
        <v>31</v>
      </c>
      <c r="V41" s="3">
        <v>28</v>
      </c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8:32" ht="21" customHeight="1">
      <c r="R42" s="38" t="s">
        <v>84</v>
      </c>
      <c r="S42" s="8" t="s">
        <v>25</v>
      </c>
      <c r="T42" s="3">
        <v>340</v>
      </c>
      <c r="U42" s="3">
        <v>30</v>
      </c>
      <c r="V42" s="3">
        <v>29</v>
      </c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8:32" ht="21" customHeight="1">
      <c r="R43" s="38" t="s">
        <v>84</v>
      </c>
      <c r="S43" s="8" t="s">
        <v>30</v>
      </c>
      <c r="T43" s="3">
        <v>263</v>
      </c>
      <c r="U43" s="3">
        <v>7</v>
      </c>
      <c r="V43" s="3">
        <v>9</v>
      </c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8:32" ht="21" customHeight="1">
      <c r="R44" s="38" t="s">
        <v>84</v>
      </c>
      <c r="S44" s="8" t="s">
        <v>31</v>
      </c>
      <c r="T44" s="3">
        <v>485</v>
      </c>
      <c r="U44" s="3">
        <v>0</v>
      </c>
      <c r="V44" s="3">
        <v>15</v>
      </c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8:32" ht="21" customHeight="1">
      <c r="R45" s="38" t="s">
        <v>84</v>
      </c>
      <c r="S45" s="8" t="s">
        <v>61</v>
      </c>
      <c r="T45" s="3">
        <v>28</v>
      </c>
      <c r="U45" s="3">
        <v>3</v>
      </c>
      <c r="V45" s="3">
        <v>5</v>
      </c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8:32" ht="21" customHeight="1">
      <c r="R46" s="38" t="s">
        <v>84</v>
      </c>
      <c r="S46" s="8" t="s">
        <v>33</v>
      </c>
      <c r="T46" s="3">
        <v>231</v>
      </c>
      <c r="U46" s="3">
        <v>19</v>
      </c>
      <c r="V46" s="3">
        <v>23</v>
      </c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8:32" ht="21" customHeight="1">
      <c r="R47" s="38" t="s">
        <v>84</v>
      </c>
      <c r="S47" s="44" t="s">
        <v>35</v>
      </c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</row>
    <row r="48" spans="18:32" ht="21" customHeight="1">
      <c r="R48" s="38" t="s">
        <v>84</v>
      </c>
      <c r="S48" s="44" t="s">
        <v>36</v>
      </c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</row>
    <row r="49" spans="18:32" ht="21" customHeight="1">
      <c r="R49" s="38" t="s">
        <v>84</v>
      </c>
      <c r="S49" s="8" t="s">
        <v>37</v>
      </c>
      <c r="T49" s="3">
        <v>9</v>
      </c>
      <c r="U49" s="3">
        <v>1</v>
      </c>
      <c r="V49" s="3">
        <v>2</v>
      </c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8:32" ht="21" customHeight="1"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8:32" ht="21" customHeight="1">
      <c r="R51" s="11" t="s">
        <v>59</v>
      </c>
      <c r="S51" s="5" t="s">
        <v>2</v>
      </c>
      <c r="T51" s="5" t="s">
        <v>3</v>
      </c>
      <c r="U51" s="5" t="s">
        <v>4</v>
      </c>
      <c r="V51" s="5" t="s">
        <v>5</v>
      </c>
      <c r="W51" s="5" t="s">
        <v>6</v>
      </c>
      <c r="X51" s="5" t="s">
        <v>7</v>
      </c>
      <c r="Y51" s="5" t="s">
        <v>8</v>
      </c>
      <c r="Z51" s="5" t="s">
        <v>9</v>
      </c>
      <c r="AA51" s="5" t="s">
        <v>10</v>
      </c>
      <c r="AB51" s="5" t="s">
        <v>11</v>
      </c>
      <c r="AC51" s="5" t="s">
        <v>12</v>
      </c>
      <c r="AD51" s="5" t="s">
        <v>13</v>
      </c>
      <c r="AE51" s="5" t="s">
        <v>14</v>
      </c>
      <c r="AF51" s="5" t="s">
        <v>15</v>
      </c>
    </row>
    <row r="52" spans="18:32" ht="21" customHeight="1">
      <c r="R52" s="38" t="s">
        <v>85</v>
      </c>
      <c r="S52" s="8" t="s">
        <v>17</v>
      </c>
      <c r="T52" s="3">
        <v>429</v>
      </c>
      <c r="U52" s="3">
        <v>34</v>
      </c>
      <c r="V52" s="3">
        <v>28</v>
      </c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8:32" ht="21" customHeight="1">
      <c r="R53" s="38" t="s">
        <v>85</v>
      </c>
      <c r="S53" s="8" t="s">
        <v>18</v>
      </c>
      <c r="T53" s="3">
        <v>532</v>
      </c>
      <c r="U53" s="3">
        <v>27</v>
      </c>
      <c r="V53" s="3">
        <v>35</v>
      </c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8:32" ht="21" customHeight="1">
      <c r="R54" s="38" t="s">
        <v>85</v>
      </c>
      <c r="S54" s="8" t="s">
        <v>19</v>
      </c>
      <c r="T54" s="3">
        <v>788</v>
      </c>
      <c r="U54" s="3">
        <v>65</v>
      </c>
      <c r="V54" s="3">
        <v>65</v>
      </c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8:32" ht="21" customHeight="1">
      <c r="R55" s="38" t="s">
        <v>85</v>
      </c>
      <c r="S55" s="8" t="s">
        <v>20</v>
      </c>
      <c r="T55" s="3">
        <v>123</v>
      </c>
      <c r="U55" s="3">
        <v>5</v>
      </c>
      <c r="V55" s="3">
        <v>10</v>
      </c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8:32" ht="21" customHeight="1">
      <c r="R56" s="38" t="s">
        <v>85</v>
      </c>
      <c r="S56" s="8" t="s">
        <v>23</v>
      </c>
      <c r="T56" s="3">
        <v>24</v>
      </c>
      <c r="U56" s="3">
        <v>0</v>
      </c>
      <c r="V56" s="3">
        <v>0</v>
      </c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8:32" ht="21" customHeight="1">
      <c r="R57" s="38" t="s">
        <v>85</v>
      </c>
      <c r="S57" s="8" t="s">
        <v>24</v>
      </c>
      <c r="T57" s="3">
        <v>627</v>
      </c>
      <c r="U57" s="3">
        <v>46</v>
      </c>
      <c r="V57" s="3">
        <v>44</v>
      </c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8:32" ht="21" customHeight="1">
      <c r="R58" s="38" t="s">
        <v>85</v>
      </c>
      <c r="S58" s="8" t="s">
        <v>25</v>
      </c>
      <c r="T58" s="3">
        <v>2074</v>
      </c>
      <c r="U58" s="3">
        <v>195</v>
      </c>
      <c r="V58" s="3">
        <v>179</v>
      </c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8:32" ht="21" customHeight="1">
      <c r="R59" s="38" t="s">
        <v>85</v>
      </c>
      <c r="S59" s="8" t="s">
        <v>30</v>
      </c>
      <c r="T59" s="3">
        <v>192</v>
      </c>
      <c r="U59" s="3">
        <v>11</v>
      </c>
      <c r="V59" s="3">
        <v>12</v>
      </c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8:32" ht="21" customHeight="1">
      <c r="R60" s="38" t="s">
        <v>85</v>
      </c>
      <c r="S60" s="8" t="s">
        <v>31</v>
      </c>
      <c r="T60" s="3">
        <v>631</v>
      </c>
      <c r="U60" s="3">
        <v>2</v>
      </c>
      <c r="V60" s="3">
        <v>15</v>
      </c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8:32" ht="21" customHeight="1">
      <c r="R61" s="38" t="s">
        <v>85</v>
      </c>
      <c r="S61" s="8" t="s">
        <v>61</v>
      </c>
      <c r="T61" s="3">
        <v>697</v>
      </c>
      <c r="U61" s="3">
        <v>13</v>
      </c>
      <c r="V61" s="3">
        <v>20</v>
      </c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8:32" ht="21" customHeight="1">
      <c r="R62" s="38" t="s">
        <v>85</v>
      </c>
      <c r="S62" s="8" t="s">
        <v>33</v>
      </c>
      <c r="T62" s="3">
        <v>99</v>
      </c>
      <c r="U62" s="3">
        <v>14</v>
      </c>
      <c r="V62" s="3">
        <v>2</v>
      </c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8:32" ht="21" customHeight="1">
      <c r="R63" s="38" t="s">
        <v>85</v>
      </c>
      <c r="S63" s="44" t="s">
        <v>35</v>
      </c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</row>
    <row r="64" spans="18:32" ht="21" customHeight="1">
      <c r="R64" s="38" t="s">
        <v>85</v>
      </c>
      <c r="S64" s="44" t="s">
        <v>36</v>
      </c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</row>
    <row r="65" spans="18:32" ht="21" customHeight="1">
      <c r="R65" s="38" t="s">
        <v>85</v>
      </c>
      <c r="S65" s="8" t="s">
        <v>37</v>
      </c>
      <c r="T65" s="3">
        <v>25</v>
      </c>
      <c r="U65" s="3">
        <v>0</v>
      </c>
      <c r="V65" s="3">
        <v>1</v>
      </c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8:32" ht="21" customHeight="1"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8:32" ht="21" customHeight="1">
      <c r="R67" s="11" t="s">
        <v>59</v>
      </c>
      <c r="S67" s="5" t="s">
        <v>2</v>
      </c>
      <c r="T67" s="5" t="s">
        <v>3</v>
      </c>
      <c r="U67" s="5" t="s">
        <v>4</v>
      </c>
      <c r="V67" s="5" t="s">
        <v>5</v>
      </c>
      <c r="W67" s="5" t="s">
        <v>6</v>
      </c>
      <c r="X67" s="5" t="s">
        <v>7</v>
      </c>
      <c r="Y67" s="5" t="s">
        <v>8</v>
      </c>
      <c r="Z67" s="5" t="s">
        <v>9</v>
      </c>
      <c r="AA67" s="5" t="s">
        <v>10</v>
      </c>
      <c r="AB67" s="5" t="s">
        <v>11</v>
      </c>
      <c r="AC67" s="5" t="s">
        <v>12</v>
      </c>
      <c r="AD67" s="5" t="s">
        <v>13</v>
      </c>
      <c r="AE67" s="5" t="s">
        <v>14</v>
      </c>
      <c r="AF67" s="5" t="s">
        <v>15</v>
      </c>
    </row>
    <row r="68" spans="18:32" ht="21" customHeight="1">
      <c r="R68" s="38" t="s">
        <v>86</v>
      </c>
      <c r="S68" s="8" t="s">
        <v>17</v>
      </c>
      <c r="T68" s="3">
        <v>599</v>
      </c>
      <c r="U68" s="3">
        <v>30</v>
      </c>
      <c r="V68" s="3">
        <v>9</v>
      </c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8:32" ht="21" customHeight="1">
      <c r="R69" s="38" t="s">
        <v>86</v>
      </c>
      <c r="S69" s="8" t="s">
        <v>18</v>
      </c>
      <c r="T69" s="3">
        <v>26</v>
      </c>
      <c r="U69" s="3">
        <v>0</v>
      </c>
      <c r="V69" s="3">
        <v>0</v>
      </c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8:32" ht="21" customHeight="1">
      <c r="R70" s="38" t="s">
        <v>86</v>
      </c>
      <c r="S70" s="8" t="s">
        <v>19</v>
      </c>
      <c r="T70" s="3">
        <v>222</v>
      </c>
      <c r="U70" s="3">
        <v>12</v>
      </c>
      <c r="V70" s="3">
        <v>17</v>
      </c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8:32" ht="21" customHeight="1">
      <c r="R71" s="38" t="s">
        <v>86</v>
      </c>
      <c r="S71" s="8" t="s">
        <v>20</v>
      </c>
      <c r="T71" s="3">
        <v>150</v>
      </c>
      <c r="U71" s="3">
        <v>12</v>
      </c>
      <c r="V71" s="3">
        <v>6</v>
      </c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8:32" ht="21" customHeight="1">
      <c r="R72" s="38" t="s">
        <v>86</v>
      </c>
      <c r="S72" s="8" t="s">
        <v>23</v>
      </c>
      <c r="T72" s="3">
        <v>20</v>
      </c>
      <c r="U72" s="3">
        <v>0</v>
      </c>
      <c r="V72" s="3">
        <v>0</v>
      </c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8:32" ht="21" customHeight="1">
      <c r="R73" s="38" t="s">
        <v>86</v>
      </c>
      <c r="S73" s="8" t="s">
        <v>24</v>
      </c>
      <c r="T73" s="3">
        <v>31</v>
      </c>
      <c r="U73" s="3">
        <v>1</v>
      </c>
      <c r="V73" s="3">
        <v>1</v>
      </c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8:32" ht="21" customHeight="1">
      <c r="R74" s="38" t="s">
        <v>86</v>
      </c>
      <c r="S74" s="8" t="s">
        <v>25</v>
      </c>
      <c r="T74" s="3">
        <v>344</v>
      </c>
      <c r="U74" s="3">
        <v>34</v>
      </c>
      <c r="V74" s="3">
        <v>23</v>
      </c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8:32" ht="21" customHeight="1">
      <c r="R75" s="38" t="s">
        <v>86</v>
      </c>
      <c r="S75" s="8" t="s">
        <v>30</v>
      </c>
      <c r="T75" s="3">
        <v>11</v>
      </c>
      <c r="U75" s="3">
        <v>1</v>
      </c>
      <c r="V75" s="3">
        <v>0</v>
      </c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8:32" ht="21" customHeight="1">
      <c r="R76" s="38" t="s">
        <v>86</v>
      </c>
      <c r="S76" s="8" t="s">
        <v>31</v>
      </c>
      <c r="T76" s="3">
        <v>104</v>
      </c>
      <c r="U76" s="3">
        <v>8</v>
      </c>
      <c r="V76" s="3">
        <v>4</v>
      </c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8:32" ht="21" customHeight="1">
      <c r="R77" s="38" t="s">
        <v>86</v>
      </c>
      <c r="S77" s="8" t="s">
        <v>61</v>
      </c>
      <c r="T77" s="3">
        <v>85</v>
      </c>
      <c r="U77" s="3">
        <v>5</v>
      </c>
      <c r="V77" s="3">
        <v>8</v>
      </c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8:32" ht="21" customHeight="1">
      <c r="R78" s="38" t="s">
        <v>86</v>
      </c>
      <c r="S78" s="8" t="s">
        <v>33</v>
      </c>
      <c r="T78" s="3">
        <v>1134</v>
      </c>
      <c r="U78" s="3">
        <v>55</v>
      </c>
      <c r="V78" s="3">
        <v>44</v>
      </c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8:32" ht="21" customHeight="1">
      <c r="R79" s="38" t="s">
        <v>86</v>
      </c>
      <c r="S79" s="44" t="s">
        <v>35</v>
      </c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</row>
    <row r="80" spans="18:32" ht="21" customHeight="1">
      <c r="R80" s="38" t="s">
        <v>86</v>
      </c>
      <c r="S80" s="44" t="s">
        <v>36</v>
      </c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</row>
    <row r="81" spans="18:32" ht="21" customHeight="1">
      <c r="R81" s="38" t="s">
        <v>86</v>
      </c>
      <c r="S81" s="8" t="s">
        <v>37</v>
      </c>
      <c r="T81" s="3">
        <v>15</v>
      </c>
      <c r="U81" s="3">
        <v>1</v>
      </c>
      <c r="V81" s="3">
        <v>-1</v>
      </c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8:32" ht="21" customHeight="1"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8:32" ht="21" customHeight="1">
      <c r="R83" s="11" t="s">
        <v>59</v>
      </c>
      <c r="S83" s="5" t="s">
        <v>2</v>
      </c>
      <c r="T83" s="5" t="s">
        <v>3</v>
      </c>
      <c r="U83" s="5" t="s">
        <v>4</v>
      </c>
      <c r="V83" s="5" t="s">
        <v>5</v>
      </c>
      <c r="W83" s="5" t="s">
        <v>6</v>
      </c>
      <c r="X83" s="5" t="s">
        <v>7</v>
      </c>
      <c r="Y83" s="5" t="s">
        <v>8</v>
      </c>
      <c r="Z83" s="5" t="s">
        <v>9</v>
      </c>
      <c r="AA83" s="5" t="s">
        <v>10</v>
      </c>
      <c r="AB83" s="5" t="s">
        <v>11</v>
      </c>
      <c r="AC83" s="5" t="s">
        <v>12</v>
      </c>
      <c r="AD83" s="5" t="s">
        <v>13</v>
      </c>
      <c r="AE83" s="5" t="s">
        <v>14</v>
      </c>
      <c r="AF83" s="5" t="s">
        <v>15</v>
      </c>
    </row>
    <row r="84" spans="18:32" ht="21" customHeight="1">
      <c r="R84" s="38" t="s">
        <v>87</v>
      </c>
      <c r="S84" s="8" t="s">
        <v>17</v>
      </c>
      <c r="T84" s="3">
        <v>223</v>
      </c>
      <c r="U84" s="3">
        <v>23</v>
      </c>
      <c r="V84" s="3">
        <v>8</v>
      </c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8:32" ht="21" customHeight="1">
      <c r="R85" s="38" t="s">
        <v>87</v>
      </c>
      <c r="S85" s="8" t="s">
        <v>18</v>
      </c>
      <c r="T85" s="3">
        <v>46</v>
      </c>
      <c r="U85" s="3">
        <v>8</v>
      </c>
      <c r="V85" s="3">
        <v>12</v>
      </c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8:32" ht="21" customHeight="1">
      <c r="R86" s="38" t="s">
        <v>87</v>
      </c>
      <c r="S86" s="8" t="s">
        <v>19</v>
      </c>
      <c r="T86" s="3">
        <v>351</v>
      </c>
      <c r="U86" s="3">
        <v>32</v>
      </c>
      <c r="V86" s="3">
        <v>88</v>
      </c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8:32" ht="21" customHeight="1">
      <c r="R87" s="38" t="s">
        <v>87</v>
      </c>
      <c r="S87" s="8" t="s">
        <v>20</v>
      </c>
      <c r="T87" s="3">
        <v>76</v>
      </c>
      <c r="U87" s="3">
        <v>8</v>
      </c>
      <c r="V87" s="3">
        <v>9</v>
      </c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8:32" ht="21" customHeight="1">
      <c r="R88" s="38" t="s">
        <v>87</v>
      </c>
      <c r="S88" s="8" t="s">
        <v>23</v>
      </c>
      <c r="T88" s="3">
        <v>133</v>
      </c>
      <c r="U88" s="3">
        <v>31</v>
      </c>
      <c r="V88" s="3">
        <v>14</v>
      </c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8:32" ht="21" customHeight="1">
      <c r="R89" s="38" t="s">
        <v>87</v>
      </c>
      <c r="S89" s="8" t="s">
        <v>24</v>
      </c>
      <c r="T89" s="3">
        <v>143</v>
      </c>
      <c r="U89" s="3">
        <v>21</v>
      </c>
      <c r="V89" s="3">
        <v>10</v>
      </c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8:32" ht="21" customHeight="1">
      <c r="R90" s="38" t="s">
        <v>87</v>
      </c>
      <c r="S90" s="8" t="s">
        <v>25</v>
      </c>
      <c r="T90" s="3">
        <v>854</v>
      </c>
      <c r="U90" s="3">
        <v>69</v>
      </c>
      <c r="V90" s="3">
        <v>160</v>
      </c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8:32" ht="21" customHeight="1">
      <c r="R91" s="38" t="s">
        <v>87</v>
      </c>
      <c r="S91" s="8" t="s">
        <v>30</v>
      </c>
      <c r="T91" s="3">
        <v>99</v>
      </c>
      <c r="U91" s="3">
        <v>9</v>
      </c>
      <c r="V91" s="3">
        <v>8</v>
      </c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8:32" ht="21" customHeight="1">
      <c r="R92" s="38" t="s">
        <v>87</v>
      </c>
      <c r="S92" s="8" t="s">
        <v>31</v>
      </c>
      <c r="T92" s="3">
        <v>146</v>
      </c>
      <c r="U92" s="3">
        <v>8</v>
      </c>
      <c r="V92" s="3">
        <v>8</v>
      </c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8:32" ht="21" customHeight="1">
      <c r="R93" s="38" t="s">
        <v>87</v>
      </c>
      <c r="S93" s="8" t="s">
        <v>61</v>
      </c>
      <c r="T93" s="3">
        <v>375</v>
      </c>
      <c r="U93" s="3">
        <v>25</v>
      </c>
      <c r="V93" s="3">
        <v>8</v>
      </c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8:32" ht="21" customHeight="1">
      <c r="R94" s="38" t="s">
        <v>87</v>
      </c>
      <c r="S94" s="8" t="s">
        <v>33</v>
      </c>
      <c r="T94" s="3">
        <v>266</v>
      </c>
      <c r="U94" s="3">
        <v>20</v>
      </c>
      <c r="V94" s="3">
        <v>37</v>
      </c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8:32" ht="21" customHeight="1">
      <c r="R95" s="38" t="s">
        <v>87</v>
      </c>
      <c r="S95" s="44" t="s">
        <v>35</v>
      </c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</row>
    <row r="96" spans="18:32" ht="21" customHeight="1">
      <c r="R96" s="38" t="s">
        <v>87</v>
      </c>
      <c r="S96" s="44" t="s">
        <v>36</v>
      </c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</row>
    <row r="97" spans="18:32" ht="21" customHeight="1">
      <c r="R97" s="38" t="s">
        <v>87</v>
      </c>
      <c r="S97" s="8" t="s">
        <v>37</v>
      </c>
      <c r="T97" s="3">
        <v>1</v>
      </c>
      <c r="U97" s="3">
        <v>0</v>
      </c>
      <c r="V97" s="3">
        <v>0</v>
      </c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8:32" ht="21" customHeight="1"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</sheetData>
  <mergeCells count="6">
    <mergeCell ref="B9:B11"/>
    <mergeCell ref="B16:B19"/>
    <mergeCell ref="B12:C12"/>
    <mergeCell ref="B8:C8"/>
    <mergeCell ref="B21:B23"/>
    <mergeCell ref="B4:B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F130"/>
  <sheetViews>
    <sheetView showGridLines="0" topLeftCell="I1" zoomScale="90" zoomScaleNormal="90" workbookViewId="0">
      <selection activeCell="R1" sqref="R1:R1048576"/>
    </sheetView>
  </sheetViews>
  <sheetFormatPr defaultRowHeight="21" customHeight="1"/>
  <cols>
    <col min="1" max="1" width="2.25" style="43" customWidth="1"/>
    <col min="2" max="2" width="17.25" style="43" customWidth="1"/>
    <col min="3" max="3" width="23.08203125" style="43" bestFit="1" customWidth="1"/>
    <col min="4" max="16" width="9" style="1" customWidth="1"/>
    <col min="18" max="18" width="16.25" style="43" customWidth="1"/>
    <col min="19" max="19" width="23.08203125" style="43" bestFit="1" customWidth="1"/>
    <col min="20" max="32" width="18.5" style="43" customWidth="1"/>
  </cols>
  <sheetData>
    <row r="2" spans="2:32" ht="21" customHeight="1">
      <c r="B2" t="s">
        <v>56</v>
      </c>
      <c r="P2" s="7" t="s">
        <v>57</v>
      </c>
      <c r="R2" t="s">
        <v>104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2:32" ht="21" customHeight="1">
      <c r="B3" s="9"/>
      <c r="C3" s="4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R3" s="11" t="s">
        <v>59</v>
      </c>
      <c r="S3" s="5" t="s">
        <v>2</v>
      </c>
      <c r="T3" s="5" t="s">
        <v>3</v>
      </c>
      <c r="U3" s="5" t="s">
        <v>4</v>
      </c>
      <c r="V3" s="5" t="s">
        <v>5</v>
      </c>
      <c r="W3" s="5" t="s">
        <v>6</v>
      </c>
      <c r="X3" s="5" t="s">
        <v>7</v>
      </c>
      <c r="Y3" s="5" t="s">
        <v>8</v>
      </c>
      <c r="Z3" s="5" t="s">
        <v>9</v>
      </c>
      <c r="AA3" s="5" t="s">
        <v>10</v>
      </c>
      <c r="AB3" s="5" t="s">
        <v>11</v>
      </c>
      <c r="AC3" s="5" t="s">
        <v>12</v>
      </c>
      <c r="AD3" s="5" t="s">
        <v>13</v>
      </c>
      <c r="AE3" s="5" t="s">
        <v>14</v>
      </c>
      <c r="AF3" s="5" t="s">
        <v>15</v>
      </c>
    </row>
    <row r="4" spans="2:32" ht="21" customHeight="1">
      <c r="B4" s="52" t="s">
        <v>16</v>
      </c>
      <c r="C4" s="8" t="s">
        <v>17</v>
      </c>
      <c r="D4" s="13">
        <f>SUMIF($S:$S,$C4,T:T)</f>
        <v>3053</v>
      </c>
      <c r="E4" s="13">
        <f>SUMIF($S:$S,$C4,U:U)</f>
        <v>231</v>
      </c>
      <c r="F4" s="13">
        <f>SUMIF($S:$S,$C4,V:V)</f>
        <v>151</v>
      </c>
      <c r="G4" s="13">
        <f>SUMIF($S:$S,$C4,W:W)</f>
        <v>0</v>
      </c>
      <c r="H4" s="13">
        <f>SUMIF($S:$S,$C4,X:X)</f>
        <v>0</v>
      </c>
      <c r="I4" s="13">
        <f>SUMIF($S:$S,$C4,Y:Y)</f>
        <v>0</v>
      </c>
      <c r="J4" s="13">
        <f>SUMIF($S:$S,$C4,Z:Z)</f>
        <v>0</v>
      </c>
      <c r="K4" s="13">
        <f>SUMIF($S:$S,$C4,AA:AA)</f>
        <v>0</v>
      </c>
      <c r="L4" s="13">
        <f>SUMIF($S:$S,$C4,AB:AB)</f>
        <v>0</v>
      </c>
      <c r="M4" s="13">
        <f>SUMIF($S:$S,$C4,AC:AC)</f>
        <v>0</v>
      </c>
      <c r="N4" s="13">
        <f>SUMIF($S:$S,$C4,AD:AD)</f>
        <v>0</v>
      </c>
      <c r="O4" s="13">
        <f>SUMIF($S:$S,$C4,AE:AE)</f>
        <v>0</v>
      </c>
      <c r="P4" s="13">
        <f>SUMIF($S:$S,$C4,AF:AF)</f>
        <v>0</v>
      </c>
      <c r="R4" s="38" t="s">
        <v>88</v>
      </c>
      <c r="S4" s="8" t="s">
        <v>17</v>
      </c>
      <c r="T4" s="14">
        <v>360</v>
      </c>
      <c r="U4" s="14">
        <v>29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2:32" ht="21" customHeight="1">
      <c r="B5" s="53"/>
      <c r="C5" s="8" t="s">
        <v>18</v>
      </c>
      <c r="D5" s="13">
        <f>SUMIF($S:$S,$C5,T:T)</f>
        <v>1082</v>
      </c>
      <c r="E5" s="13">
        <f>SUMIF($S:$S,$C5,U:U)</f>
        <v>74</v>
      </c>
      <c r="F5" s="13">
        <f>SUMIF($S:$S,$C5,V:V)</f>
        <v>40</v>
      </c>
      <c r="G5" s="13">
        <f>SUMIF($S:$S,$C5,W:W)</f>
        <v>0</v>
      </c>
      <c r="H5" s="13">
        <f>SUMIF($S:$S,$C5,X:X)</f>
        <v>0</v>
      </c>
      <c r="I5" s="13">
        <f>SUMIF($S:$S,$C5,Y:Y)</f>
        <v>0</v>
      </c>
      <c r="J5" s="13">
        <f>SUMIF($S:$S,$C5,Z:Z)</f>
        <v>0</v>
      </c>
      <c r="K5" s="13">
        <f>SUMIF($S:$S,$C5,AA:AA)</f>
        <v>0</v>
      </c>
      <c r="L5" s="13">
        <f>SUMIF($S:$S,$C5,AB:AB)</f>
        <v>0</v>
      </c>
      <c r="M5" s="13">
        <f>SUMIF($S:$S,$C5,AC:AC)</f>
        <v>0</v>
      </c>
      <c r="N5" s="13">
        <f>SUMIF($S:$S,$C5,AD:AD)</f>
        <v>0</v>
      </c>
      <c r="O5" s="13">
        <f>SUMIF($S:$S,$C5,AE:AE)</f>
        <v>0</v>
      </c>
      <c r="P5" s="13">
        <f>SUMIF($S:$S,$C5,AF:AF)</f>
        <v>0</v>
      </c>
      <c r="R5" s="38" t="s">
        <v>88</v>
      </c>
      <c r="S5" s="8" t="s">
        <v>18</v>
      </c>
      <c r="T5" s="14">
        <v>90</v>
      </c>
      <c r="U5" s="14">
        <v>3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2:32" ht="21" customHeight="1">
      <c r="B6" s="53"/>
      <c r="C6" s="8" t="s">
        <v>19</v>
      </c>
      <c r="D6" s="13">
        <f>SUMIF($S:$S,$C6,T:T)</f>
        <v>4169</v>
      </c>
      <c r="E6" s="13">
        <f>SUMIF($S:$S,$C6,U:U)</f>
        <v>330</v>
      </c>
      <c r="F6" s="13">
        <f>SUMIF($S:$S,$C6,V:V)</f>
        <v>336</v>
      </c>
      <c r="G6" s="13">
        <f>SUMIF($S:$S,$C6,W:W)</f>
        <v>0</v>
      </c>
      <c r="H6" s="13">
        <f>SUMIF($S:$S,$C6,X:X)</f>
        <v>0</v>
      </c>
      <c r="I6" s="13">
        <f>SUMIF($S:$S,$C6,Y:Y)</f>
        <v>0</v>
      </c>
      <c r="J6" s="13">
        <f>SUMIF($S:$S,$C6,Z:Z)</f>
        <v>0</v>
      </c>
      <c r="K6" s="13">
        <f>SUMIF($S:$S,$C6,AA:AA)</f>
        <v>0</v>
      </c>
      <c r="L6" s="13">
        <f>SUMIF($S:$S,$C6,AB:AB)</f>
        <v>0</v>
      </c>
      <c r="M6" s="13">
        <f>SUMIF($S:$S,$C6,AC:AC)</f>
        <v>0</v>
      </c>
      <c r="N6" s="13">
        <f>SUMIF($S:$S,$C6,AD:AD)</f>
        <v>0</v>
      </c>
      <c r="O6" s="13">
        <f>SUMIF($S:$S,$C6,AE:AE)</f>
        <v>0</v>
      </c>
      <c r="P6" s="13">
        <f>SUMIF($S:$S,$C6,AF:AF)</f>
        <v>0</v>
      </c>
      <c r="R6" s="38" t="s">
        <v>88</v>
      </c>
      <c r="S6" s="8" t="s">
        <v>19</v>
      </c>
      <c r="T6" s="14">
        <v>60</v>
      </c>
      <c r="U6" s="14">
        <v>0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2:32" ht="21" customHeight="1">
      <c r="B7" s="54"/>
      <c r="C7" s="8" t="s">
        <v>20</v>
      </c>
      <c r="D7" s="13">
        <f>SUMIF($S:$S,$C7,T:T)</f>
        <v>3052</v>
      </c>
      <c r="E7" s="13">
        <f>SUMIF($S:$S,$C7,U:U)</f>
        <v>176</v>
      </c>
      <c r="F7" s="13">
        <f>SUMIF($S:$S,$C7,V:V)</f>
        <v>155</v>
      </c>
      <c r="G7" s="13">
        <f>SUMIF($S:$S,$C7,W:W)</f>
        <v>0</v>
      </c>
      <c r="H7" s="13">
        <f>SUMIF($S:$S,$C7,X:X)</f>
        <v>0</v>
      </c>
      <c r="I7" s="13">
        <f>SUMIF($S:$S,$C7,Y:Y)</f>
        <v>0</v>
      </c>
      <c r="J7" s="13">
        <f>SUMIF($S:$S,$C7,Z:Z)</f>
        <v>0</v>
      </c>
      <c r="K7" s="13">
        <f>SUMIF($S:$S,$C7,AA:AA)</f>
        <v>0</v>
      </c>
      <c r="L7" s="13">
        <f>SUMIF($S:$S,$C7,AB:AB)</f>
        <v>0</v>
      </c>
      <c r="M7" s="13">
        <f>SUMIF($S:$S,$C7,AC:AC)</f>
        <v>0</v>
      </c>
      <c r="N7" s="13">
        <f>SUMIF($S:$S,$C7,AD:AD)</f>
        <v>0</v>
      </c>
      <c r="O7" s="13">
        <f>SUMIF($S:$S,$C7,AE:AE)</f>
        <v>0</v>
      </c>
      <c r="P7" s="13">
        <f>SUMIF($S:$S,$C7,AF:AF)</f>
        <v>0</v>
      </c>
      <c r="R7" s="38" t="s">
        <v>88</v>
      </c>
      <c r="S7" s="8" t="s">
        <v>20</v>
      </c>
      <c r="T7" s="14">
        <v>300</v>
      </c>
      <c r="U7" s="14">
        <v>15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2:32" ht="21" customHeight="1">
      <c r="B8" s="65" t="s">
        <v>21</v>
      </c>
      <c r="C8" s="56"/>
      <c r="D8" s="12">
        <f t="shared" ref="D8:P8" si="0">SUM(D4:D7)</f>
        <v>11356</v>
      </c>
      <c r="E8" s="12">
        <f t="shared" si="0"/>
        <v>811</v>
      </c>
      <c r="F8" s="12">
        <f t="shared" si="0"/>
        <v>682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R8" s="38" t="s">
        <v>88</v>
      </c>
      <c r="S8" s="8" t="s">
        <v>23</v>
      </c>
      <c r="T8" s="14">
        <v>0</v>
      </c>
      <c r="U8" s="14">
        <v>0</v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2:32" ht="21" customHeight="1">
      <c r="B9" s="57" t="s">
        <v>22</v>
      </c>
      <c r="C9" s="2" t="s">
        <v>23</v>
      </c>
      <c r="D9" s="13">
        <f>SUMIF($S:$S,$C9,T:T)</f>
        <v>721</v>
      </c>
      <c r="E9" s="13">
        <f>SUMIF($S:$S,$C9,U:U)</f>
        <v>40</v>
      </c>
      <c r="F9" s="13">
        <f>SUMIF($S:$S,$C9,V:V)</f>
        <v>38</v>
      </c>
      <c r="G9" s="13">
        <f>SUMIF($S:$S,$C9,W:W)</f>
        <v>0</v>
      </c>
      <c r="H9" s="13">
        <f>SUMIF($S:$S,$C9,X:X)</f>
        <v>0</v>
      </c>
      <c r="I9" s="13">
        <f>SUMIF($S:$S,$C9,Y:Y)</f>
        <v>0</v>
      </c>
      <c r="J9" s="13">
        <f>SUMIF($S:$S,$C9,Z:Z)</f>
        <v>0</v>
      </c>
      <c r="K9" s="13">
        <f>SUMIF($S:$S,$C9,AA:AA)</f>
        <v>0</v>
      </c>
      <c r="L9" s="13">
        <f>SUMIF($S:$S,$C9,AB:AB)</f>
        <v>0</v>
      </c>
      <c r="M9" s="13">
        <f>SUMIF($S:$S,$C9,AC:AC)</f>
        <v>0</v>
      </c>
      <c r="N9" s="13">
        <f>SUMIF($S:$S,$C9,AD:AD)</f>
        <v>0</v>
      </c>
      <c r="O9" s="13">
        <f>SUMIF($S:$S,$C9,AE:AE)</f>
        <v>0</v>
      </c>
      <c r="P9" s="13">
        <f>SUMIF($S:$S,$C9,AF:AF)</f>
        <v>0</v>
      </c>
      <c r="R9" s="38" t="s">
        <v>88</v>
      </c>
      <c r="S9" s="8" t="s">
        <v>24</v>
      </c>
      <c r="T9" s="14">
        <v>40</v>
      </c>
      <c r="U9" s="14">
        <v>5</v>
      </c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2:32" ht="21" customHeight="1">
      <c r="B10" s="58"/>
      <c r="C10" s="2" t="s">
        <v>24</v>
      </c>
      <c r="D10" s="13">
        <f>SUMIF($S:$S,$C10,T:T)</f>
        <v>1246</v>
      </c>
      <c r="E10" s="13">
        <f>SUMIF($S:$S,$C10,U:U)</f>
        <v>75</v>
      </c>
      <c r="F10" s="13">
        <f>SUMIF($S:$S,$C10,V:V)</f>
        <v>104</v>
      </c>
      <c r="G10" s="13">
        <f>SUMIF($S:$S,$C10,W:W)</f>
        <v>0</v>
      </c>
      <c r="H10" s="13">
        <f>SUMIF($S:$S,$C10,X:X)</f>
        <v>0</v>
      </c>
      <c r="I10" s="13">
        <f>SUMIF($S:$S,$C10,Y:Y)</f>
        <v>0</v>
      </c>
      <c r="J10" s="13">
        <f>SUMIF($S:$S,$C10,Z:Z)</f>
        <v>0</v>
      </c>
      <c r="K10" s="13">
        <f>SUMIF($S:$S,$C10,AA:AA)</f>
        <v>0</v>
      </c>
      <c r="L10" s="13">
        <f>SUMIF($S:$S,$C10,AB:AB)</f>
        <v>0</v>
      </c>
      <c r="M10" s="13">
        <f>SUMIF($S:$S,$C10,AC:AC)</f>
        <v>0</v>
      </c>
      <c r="N10" s="13">
        <f>SUMIF($S:$S,$C10,AD:AD)</f>
        <v>0</v>
      </c>
      <c r="O10" s="13">
        <f>SUMIF($S:$S,$C10,AE:AE)</f>
        <v>0</v>
      </c>
      <c r="P10" s="13">
        <f>SUMIF($S:$S,$C10,AF:AF)</f>
        <v>0</v>
      </c>
      <c r="R10" s="38" t="s">
        <v>88</v>
      </c>
      <c r="S10" s="8" t="s">
        <v>25</v>
      </c>
      <c r="T10" s="14">
        <v>170</v>
      </c>
      <c r="U10" s="14">
        <v>15</v>
      </c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2:32" ht="21" customHeight="1">
      <c r="B11" s="59"/>
      <c r="C11" s="2" t="s">
        <v>25</v>
      </c>
      <c r="D11" s="13">
        <f>SUMIF($S:$S,$C11,T:T)</f>
        <v>4624</v>
      </c>
      <c r="E11" s="13">
        <f>SUMIF($S:$S,$C11,U:U)</f>
        <v>373</v>
      </c>
      <c r="F11" s="13">
        <f>SUMIF($S:$S,$C11,V:V)</f>
        <v>383</v>
      </c>
      <c r="G11" s="13">
        <f>SUMIF($S:$S,$C11,W:W)</f>
        <v>0</v>
      </c>
      <c r="H11" s="13">
        <f>SUMIF($S:$S,$C11,X:X)</f>
        <v>0</v>
      </c>
      <c r="I11" s="13">
        <f>SUMIF($S:$S,$C11,Y:Y)</f>
        <v>0</v>
      </c>
      <c r="J11" s="13">
        <f>SUMIF($S:$S,$C11,Z:Z)</f>
        <v>0</v>
      </c>
      <c r="K11" s="13">
        <f>SUMIF($S:$S,$C11,AA:AA)</f>
        <v>0</v>
      </c>
      <c r="L11" s="13">
        <f>SUMIF($S:$S,$C11,AB:AB)</f>
        <v>0</v>
      </c>
      <c r="M11" s="13">
        <f>SUMIF($S:$S,$C11,AC:AC)</f>
        <v>0</v>
      </c>
      <c r="N11" s="13">
        <f>SUMIF($S:$S,$C11,AD:AD)</f>
        <v>0</v>
      </c>
      <c r="O11" s="13">
        <f>SUMIF($S:$S,$C11,AE:AE)</f>
        <v>0</v>
      </c>
      <c r="P11" s="13">
        <f>SUMIF($S:$S,$C11,AF:AF)</f>
        <v>0</v>
      </c>
      <c r="R11" s="38" t="s">
        <v>88</v>
      </c>
      <c r="S11" s="8" t="s">
        <v>30</v>
      </c>
      <c r="T11" s="14">
        <v>220</v>
      </c>
      <c r="U11" s="14">
        <v>13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2:32" ht="21" customHeight="1">
      <c r="B12" s="66" t="s">
        <v>21</v>
      </c>
      <c r="C12" s="51"/>
      <c r="D12" s="12">
        <f t="shared" ref="D12:P12" si="1">SUM(D9:D11)</f>
        <v>6591</v>
      </c>
      <c r="E12" s="12">
        <f t="shared" si="1"/>
        <v>488</v>
      </c>
      <c r="F12" s="12">
        <f t="shared" si="1"/>
        <v>525</v>
      </c>
      <c r="G12" s="12">
        <f t="shared" si="1"/>
        <v>0</v>
      </c>
      <c r="H12" s="12">
        <f t="shared" si="1"/>
        <v>0</v>
      </c>
      <c r="I12" s="12">
        <f t="shared" si="1"/>
        <v>0</v>
      </c>
      <c r="J12" s="12">
        <f t="shared" si="1"/>
        <v>0</v>
      </c>
      <c r="K12" s="12">
        <f t="shared" si="1"/>
        <v>0</v>
      </c>
      <c r="L12" s="12">
        <f t="shared" si="1"/>
        <v>0</v>
      </c>
      <c r="M12" s="12">
        <f t="shared" si="1"/>
        <v>0</v>
      </c>
      <c r="N12" s="12">
        <f t="shared" si="1"/>
        <v>0</v>
      </c>
      <c r="O12" s="12">
        <f t="shared" si="1"/>
        <v>0</v>
      </c>
      <c r="P12" s="12">
        <f t="shared" si="1"/>
        <v>0</v>
      </c>
      <c r="R12" s="38" t="s">
        <v>88</v>
      </c>
      <c r="S12" s="8" t="s">
        <v>31</v>
      </c>
      <c r="T12" s="14">
        <v>3228</v>
      </c>
      <c r="U12" s="14">
        <v>35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2:32" ht="21" customHeight="1">
      <c r="R13" s="38" t="s">
        <v>88</v>
      </c>
      <c r="S13" s="8" t="s">
        <v>61</v>
      </c>
      <c r="T13" s="14">
        <v>150</v>
      </c>
      <c r="U13" s="14">
        <v>0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2:32" ht="21" customHeight="1">
      <c r="B14" t="s">
        <v>62</v>
      </c>
      <c r="P14" s="7" t="s">
        <v>57</v>
      </c>
      <c r="R14" s="38" t="s">
        <v>88</v>
      </c>
      <c r="S14" s="8" t="s">
        <v>33</v>
      </c>
      <c r="T14" s="14">
        <v>1813</v>
      </c>
      <c r="U14" s="14">
        <v>144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2:32" ht="21" customHeight="1">
      <c r="B15" s="9"/>
      <c r="C15" s="4" t="s">
        <v>2</v>
      </c>
      <c r="D15" s="5" t="s">
        <v>3</v>
      </c>
      <c r="E15" s="5" t="s">
        <v>4</v>
      </c>
      <c r="F15" s="5" t="s">
        <v>5</v>
      </c>
      <c r="G15" s="5" t="s">
        <v>6</v>
      </c>
      <c r="H15" s="5" t="s">
        <v>7</v>
      </c>
      <c r="I15" s="5" t="s">
        <v>8</v>
      </c>
      <c r="J15" s="5" t="s">
        <v>9</v>
      </c>
      <c r="K15" s="5" t="s">
        <v>10</v>
      </c>
      <c r="L15" s="5" t="s">
        <v>11</v>
      </c>
      <c r="M15" s="5" t="s">
        <v>12</v>
      </c>
      <c r="N15" s="5" t="s">
        <v>13</v>
      </c>
      <c r="O15" s="5" t="s">
        <v>14</v>
      </c>
      <c r="P15" s="5" t="s">
        <v>15</v>
      </c>
      <c r="R15" s="38" t="s">
        <v>88</v>
      </c>
      <c r="S15" s="44" t="s">
        <v>35</v>
      </c>
      <c r="T15" s="14"/>
      <c r="U15" s="14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</row>
    <row r="16" spans="2:32" ht="21" customHeight="1">
      <c r="B16" s="62" t="s">
        <v>29</v>
      </c>
      <c r="C16" s="8" t="s">
        <v>30</v>
      </c>
      <c r="D16" s="13">
        <f>SUMIF($S:$S,$C16,T:T)</f>
        <v>3887</v>
      </c>
      <c r="E16" s="13">
        <f>SUMIF($S:$S,$C16,U:U)</f>
        <v>270</v>
      </c>
      <c r="F16" s="13">
        <f>SUMIF($S:$S,$C16,V:V)</f>
        <v>185</v>
      </c>
      <c r="G16" s="13">
        <f>SUMIF($S:$S,$C16,W:W)</f>
        <v>0</v>
      </c>
      <c r="H16" s="13">
        <f>SUMIF($S:$S,$C16,X:X)</f>
        <v>0</v>
      </c>
      <c r="I16" s="13">
        <f>SUMIF($S:$S,$C16,Y:Y)</f>
        <v>0</v>
      </c>
      <c r="J16" s="13">
        <f>SUMIF($S:$S,$C16,Z:Z)</f>
        <v>0</v>
      </c>
      <c r="K16" s="13">
        <f>SUMIF($S:$S,$C16,AA:AA)</f>
        <v>0</v>
      </c>
      <c r="L16" s="13">
        <f>SUMIF($S:$S,$C16,AB:AB)</f>
        <v>0</v>
      </c>
      <c r="M16" s="13">
        <f>SUMIF($S:$S,$C16,AC:AC)</f>
        <v>0</v>
      </c>
      <c r="N16" s="13">
        <f>SUMIF($S:$S,$C16,AD:AD)</f>
        <v>0</v>
      </c>
      <c r="O16" s="13">
        <f>SUMIF($S:$S,$C16,AE:AE)</f>
        <v>0</v>
      </c>
      <c r="P16" s="13">
        <f>SUMIF($S:$S,$C16,AF:AF)</f>
        <v>0</v>
      </c>
      <c r="R16" s="38" t="s">
        <v>88</v>
      </c>
      <c r="S16" s="44" t="s">
        <v>36</v>
      </c>
      <c r="T16" s="14"/>
      <c r="U16" s="14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</row>
    <row r="17" spans="2:32" ht="21" customHeight="1">
      <c r="B17" s="53"/>
      <c r="C17" s="8" t="s">
        <v>31</v>
      </c>
      <c r="D17" s="13">
        <f>SUMIF($S:$S,$C17,T:T)</f>
        <v>7348</v>
      </c>
      <c r="E17" s="13">
        <f>SUMIF($S:$S,$C17,U:U)</f>
        <v>172</v>
      </c>
      <c r="F17" s="13">
        <f>SUMIF($S:$S,$C17,V:V)</f>
        <v>284</v>
      </c>
      <c r="G17" s="13">
        <f>SUMIF($S:$S,$C17,W:W)</f>
        <v>0</v>
      </c>
      <c r="H17" s="13">
        <f>SUMIF($S:$S,$C17,X:X)</f>
        <v>0</v>
      </c>
      <c r="I17" s="13">
        <f>SUMIF($S:$S,$C17,Y:Y)</f>
        <v>0</v>
      </c>
      <c r="J17" s="13">
        <f>SUMIF($S:$S,$C17,Z:Z)</f>
        <v>0</v>
      </c>
      <c r="K17" s="13">
        <f>SUMIF($S:$S,$C17,AA:AA)</f>
        <v>0</v>
      </c>
      <c r="L17" s="13">
        <f>SUMIF($S:$S,$C17,AB:AB)</f>
        <v>0</v>
      </c>
      <c r="M17" s="13">
        <f>SUMIF($S:$S,$C17,AC:AC)</f>
        <v>0</v>
      </c>
      <c r="N17" s="13">
        <f>SUMIF($S:$S,$C17,AD:AD)</f>
        <v>0</v>
      </c>
      <c r="O17" s="13">
        <f>SUMIF($S:$S,$C17,AE:AE)</f>
        <v>0</v>
      </c>
      <c r="P17" s="13">
        <f>SUMIF($S:$S,$C17,AF:AF)</f>
        <v>0</v>
      </c>
      <c r="R17" s="38" t="s">
        <v>88</v>
      </c>
      <c r="S17" s="8" t="s">
        <v>37</v>
      </c>
      <c r="T17" s="14">
        <v>400</v>
      </c>
      <c r="U17" s="14">
        <v>15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2:32" ht="21" customHeight="1">
      <c r="B18" s="53"/>
      <c r="C18" s="8" t="s">
        <v>61</v>
      </c>
      <c r="D18" s="13">
        <f>SUMIF($S:$S,$C18,T:T)</f>
        <v>5459</v>
      </c>
      <c r="E18" s="13">
        <f>SUMIF($S:$S,$C18,U:U)</f>
        <v>283</v>
      </c>
      <c r="F18" s="13">
        <f>SUMIF($S:$S,$C18,V:V)</f>
        <v>286</v>
      </c>
      <c r="G18" s="13">
        <f>SUMIF($S:$S,$C18,W:W)</f>
        <v>0</v>
      </c>
      <c r="H18" s="13">
        <f>SUMIF($S:$S,$C18,X:X)</f>
        <v>0</v>
      </c>
      <c r="I18" s="13">
        <f>SUMIF($S:$S,$C18,Y:Y)</f>
        <v>0</v>
      </c>
      <c r="J18" s="13">
        <f>SUMIF($S:$S,$C18,Z:Z)</f>
        <v>0</v>
      </c>
      <c r="K18" s="13">
        <f>SUMIF($S:$S,$C18,AA:AA)</f>
        <v>0</v>
      </c>
      <c r="L18" s="13">
        <f>SUMIF($S:$S,$C18,AB:AB)</f>
        <v>0</v>
      </c>
      <c r="M18" s="13">
        <f>SUMIF($S:$S,$C18,AC:AC)</f>
        <v>0</v>
      </c>
      <c r="N18" s="13">
        <f>SUMIF($S:$S,$C18,AD:AD)</f>
        <v>0</v>
      </c>
      <c r="O18" s="13">
        <f>SUMIF($S:$S,$C18,AE:AE)</f>
        <v>0</v>
      </c>
      <c r="P18" s="13">
        <f>SUMIF($S:$S,$C18,AF:AF)</f>
        <v>0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2:32" ht="21" customHeight="1">
      <c r="B19" s="63"/>
      <c r="C19" s="8" t="s">
        <v>33</v>
      </c>
      <c r="D19" s="13">
        <f>SUMIF($S:$S,$C19,T:T)</f>
        <v>11246</v>
      </c>
      <c r="E19" s="13">
        <f>SUMIF($S:$S,$C19,U:U)</f>
        <v>853</v>
      </c>
      <c r="F19" s="13">
        <f>SUMIF($S:$S,$C19,V:V)</f>
        <v>646</v>
      </c>
      <c r="G19" s="13">
        <f>SUMIF($S:$S,$C19,W:W)</f>
        <v>0</v>
      </c>
      <c r="H19" s="13">
        <f>SUMIF($S:$S,$C19,X:X)</f>
        <v>0</v>
      </c>
      <c r="I19" s="13">
        <f>SUMIF($S:$S,$C19,Y:Y)</f>
        <v>0</v>
      </c>
      <c r="J19" s="13">
        <f>SUMIF($S:$S,$C19,Z:Z)</f>
        <v>0</v>
      </c>
      <c r="K19" s="13">
        <f>SUMIF($S:$S,$C19,AA:AA)</f>
        <v>0</v>
      </c>
      <c r="L19" s="13">
        <f>SUMIF($S:$S,$C19,AB:AB)</f>
        <v>0</v>
      </c>
      <c r="M19" s="13">
        <f>SUMIF($S:$S,$C19,AC:AC)</f>
        <v>0</v>
      </c>
      <c r="N19" s="13">
        <f>SUMIF($S:$S,$C19,AD:AD)</f>
        <v>0</v>
      </c>
      <c r="O19" s="13">
        <f>SUMIF($S:$S,$C19,AE:AE)</f>
        <v>0</v>
      </c>
      <c r="P19" s="13">
        <f>SUMIF($S:$S,$C19,AF:AF)</f>
        <v>0</v>
      </c>
      <c r="R19" s="11" t="s">
        <v>59</v>
      </c>
      <c r="S19" s="5" t="s">
        <v>2</v>
      </c>
      <c r="T19" s="5" t="s">
        <v>3</v>
      </c>
      <c r="U19" s="5" t="s">
        <v>4</v>
      </c>
      <c r="V19" s="5" t="s">
        <v>5</v>
      </c>
      <c r="W19" s="5" t="s">
        <v>6</v>
      </c>
      <c r="X19" s="5" t="s">
        <v>7</v>
      </c>
      <c r="Y19" s="5" t="s">
        <v>8</v>
      </c>
      <c r="Z19" s="5" t="s">
        <v>9</v>
      </c>
      <c r="AA19" s="5" t="s">
        <v>10</v>
      </c>
      <c r="AB19" s="5" t="s">
        <v>11</v>
      </c>
      <c r="AC19" s="5" t="s">
        <v>12</v>
      </c>
      <c r="AD19" s="5" t="s">
        <v>13</v>
      </c>
      <c r="AE19" s="5" t="s">
        <v>14</v>
      </c>
      <c r="AF19" s="5" t="s">
        <v>15</v>
      </c>
    </row>
    <row r="20" spans="2:32" ht="21" customHeight="1">
      <c r="B20" s="10"/>
      <c r="C20" s="6" t="s">
        <v>21</v>
      </c>
      <c r="D20" s="12">
        <f t="shared" ref="D20:P20" si="2">SUM(D16:D19)</f>
        <v>27940</v>
      </c>
      <c r="E20" s="12">
        <f t="shared" si="2"/>
        <v>1578</v>
      </c>
      <c r="F20" s="12">
        <f t="shared" si="2"/>
        <v>1401</v>
      </c>
      <c r="G20" s="12">
        <f t="shared" si="2"/>
        <v>0</v>
      </c>
      <c r="H20" s="12">
        <f t="shared" si="2"/>
        <v>0</v>
      </c>
      <c r="I20" s="12">
        <f t="shared" si="2"/>
        <v>0</v>
      </c>
      <c r="J20" s="12">
        <f t="shared" si="2"/>
        <v>0</v>
      </c>
      <c r="K20" s="12">
        <f t="shared" si="2"/>
        <v>0</v>
      </c>
      <c r="L20" s="12">
        <f t="shared" si="2"/>
        <v>0</v>
      </c>
      <c r="M20" s="12">
        <f t="shared" si="2"/>
        <v>0</v>
      </c>
      <c r="N20" s="12">
        <f t="shared" si="2"/>
        <v>0</v>
      </c>
      <c r="O20" s="12">
        <f t="shared" si="2"/>
        <v>0</v>
      </c>
      <c r="P20" s="12">
        <f t="shared" si="2"/>
        <v>0</v>
      </c>
      <c r="R20" s="38" t="s">
        <v>89</v>
      </c>
      <c r="S20" s="8" t="s">
        <v>17</v>
      </c>
      <c r="T20" s="36">
        <v>328</v>
      </c>
      <c r="U20" s="36">
        <v>19</v>
      </c>
      <c r="V20" s="13">
        <v>17</v>
      </c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2:32" ht="21" customHeight="1">
      <c r="B21" s="64" t="s">
        <v>34</v>
      </c>
      <c r="C21" s="8" t="s">
        <v>35</v>
      </c>
      <c r="D21" s="13">
        <f>SUMIF($S:$S,$C21,T:T)</f>
        <v>0</v>
      </c>
      <c r="E21" s="13">
        <f>SUMIF($S:$S,$C21,U:U)</f>
        <v>0</v>
      </c>
      <c r="F21" s="13">
        <f>SUMIF($S:$S,$C21,V:V)</f>
        <v>0</v>
      </c>
      <c r="G21" s="13">
        <f>SUMIF($S:$S,$C21,W:W)</f>
        <v>0</v>
      </c>
      <c r="H21" s="13">
        <f>SUMIF($S:$S,$C21,X:X)</f>
        <v>0</v>
      </c>
      <c r="I21" s="13">
        <f>SUMIF($S:$S,$C21,Y:Y)</f>
        <v>0</v>
      </c>
      <c r="J21" s="13">
        <f>SUMIF($S:$S,$C21,Z:Z)</f>
        <v>0</v>
      </c>
      <c r="K21" s="13">
        <f>SUMIF($S:$S,$C21,AA:AA)</f>
        <v>0</v>
      </c>
      <c r="L21" s="13">
        <f>SUMIF($S:$S,$C21,AB:AB)</f>
        <v>0</v>
      </c>
      <c r="M21" s="13">
        <f>SUMIF($S:$S,$C21,AC:AC)</f>
        <v>0</v>
      </c>
      <c r="N21" s="13">
        <f>SUMIF($S:$S,$C21,AD:AD)</f>
        <v>0</v>
      </c>
      <c r="O21" s="13">
        <f>SUMIF($S:$S,$C21,AE:AE)</f>
        <v>0</v>
      </c>
      <c r="P21" s="13">
        <f>SUMIF($S:$S,$C21,AF:AF)</f>
        <v>0</v>
      </c>
      <c r="R21" s="38" t="s">
        <v>89</v>
      </c>
      <c r="S21" s="8" t="s">
        <v>18</v>
      </c>
      <c r="T21" s="36">
        <v>58</v>
      </c>
      <c r="U21" s="36">
        <v>5</v>
      </c>
      <c r="V21" s="13">
        <v>5</v>
      </c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2:32" ht="21" customHeight="1">
      <c r="B22" s="53"/>
      <c r="C22" s="8" t="s">
        <v>36</v>
      </c>
      <c r="D22" s="13">
        <f>SUMIF($S:$S,$C22,T:T)</f>
        <v>0</v>
      </c>
      <c r="E22" s="13">
        <f>SUMIF($S:$S,$C22,U:U)</f>
        <v>0</v>
      </c>
      <c r="F22" s="13">
        <f>SUMIF($S:$S,$C22,V:V)</f>
        <v>0</v>
      </c>
      <c r="G22" s="13">
        <f>SUMIF($S:$S,$C22,W:W)</f>
        <v>0</v>
      </c>
      <c r="H22" s="13">
        <f>SUMIF($S:$S,$C22,X:X)</f>
        <v>0</v>
      </c>
      <c r="I22" s="13">
        <f>SUMIF($S:$S,$C22,Y:Y)</f>
        <v>0</v>
      </c>
      <c r="J22" s="13">
        <f>SUMIF($S:$S,$C22,Z:Z)</f>
        <v>0</v>
      </c>
      <c r="K22" s="13">
        <f>SUMIF($S:$S,$C22,AA:AA)</f>
        <v>0</v>
      </c>
      <c r="L22" s="13">
        <f>SUMIF($S:$S,$C22,AB:AB)</f>
        <v>0</v>
      </c>
      <c r="M22" s="13">
        <f>SUMIF($S:$S,$C22,AC:AC)</f>
        <v>0</v>
      </c>
      <c r="N22" s="13">
        <f>SUMIF($S:$S,$C22,AD:AD)</f>
        <v>0</v>
      </c>
      <c r="O22" s="13">
        <f>SUMIF($S:$S,$C22,AE:AE)</f>
        <v>0</v>
      </c>
      <c r="P22" s="13">
        <f>SUMIF($S:$S,$C22,AF:AF)</f>
        <v>0</v>
      </c>
      <c r="R22" s="38" t="s">
        <v>89</v>
      </c>
      <c r="S22" s="8" t="s">
        <v>19</v>
      </c>
      <c r="T22" s="36">
        <v>643</v>
      </c>
      <c r="U22" s="36">
        <v>68</v>
      </c>
      <c r="V22" s="13">
        <v>70</v>
      </c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2:32" ht="21" customHeight="1">
      <c r="B23" s="54"/>
      <c r="C23" s="8" t="s">
        <v>37</v>
      </c>
      <c r="D23" s="13">
        <f>SUMIF($S:$S,$C23,T:T)</f>
        <v>2424</v>
      </c>
      <c r="E23" s="13">
        <f>SUMIF($S:$S,$C23,U:U)</f>
        <v>156</v>
      </c>
      <c r="F23" s="13">
        <f>SUMIF($S:$S,$C23,V:V)</f>
        <v>41</v>
      </c>
      <c r="G23" s="13">
        <f>SUMIF($S:$S,$C23,W:W)</f>
        <v>0</v>
      </c>
      <c r="H23" s="13">
        <f>SUMIF($S:$S,$C23,X:X)</f>
        <v>0</v>
      </c>
      <c r="I23" s="13">
        <f>SUMIF($S:$S,$C23,Y:Y)</f>
        <v>0</v>
      </c>
      <c r="J23" s="13">
        <f>SUMIF($S:$S,$C23,Z:Z)</f>
        <v>0</v>
      </c>
      <c r="K23" s="13">
        <f>SUMIF($S:$S,$C23,AA:AA)</f>
        <v>0</v>
      </c>
      <c r="L23" s="13">
        <f>SUMIF($S:$S,$C23,AB:AB)</f>
        <v>0</v>
      </c>
      <c r="M23" s="13">
        <f>SUMIF($S:$S,$C23,AC:AC)</f>
        <v>0</v>
      </c>
      <c r="N23" s="13">
        <f>SUMIF($S:$S,$C23,AD:AD)</f>
        <v>0</v>
      </c>
      <c r="O23" s="13">
        <f>SUMIF($S:$S,$C23,AE:AE)</f>
        <v>0</v>
      </c>
      <c r="P23" s="13">
        <f>SUMIF($S:$S,$C23,AF:AF)</f>
        <v>0</v>
      </c>
      <c r="R23" s="38" t="s">
        <v>89</v>
      </c>
      <c r="S23" s="8" t="s">
        <v>20</v>
      </c>
      <c r="T23" s="36">
        <v>431</v>
      </c>
      <c r="U23" s="36">
        <v>25</v>
      </c>
      <c r="V23" s="13">
        <v>43</v>
      </c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2:32" ht="21" customHeight="1">
      <c r="B24" s="10"/>
      <c r="C24" s="6" t="s">
        <v>21</v>
      </c>
      <c r="D24" s="12">
        <f t="shared" ref="D24:P24" si="3">SUM(D21:D23)</f>
        <v>2424</v>
      </c>
      <c r="E24" s="12">
        <f t="shared" si="3"/>
        <v>156</v>
      </c>
      <c r="F24" s="12">
        <f t="shared" si="3"/>
        <v>41</v>
      </c>
      <c r="G24" s="12">
        <f t="shared" si="3"/>
        <v>0</v>
      </c>
      <c r="H24" s="12">
        <f t="shared" si="3"/>
        <v>0</v>
      </c>
      <c r="I24" s="12">
        <f t="shared" si="3"/>
        <v>0</v>
      </c>
      <c r="J24" s="12">
        <f t="shared" si="3"/>
        <v>0</v>
      </c>
      <c r="K24" s="12">
        <f t="shared" si="3"/>
        <v>0</v>
      </c>
      <c r="L24" s="12">
        <f t="shared" si="3"/>
        <v>0</v>
      </c>
      <c r="M24" s="12">
        <f t="shared" si="3"/>
        <v>0</v>
      </c>
      <c r="N24" s="12">
        <f t="shared" si="3"/>
        <v>0</v>
      </c>
      <c r="O24" s="12">
        <f t="shared" si="3"/>
        <v>0</v>
      </c>
      <c r="P24" s="12">
        <f t="shared" si="3"/>
        <v>0</v>
      </c>
      <c r="R24" s="38" t="s">
        <v>89</v>
      </c>
      <c r="S24" s="8" t="s">
        <v>23</v>
      </c>
      <c r="T24" s="36">
        <v>8</v>
      </c>
      <c r="U24" s="36">
        <v>1</v>
      </c>
      <c r="V24" s="13">
        <v>2</v>
      </c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2:32" ht="21" customHeight="1">
      <c r="R25" s="38" t="s">
        <v>89</v>
      </c>
      <c r="S25" s="8" t="s">
        <v>24</v>
      </c>
      <c r="T25" s="36">
        <v>18</v>
      </c>
      <c r="U25" s="36">
        <v>9</v>
      </c>
      <c r="V25" s="13">
        <v>3</v>
      </c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2:32" ht="21" customHeight="1">
      <c r="R26" s="38" t="s">
        <v>89</v>
      </c>
      <c r="S26" s="8" t="s">
        <v>25</v>
      </c>
      <c r="T26" s="36">
        <v>357</v>
      </c>
      <c r="U26" s="36">
        <v>28</v>
      </c>
      <c r="V26" s="13">
        <v>31</v>
      </c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2:32" ht="21" customHeight="1">
      <c r="R27" s="38" t="s">
        <v>89</v>
      </c>
      <c r="S27" s="8" t="s">
        <v>30</v>
      </c>
      <c r="T27" s="36">
        <v>336</v>
      </c>
      <c r="U27" s="36">
        <v>27</v>
      </c>
      <c r="V27" s="13">
        <v>19</v>
      </c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2:32" ht="21" customHeight="1">
      <c r="R28" s="38" t="s">
        <v>89</v>
      </c>
      <c r="S28" s="8" t="s">
        <v>31</v>
      </c>
      <c r="T28" s="36">
        <v>640</v>
      </c>
      <c r="U28" s="36">
        <v>33</v>
      </c>
      <c r="V28" s="13">
        <v>23</v>
      </c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2:32" ht="21" customHeight="1">
      <c r="R29" s="38" t="s">
        <v>89</v>
      </c>
      <c r="S29" s="8" t="s">
        <v>61</v>
      </c>
      <c r="T29" s="36">
        <v>335</v>
      </c>
      <c r="U29" s="36">
        <v>35</v>
      </c>
      <c r="V29" s="13">
        <v>50</v>
      </c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2:32" ht="21" customHeight="1">
      <c r="R30" s="38" t="s">
        <v>89</v>
      </c>
      <c r="S30" s="8" t="s">
        <v>33</v>
      </c>
      <c r="T30" s="36">
        <v>1751</v>
      </c>
      <c r="U30" s="36">
        <v>154</v>
      </c>
      <c r="V30" s="13">
        <v>150</v>
      </c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2:32" ht="21" customHeight="1">
      <c r="R31" s="38" t="s">
        <v>89</v>
      </c>
      <c r="S31" s="44" t="s">
        <v>35</v>
      </c>
      <c r="T31" s="49"/>
      <c r="U31" s="49"/>
      <c r="V31" s="45"/>
      <c r="W31" s="48"/>
      <c r="X31" s="48"/>
      <c r="Y31" s="48"/>
      <c r="Z31" s="48"/>
      <c r="AA31" s="48"/>
      <c r="AB31" s="48"/>
      <c r="AC31" s="48"/>
      <c r="AD31" s="48"/>
      <c r="AE31" s="48"/>
      <c r="AF31" s="48"/>
    </row>
    <row r="32" spans="2:32" ht="21" customHeight="1">
      <c r="R32" s="38" t="s">
        <v>89</v>
      </c>
      <c r="S32" s="44" t="s">
        <v>36</v>
      </c>
      <c r="T32" s="49"/>
      <c r="U32" s="49"/>
      <c r="V32" s="45"/>
      <c r="W32" s="48"/>
      <c r="X32" s="48"/>
      <c r="Y32" s="48"/>
      <c r="Z32" s="48"/>
      <c r="AA32" s="48"/>
      <c r="AB32" s="48"/>
      <c r="AC32" s="48"/>
      <c r="AD32" s="48"/>
      <c r="AE32" s="48"/>
      <c r="AF32" s="48"/>
    </row>
    <row r="33" spans="18:32" ht="21" customHeight="1">
      <c r="R33" s="38" t="s">
        <v>89</v>
      </c>
      <c r="S33" s="8" t="s">
        <v>37</v>
      </c>
      <c r="T33" s="36">
        <v>160</v>
      </c>
      <c r="U33" s="36">
        <v>20</v>
      </c>
      <c r="V33" s="13">
        <v>20</v>
      </c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8:32" ht="21" customHeight="1"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8:32" ht="21" customHeight="1">
      <c r="R35" s="11" t="s">
        <v>59</v>
      </c>
      <c r="S35" s="5" t="s">
        <v>2</v>
      </c>
      <c r="T35" s="5" t="s">
        <v>3</v>
      </c>
      <c r="U35" s="5" t="s">
        <v>4</v>
      </c>
      <c r="V35" s="5" t="s">
        <v>5</v>
      </c>
      <c r="W35" s="5" t="s">
        <v>6</v>
      </c>
      <c r="X35" s="5" t="s">
        <v>7</v>
      </c>
      <c r="Y35" s="5" t="s">
        <v>8</v>
      </c>
      <c r="Z35" s="5" t="s">
        <v>9</v>
      </c>
      <c r="AA35" s="5" t="s">
        <v>10</v>
      </c>
      <c r="AB35" s="5" t="s">
        <v>11</v>
      </c>
      <c r="AC35" s="5" t="s">
        <v>12</v>
      </c>
      <c r="AD35" s="5" t="s">
        <v>13</v>
      </c>
      <c r="AE35" s="5" t="s">
        <v>14</v>
      </c>
      <c r="AF35" s="5" t="s">
        <v>15</v>
      </c>
    </row>
    <row r="36" spans="18:32" ht="21" customHeight="1">
      <c r="R36" s="38" t="s">
        <v>90</v>
      </c>
      <c r="S36" s="8" t="s">
        <v>17</v>
      </c>
      <c r="T36" s="36">
        <v>497</v>
      </c>
      <c r="U36" s="36">
        <v>27</v>
      </c>
      <c r="V36" s="13">
        <v>61</v>
      </c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8:32" ht="21" customHeight="1">
      <c r="R37" s="38" t="s">
        <v>90</v>
      </c>
      <c r="S37" s="8" t="s">
        <v>18</v>
      </c>
      <c r="T37" s="36">
        <v>61</v>
      </c>
      <c r="U37" s="36">
        <v>3</v>
      </c>
      <c r="V37" s="13">
        <v>3</v>
      </c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8:32" ht="21" customHeight="1">
      <c r="R38" s="38" t="s">
        <v>90</v>
      </c>
      <c r="S38" s="8" t="s">
        <v>19</v>
      </c>
      <c r="T38" s="36">
        <v>0</v>
      </c>
      <c r="U38" s="36">
        <v>0</v>
      </c>
      <c r="V38" s="13">
        <v>0</v>
      </c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8:32" ht="21" customHeight="1">
      <c r="R39" s="38" t="s">
        <v>90</v>
      </c>
      <c r="S39" s="8" t="s">
        <v>20</v>
      </c>
      <c r="T39" s="36">
        <v>416</v>
      </c>
      <c r="U39" s="36">
        <v>29</v>
      </c>
      <c r="V39" s="13">
        <v>28</v>
      </c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8:32" ht="21" customHeight="1">
      <c r="R40" s="38" t="s">
        <v>90</v>
      </c>
      <c r="S40" s="8" t="s">
        <v>23</v>
      </c>
      <c r="T40" s="36">
        <v>151</v>
      </c>
      <c r="U40" s="36">
        <v>10</v>
      </c>
      <c r="V40" s="13">
        <v>0</v>
      </c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8:32" ht="21" customHeight="1">
      <c r="R41" s="38" t="s">
        <v>90</v>
      </c>
      <c r="S41" s="8" t="s">
        <v>24</v>
      </c>
      <c r="T41" s="36">
        <v>1</v>
      </c>
      <c r="U41" s="36">
        <v>0</v>
      </c>
      <c r="V41" s="13">
        <v>0</v>
      </c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8:32" ht="21" customHeight="1">
      <c r="R42" s="38" t="s">
        <v>90</v>
      </c>
      <c r="S42" s="8" t="s">
        <v>25</v>
      </c>
      <c r="T42" s="36">
        <v>187</v>
      </c>
      <c r="U42" s="36">
        <v>6</v>
      </c>
      <c r="V42" s="13">
        <v>34</v>
      </c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8:32" ht="21" customHeight="1">
      <c r="R43" s="38" t="s">
        <v>90</v>
      </c>
      <c r="S43" s="8" t="s">
        <v>30</v>
      </c>
      <c r="T43" s="36">
        <v>55</v>
      </c>
      <c r="U43" s="36">
        <v>1</v>
      </c>
      <c r="V43" s="13">
        <v>1</v>
      </c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8:32" ht="21" customHeight="1">
      <c r="R44" s="38" t="s">
        <v>90</v>
      </c>
      <c r="S44" s="8" t="s">
        <v>31</v>
      </c>
      <c r="T44" s="36">
        <v>1660</v>
      </c>
      <c r="U44" s="36">
        <v>25</v>
      </c>
      <c r="V44" s="13">
        <v>48</v>
      </c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8:32" ht="21" customHeight="1">
      <c r="R45" s="38" t="s">
        <v>90</v>
      </c>
      <c r="S45" s="8" t="s">
        <v>61</v>
      </c>
      <c r="T45" s="36">
        <v>0</v>
      </c>
      <c r="U45" s="36">
        <v>0</v>
      </c>
      <c r="V45" s="1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8:32" ht="21" customHeight="1">
      <c r="R46" s="38" t="s">
        <v>90</v>
      </c>
      <c r="S46" s="8" t="s">
        <v>33</v>
      </c>
      <c r="T46" s="36">
        <v>1329</v>
      </c>
      <c r="U46" s="36">
        <v>105</v>
      </c>
      <c r="V46" s="13">
        <v>70</v>
      </c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8:32" ht="21" customHeight="1">
      <c r="R47" s="38" t="s">
        <v>90</v>
      </c>
      <c r="S47" s="44" t="s">
        <v>35</v>
      </c>
      <c r="T47" s="49"/>
      <c r="U47" s="49"/>
      <c r="V47" s="45"/>
      <c r="W47" s="48"/>
      <c r="X47" s="48"/>
      <c r="Y47" s="48"/>
      <c r="Z47" s="48"/>
      <c r="AA47" s="48"/>
      <c r="AB47" s="48"/>
      <c r="AC47" s="48"/>
      <c r="AD47" s="48"/>
      <c r="AE47" s="48"/>
      <c r="AF47" s="48"/>
    </row>
    <row r="48" spans="18:32" ht="21" customHeight="1">
      <c r="R48" s="38" t="s">
        <v>90</v>
      </c>
      <c r="S48" s="44" t="s">
        <v>36</v>
      </c>
      <c r="T48" s="49"/>
      <c r="U48" s="49"/>
      <c r="V48" s="45"/>
      <c r="W48" s="48"/>
      <c r="X48" s="48"/>
      <c r="Y48" s="48"/>
      <c r="Z48" s="48"/>
      <c r="AA48" s="48"/>
      <c r="AB48" s="48"/>
      <c r="AC48" s="48"/>
      <c r="AD48" s="48"/>
      <c r="AE48" s="48"/>
      <c r="AF48" s="48"/>
    </row>
    <row r="49" spans="18:32" ht="21" customHeight="1">
      <c r="R49" s="38" t="s">
        <v>90</v>
      </c>
      <c r="S49" s="8" t="s">
        <v>37</v>
      </c>
      <c r="T49" s="36">
        <v>50</v>
      </c>
      <c r="U49" s="36">
        <v>3</v>
      </c>
      <c r="V49" s="13">
        <v>0</v>
      </c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8:32" ht="21" customHeight="1"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8:32" ht="21" customHeight="1">
      <c r="R51" s="11" t="s">
        <v>59</v>
      </c>
      <c r="S51" s="5" t="s">
        <v>2</v>
      </c>
      <c r="T51" s="5" t="s">
        <v>3</v>
      </c>
      <c r="U51" s="5" t="s">
        <v>4</v>
      </c>
      <c r="V51" s="5" t="s">
        <v>5</v>
      </c>
      <c r="W51" s="5" t="s">
        <v>6</v>
      </c>
      <c r="X51" s="5" t="s">
        <v>7</v>
      </c>
      <c r="Y51" s="5" t="s">
        <v>8</v>
      </c>
      <c r="Z51" s="5" t="s">
        <v>9</v>
      </c>
      <c r="AA51" s="5" t="s">
        <v>10</v>
      </c>
      <c r="AB51" s="5" t="s">
        <v>11</v>
      </c>
      <c r="AC51" s="5" t="s">
        <v>12</v>
      </c>
      <c r="AD51" s="5" t="s">
        <v>13</v>
      </c>
      <c r="AE51" s="5" t="s">
        <v>14</v>
      </c>
      <c r="AF51" s="5" t="s">
        <v>15</v>
      </c>
    </row>
    <row r="52" spans="18:32" ht="21" customHeight="1">
      <c r="R52" s="38" t="s">
        <v>91</v>
      </c>
      <c r="S52" s="8" t="s">
        <v>17</v>
      </c>
      <c r="T52" s="36"/>
      <c r="U52" s="36"/>
      <c r="V52" s="1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8:32" ht="21" customHeight="1">
      <c r="R53" s="38" t="s">
        <v>91</v>
      </c>
      <c r="S53" s="8" t="s">
        <v>18</v>
      </c>
      <c r="T53" s="36">
        <v>195</v>
      </c>
      <c r="U53" s="36">
        <v>15</v>
      </c>
      <c r="V53" s="13">
        <v>13</v>
      </c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8:32" ht="21" customHeight="1">
      <c r="R54" s="38" t="s">
        <v>91</v>
      </c>
      <c r="S54" s="8" t="s">
        <v>19</v>
      </c>
      <c r="T54" s="36">
        <v>23</v>
      </c>
      <c r="U54" s="36">
        <v>6</v>
      </c>
      <c r="V54" s="13">
        <v>34</v>
      </c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8:32" ht="21" customHeight="1">
      <c r="R55" s="38" t="s">
        <v>91</v>
      </c>
      <c r="S55" s="8" t="s">
        <v>20</v>
      </c>
      <c r="T55" s="36">
        <v>420</v>
      </c>
      <c r="U55" s="36">
        <v>30</v>
      </c>
      <c r="V55" s="13">
        <v>16</v>
      </c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8:32" ht="21" customHeight="1">
      <c r="R56" s="38" t="s">
        <v>91</v>
      </c>
      <c r="S56" s="8" t="s">
        <v>23</v>
      </c>
      <c r="T56" s="36">
        <v>143</v>
      </c>
      <c r="U56" s="36">
        <v>9</v>
      </c>
      <c r="V56" s="13">
        <v>1</v>
      </c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8:32" ht="21" customHeight="1">
      <c r="R57" s="38" t="s">
        <v>91</v>
      </c>
      <c r="S57" s="8" t="s">
        <v>24</v>
      </c>
      <c r="T57" s="36">
        <v>24</v>
      </c>
      <c r="U57" s="36">
        <v>5</v>
      </c>
      <c r="V57" s="13">
        <v>40</v>
      </c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8:32" ht="21" customHeight="1">
      <c r="R58" s="38" t="s">
        <v>91</v>
      </c>
      <c r="S58" s="8" t="s">
        <v>25</v>
      </c>
      <c r="T58" s="36">
        <v>247</v>
      </c>
      <c r="U58" s="36">
        <v>31</v>
      </c>
      <c r="V58" s="13">
        <v>53</v>
      </c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8:32" ht="21" customHeight="1">
      <c r="R59" s="38" t="s">
        <v>91</v>
      </c>
      <c r="S59" s="8" t="s">
        <v>30</v>
      </c>
      <c r="T59" s="36">
        <v>1015</v>
      </c>
      <c r="U59" s="36">
        <v>82</v>
      </c>
      <c r="V59" s="13">
        <v>47</v>
      </c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8:32" ht="21" customHeight="1">
      <c r="R60" s="38" t="s">
        <v>91</v>
      </c>
      <c r="S60" s="8" t="s">
        <v>31</v>
      </c>
      <c r="T60" s="36">
        <v>937</v>
      </c>
      <c r="U60" s="36">
        <v>41</v>
      </c>
      <c r="V60" s="13">
        <v>115</v>
      </c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8:32" ht="21" customHeight="1">
      <c r="R61" s="38" t="s">
        <v>91</v>
      </c>
      <c r="S61" s="8" t="s">
        <v>61</v>
      </c>
      <c r="T61" s="36">
        <v>2660</v>
      </c>
      <c r="U61" s="36">
        <v>65</v>
      </c>
      <c r="V61" s="13">
        <v>48</v>
      </c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8:32" ht="21" customHeight="1">
      <c r="R62" s="38" t="s">
        <v>91</v>
      </c>
      <c r="S62" s="8" t="s">
        <v>33</v>
      </c>
      <c r="T62" s="36">
        <v>1305</v>
      </c>
      <c r="U62" s="36">
        <v>45</v>
      </c>
      <c r="V62" s="13">
        <v>95</v>
      </c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8:32" ht="21" customHeight="1">
      <c r="R63" s="38" t="s">
        <v>91</v>
      </c>
      <c r="S63" s="44" t="s">
        <v>35</v>
      </c>
      <c r="T63" s="49"/>
      <c r="U63" s="49"/>
      <c r="V63" s="45"/>
      <c r="W63" s="48"/>
      <c r="X63" s="48"/>
      <c r="Y63" s="48"/>
      <c r="Z63" s="48"/>
      <c r="AA63" s="48"/>
      <c r="AB63" s="48"/>
      <c r="AC63" s="48"/>
      <c r="AD63" s="48"/>
      <c r="AE63" s="48"/>
      <c r="AF63" s="48"/>
    </row>
    <row r="64" spans="18:32" ht="21" customHeight="1">
      <c r="R64" s="38" t="s">
        <v>91</v>
      </c>
      <c r="S64" s="44" t="s">
        <v>36</v>
      </c>
      <c r="T64" s="49"/>
      <c r="U64" s="49"/>
      <c r="V64" s="45"/>
      <c r="W64" s="48"/>
      <c r="X64" s="48"/>
      <c r="Y64" s="48"/>
      <c r="Z64" s="48"/>
      <c r="AA64" s="48"/>
      <c r="AB64" s="48"/>
      <c r="AC64" s="48"/>
      <c r="AD64" s="48"/>
      <c r="AE64" s="48"/>
      <c r="AF64" s="48"/>
    </row>
    <row r="65" spans="18:32" ht="21" customHeight="1">
      <c r="R65" s="38" t="s">
        <v>91</v>
      </c>
      <c r="S65" s="8" t="s">
        <v>37</v>
      </c>
      <c r="T65" s="36">
        <v>1398</v>
      </c>
      <c r="U65" s="36">
        <v>70</v>
      </c>
      <c r="V65" s="13">
        <v>0</v>
      </c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8:32" ht="21" customHeight="1"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8:32" ht="21" customHeight="1">
      <c r="R67" s="11" t="s">
        <v>59</v>
      </c>
      <c r="S67" s="5" t="s">
        <v>2</v>
      </c>
      <c r="T67" s="5" t="s">
        <v>3</v>
      </c>
      <c r="U67" s="5" t="s">
        <v>4</v>
      </c>
      <c r="V67" s="5" t="s">
        <v>5</v>
      </c>
      <c r="W67" s="5" t="s">
        <v>6</v>
      </c>
      <c r="X67" s="5" t="s">
        <v>7</v>
      </c>
      <c r="Y67" s="5" t="s">
        <v>8</v>
      </c>
      <c r="Z67" s="5" t="s">
        <v>9</v>
      </c>
      <c r="AA67" s="5" t="s">
        <v>10</v>
      </c>
      <c r="AB67" s="5" t="s">
        <v>11</v>
      </c>
      <c r="AC67" s="5" t="s">
        <v>12</v>
      </c>
      <c r="AD67" s="5" t="s">
        <v>13</v>
      </c>
      <c r="AE67" s="5" t="s">
        <v>14</v>
      </c>
      <c r="AF67" s="5" t="s">
        <v>15</v>
      </c>
    </row>
    <row r="68" spans="18:32" ht="21" customHeight="1">
      <c r="R68" s="38" t="s">
        <v>92</v>
      </c>
      <c r="S68" s="8" t="s">
        <v>17</v>
      </c>
      <c r="T68" s="14">
        <v>633</v>
      </c>
      <c r="U68" s="14">
        <v>81</v>
      </c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8:32" ht="21" customHeight="1">
      <c r="R69" s="38" t="s">
        <v>92</v>
      </c>
      <c r="S69" s="8" t="s">
        <v>18</v>
      </c>
      <c r="T69" s="14">
        <v>375</v>
      </c>
      <c r="U69" s="14">
        <v>31</v>
      </c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8:32" ht="21" customHeight="1">
      <c r="R70" s="38" t="s">
        <v>92</v>
      </c>
      <c r="S70" s="8" t="s">
        <v>19</v>
      </c>
      <c r="T70" s="14">
        <v>748</v>
      </c>
      <c r="U70" s="14">
        <v>52</v>
      </c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8:32" ht="21" customHeight="1">
      <c r="R71" s="38" t="s">
        <v>92</v>
      </c>
      <c r="S71" s="8" t="s">
        <v>20</v>
      </c>
      <c r="T71" s="14">
        <v>199</v>
      </c>
      <c r="U71" s="14">
        <v>14</v>
      </c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8:32" ht="21" customHeight="1">
      <c r="R72" s="38" t="s">
        <v>92</v>
      </c>
      <c r="S72" s="8" t="s">
        <v>23</v>
      </c>
      <c r="T72" s="14">
        <v>68</v>
      </c>
      <c r="U72" s="14">
        <v>7</v>
      </c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8:32" ht="21" customHeight="1">
      <c r="R73" s="38" t="s">
        <v>92</v>
      </c>
      <c r="S73" s="8" t="s">
        <v>24</v>
      </c>
      <c r="T73" s="14">
        <v>229</v>
      </c>
      <c r="U73" s="14">
        <v>17</v>
      </c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8:32" ht="21" customHeight="1">
      <c r="R74" s="38" t="s">
        <v>92</v>
      </c>
      <c r="S74" s="8" t="s">
        <v>25</v>
      </c>
      <c r="T74" s="14">
        <v>1048</v>
      </c>
      <c r="U74" s="14">
        <v>74</v>
      </c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8:32" ht="21" customHeight="1">
      <c r="R75" s="38" t="s">
        <v>92</v>
      </c>
      <c r="S75" s="8" t="s">
        <v>30</v>
      </c>
      <c r="T75" s="14">
        <v>617</v>
      </c>
      <c r="U75" s="14">
        <v>34</v>
      </c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8:32" ht="21" customHeight="1">
      <c r="R76" s="38" t="s">
        <v>92</v>
      </c>
      <c r="S76" s="8" t="s">
        <v>31</v>
      </c>
      <c r="T76" s="14">
        <v>0</v>
      </c>
      <c r="U76" s="14">
        <v>0</v>
      </c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8:32" ht="21" customHeight="1">
      <c r="R77" s="38" t="s">
        <v>92</v>
      </c>
      <c r="S77" s="8" t="s">
        <v>61</v>
      </c>
      <c r="T77" s="14">
        <v>238</v>
      </c>
      <c r="U77" s="14">
        <v>25</v>
      </c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8:32" ht="21" customHeight="1">
      <c r="R78" s="38" t="s">
        <v>92</v>
      </c>
      <c r="S78" s="8" t="s">
        <v>33</v>
      </c>
      <c r="T78" s="14">
        <v>468</v>
      </c>
      <c r="U78" s="14">
        <v>88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8:32" ht="21" customHeight="1">
      <c r="R79" s="38" t="s">
        <v>92</v>
      </c>
      <c r="S79" s="44" t="s">
        <v>35</v>
      </c>
      <c r="T79" s="14"/>
      <c r="U79" s="14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</row>
    <row r="80" spans="18:32" ht="21" customHeight="1">
      <c r="R80" s="38" t="s">
        <v>92</v>
      </c>
      <c r="S80" s="44" t="s">
        <v>36</v>
      </c>
      <c r="T80" s="14"/>
      <c r="U80" s="14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</row>
    <row r="81" spans="18:32" ht="21" customHeight="1">
      <c r="R81" s="38" t="s">
        <v>92</v>
      </c>
      <c r="S81" s="8" t="s">
        <v>37</v>
      </c>
      <c r="T81" s="14">
        <v>80</v>
      </c>
      <c r="U81" s="14">
        <v>15</v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8:32" ht="21" customHeight="1"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8:32" ht="21" customHeight="1">
      <c r="R83" s="11" t="s">
        <v>59</v>
      </c>
      <c r="S83" s="5" t="s">
        <v>2</v>
      </c>
      <c r="T83" s="5" t="s">
        <v>3</v>
      </c>
      <c r="U83" s="5" t="s">
        <v>4</v>
      </c>
      <c r="V83" s="5" t="s">
        <v>5</v>
      </c>
      <c r="W83" s="5" t="s">
        <v>6</v>
      </c>
      <c r="X83" s="5" t="s">
        <v>7</v>
      </c>
      <c r="Y83" s="5" t="s">
        <v>8</v>
      </c>
      <c r="Z83" s="5" t="s">
        <v>9</v>
      </c>
      <c r="AA83" s="5" t="s">
        <v>10</v>
      </c>
      <c r="AB83" s="5" t="s">
        <v>11</v>
      </c>
      <c r="AC83" s="5" t="s">
        <v>12</v>
      </c>
      <c r="AD83" s="5" t="s">
        <v>13</v>
      </c>
      <c r="AE83" s="5" t="s">
        <v>14</v>
      </c>
      <c r="AF83" s="5" t="s">
        <v>15</v>
      </c>
    </row>
    <row r="84" spans="18:32" ht="21" customHeight="1">
      <c r="R84" s="38" t="s">
        <v>93</v>
      </c>
      <c r="S84" s="8" t="s">
        <v>17</v>
      </c>
      <c r="T84" s="13">
        <v>117</v>
      </c>
      <c r="U84" s="13">
        <v>7</v>
      </c>
      <c r="V84" s="13">
        <v>6</v>
      </c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8:32" ht="21" customHeight="1">
      <c r="R85" s="38" t="s">
        <v>93</v>
      </c>
      <c r="S85" s="8" t="s">
        <v>18</v>
      </c>
      <c r="T85" s="13">
        <v>83</v>
      </c>
      <c r="U85" s="13">
        <v>5</v>
      </c>
      <c r="V85" s="13">
        <v>9</v>
      </c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8:32" ht="21" customHeight="1">
      <c r="R86" s="38" t="s">
        <v>93</v>
      </c>
      <c r="S86" s="8" t="s">
        <v>19</v>
      </c>
      <c r="T86" s="13">
        <v>85</v>
      </c>
      <c r="U86" s="13">
        <v>8</v>
      </c>
      <c r="V86" s="13">
        <v>12</v>
      </c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8:32" ht="21" customHeight="1">
      <c r="R87" s="38" t="s">
        <v>93</v>
      </c>
      <c r="S87" s="8" t="s">
        <v>20</v>
      </c>
      <c r="T87" s="13">
        <v>65</v>
      </c>
      <c r="U87" s="13">
        <v>10</v>
      </c>
      <c r="V87" s="13">
        <v>3</v>
      </c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8:32" ht="21" customHeight="1">
      <c r="R88" s="38" t="s">
        <v>93</v>
      </c>
      <c r="S88" s="8" t="s">
        <v>23</v>
      </c>
      <c r="T88" s="13">
        <v>250</v>
      </c>
      <c r="U88" s="13">
        <v>5</v>
      </c>
      <c r="V88" s="13">
        <v>17</v>
      </c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8:32" ht="21" customHeight="1">
      <c r="R89" s="38" t="s">
        <v>93</v>
      </c>
      <c r="S89" s="8" t="s">
        <v>24</v>
      </c>
      <c r="T89" s="13">
        <v>295</v>
      </c>
      <c r="U89" s="13">
        <v>17</v>
      </c>
      <c r="V89" s="13">
        <v>18</v>
      </c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8:32" ht="21" customHeight="1">
      <c r="R90" s="38" t="s">
        <v>93</v>
      </c>
      <c r="S90" s="8" t="s">
        <v>25</v>
      </c>
      <c r="T90" s="13">
        <v>305</v>
      </c>
      <c r="U90" s="13">
        <v>20</v>
      </c>
      <c r="V90" s="13">
        <v>18</v>
      </c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8:32" ht="21" customHeight="1">
      <c r="R91" s="38" t="s">
        <v>93</v>
      </c>
      <c r="S91" s="8" t="s">
        <v>30</v>
      </c>
      <c r="T91" s="13">
        <v>148</v>
      </c>
      <c r="U91" s="13">
        <v>50</v>
      </c>
      <c r="V91" s="13">
        <v>39</v>
      </c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8:32" ht="21" customHeight="1">
      <c r="R92" s="38" t="s">
        <v>93</v>
      </c>
      <c r="S92" s="8" t="s">
        <v>31</v>
      </c>
      <c r="T92" s="13">
        <v>293</v>
      </c>
      <c r="U92" s="13">
        <v>8</v>
      </c>
      <c r="V92" s="13">
        <v>18</v>
      </c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8:32" ht="21" customHeight="1">
      <c r="R93" s="38" t="s">
        <v>93</v>
      </c>
      <c r="S93" s="8" t="s">
        <v>61</v>
      </c>
      <c r="T93" s="13">
        <v>993</v>
      </c>
      <c r="U93" s="13">
        <v>58</v>
      </c>
      <c r="V93" s="13">
        <v>63</v>
      </c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8:32" ht="21" customHeight="1">
      <c r="R94" s="38" t="s">
        <v>93</v>
      </c>
      <c r="S94" s="8" t="s">
        <v>33</v>
      </c>
      <c r="T94" s="13">
        <v>358</v>
      </c>
      <c r="U94" s="13">
        <v>26</v>
      </c>
      <c r="V94" s="13">
        <v>36</v>
      </c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8:32" ht="21" customHeight="1">
      <c r="R95" s="38" t="s">
        <v>93</v>
      </c>
      <c r="S95" s="44" t="s">
        <v>35</v>
      </c>
      <c r="T95" s="45"/>
      <c r="U95" s="45"/>
      <c r="V95" s="45"/>
      <c r="W95" s="48"/>
      <c r="X95" s="48"/>
      <c r="Y95" s="48"/>
      <c r="Z95" s="48"/>
      <c r="AA95" s="48"/>
      <c r="AB95" s="48"/>
      <c r="AC95" s="48"/>
      <c r="AD95" s="48"/>
      <c r="AE95" s="48"/>
      <c r="AF95" s="48"/>
    </row>
    <row r="96" spans="18:32" ht="21" customHeight="1">
      <c r="R96" s="38" t="s">
        <v>93</v>
      </c>
      <c r="S96" s="44" t="s">
        <v>36</v>
      </c>
      <c r="T96" s="45"/>
      <c r="U96" s="45"/>
      <c r="V96" s="45"/>
      <c r="W96" s="48"/>
      <c r="X96" s="48"/>
      <c r="Y96" s="48"/>
      <c r="Z96" s="48"/>
      <c r="AA96" s="48"/>
      <c r="AB96" s="48"/>
      <c r="AC96" s="48"/>
      <c r="AD96" s="48"/>
      <c r="AE96" s="48"/>
      <c r="AF96" s="48"/>
    </row>
    <row r="97" spans="18:32" ht="21" customHeight="1">
      <c r="R97" s="38" t="s">
        <v>93</v>
      </c>
      <c r="S97" s="8" t="s">
        <v>37</v>
      </c>
      <c r="T97" s="13">
        <v>155</v>
      </c>
      <c r="U97" s="13">
        <v>15</v>
      </c>
      <c r="V97" s="13">
        <v>13</v>
      </c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8:32" ht="21" customHeight="1"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8:32" ht="21" customHeight="1">
      <c r="R99" s="11" t="s">
        <v>59</v>
      </c>
      <c r="S99" s="5" t="s">
        <v>2</v>
      </c>
      <c r="T99" s="5" t="s">
        <v>3</v>
      </c>
      <c r="U99" s="5" t="s">
        <v>4</v>
      </c>
      <c r="V99" s="5" t="s">
        <v>5</v>
      </c>
      <c r="W99" s="5" t="s">
        <v>6</v>
      </c>
      <c r="X99" s="5" t="s">
        <v>7</v>
      </c>
      <c r="Y99" s="5" t="s">
        <v>8</v>
      </c>
      <c r="Z99" s="5" t="s">
        <v>9</v>
      </c>
      <c r="AA99" s="5" t="s">
        <v>10</v>
      </c>
      <c r="AB99" s="5" t="s">
        <v>11</v>
      </c>
      <c r="AC99" s="5" t="s">
        <v>12</v>
      </c>
      <c r="AD99" s="5" t="s">
        <v>13</v>
      </c>
      <c r="AE99" s="5" t="s">
        <v>14</v>
      </c>
      <c r="AF99" s="5" t="s">
        <v>15</v>
      </c>
    </row>
    <row r="100" spans="18:32" ht="21" customHeight="1">
      <c r="R100" s="38" t="s">
        <v>94</v>
      </c>
      <c r="S100" s="8" t="s">
        <v>17</v>
      </c>
      <c r="T100" s="13">
        <v>790</v>
      </c>
      <c r="U100" s="13">
        <v>43</v>
      </c>
      <c r="V100" s="13">
        <v>48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8:32" ht="21" customHeight="1">
      <c r="R101" s="38" t="s">
        <v>94</v>
      </c>
      <c r="S101" s="8" t="s">
        <v>18</v>
      </c>
      <c r="T101" s="13">
        <v>50</v>
      </c>
      <c r="U101" s="13">
        <v>4</v>
      </c>
      <c r="V101" s="13">
        <v>5</v>
      </c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8:32" ht="21" customHeight="1">
      <c r="R102" s="38" t="s">
        <v>94</v>
      </c>
      <c r="S102" s="8" t="s">
        <v>19</v>
      </c>
      <c r="T102" s="13">
        <v>0</v>
      </c>
      <c r="U102" s="13">
        <v>0</v>
      </c>
      <c r="V102" s="13">
        <v>0</v>
      </c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8:32" ht="21" customHeight="1">
      <c r="R103" s="38" t="s">
        <v>94</v>
      </c>
      <c r="S103" s="8" t="s">
        <v>20</v>
      </c>
      <c r="T103" s="13">
        <v>322</v>
      </c>
      <c r="U103" s="13">
        <v>28</v>
      </c>
      <c r="V103" s="13">
        <v>29</v>
      </c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8:32" ht="21" customHeight="1">
      <c r="R104" s="38" t="s">
        <v>94</v>
      </c>
      <c r="S104" s="8" t="s">
        <v>23</v>
      </c>
      <c r="T104" s="13">
        <v>13</v>
      </c>
      <c r="U104" s="13">
        <v>0</v>
      </c>
      <c r="V104" s="13">
        <v>0</v>
      </c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8:32" ht="21" customHeight="1">
      <c r="R105" s="38" t="s">
        <v>94</v>
      </c>
      <c r="S105" s="8" t="s">
        <v>24</v>
      </c>
      <c r="T105" s="13">
        <v>16</v>
      </c>
      <c r="U105" s="13">
        <v>8</v>
      </c>
      <c r="V105" s="13">
        <v>15</v>
      </c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8:32" ht="21" customHeight="1">
      <c r="R106" s="38" t="s">
        <v>94</v>
      </c>
      <c r="S106" s="8" t="s">
        <v>25</v>
      </c>
      <c r="T106" s="13">
        <v>78</v>
      </c>
      <c r="U106" s="13">
        <v>32</v>
      </c>
      <c r="V106" s="13">
        <v>49</v>
      </c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8:32" ht="21" customHeight="1">
      <c r="R107" s="38" t="s">
        <v>94</v>
      </c>
      <c r="S107" s="8" t="s">
        <v>30</v>
      </c>
      <c r="T107" s="13">
        <v>92</v>
      </c>
      <c r="U107" s="13">
        <v>5</v>
      </c>
      <c r="V107" s="13">
        <v>3</v>
      </c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8:32" ht="21" customHeight="1">
      <c r="R108" s="38" t="s">
        <v>94</v>
      </c>
      <c r="S108" s="8" t="s">
        <v>31</v>
      </c>
      <c r="T108" s="13">
        <v>590</v>
      </c>
      <c r="U108" s="13">
        <v>30</v>
      </c>
      <c r="V108" s="13">
        <v>80</v>
      </c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8:32" ht="21" customHeight="1">
      <c r="R109" s="38" t="s">
        <v>94</v>
      </c>
      <c r="S109" s="8" t="s">
        <v>61</v>
      </c>
      <c r="T109" s="13">
        <v>0</v>
      </c>
      <c r="U109" s="13">
        <v>0</v>
      </c>
      <c r="V109" s="13">
        <v>0</v>
      </c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8:32" ht="21" customHeight="1">
      <c r="R110" s="38" t="s">
        <v>94</v>
      </c>
      <c r="S110" s="8" t="s">
        <v>33</v>
      </c>
      <c r="T110" s="13">
        <v>1884</v>
      </c>
      <c r="U110" s="13">
        <v>156</v>
      </c>
      <c r="V110" s="13">
        <v>140</v>
      </c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8:32" ht="21" customHeight="1">
      <c r="R111" s="38" t="s">
        <v>94</v>
      </c>
      <c r="S111" s="44" t="s">
        <v>35</v>
      </c>
      <c r="T111" s="45"/>
      <c r="U111" s="45"/>
      <c r="V111" s="45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</row>
    <row r="112" spans="18:32" ht="21" customHeight="1">
      <c r="R112" s="38" t="s">
        <v>94</v>
      </c>
      <c r="S112" s="44" t="s">
        <v>36</v>
      </c>
      <c r="T112" s="45"/>
      <c r="U112" s="45"/>
      <c r="V112" s="45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</row>
    <row r="113" spans="18:32" ht="21" customHeight="1">
      <c r="R113" s="38" t="s">
        <v>94</v>
      </c>
      <c r="S113" s="8" t="s">
        <v>37</v>
      </c>
      <c r="T113" s="13">
        <v>63</v>
      </c>
      <c r="U113" s="13">
        <v>13</v>
      </c>
      <c r="V113" s="13">
        <v>8</v>
      </c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8:32" ht="21" customHeight="1"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8:32" ht="21" customHeight="1">
      <c r="R115" s="11" t="s">
        <v>59</v>
      </c>
      <c r="S115" s="5" t="s">
        <v>2</v>
      </c>
      <c r="T115" s="5" t="s">
        <v>3</v>
      </c>
      <c r="U115" s="5" t="s">
        <v>4</v>
      </c>
      <c r="V115" s="5" t="s">
        <v>5</v>
      </c>
      <c r="W115" s="5" t="s">
        <v>6</v>
      </c>
      <c r="X115" s="5" t="s">
        <v>7</v>
      </c>
      <c r="Y115" s="5" t="s">
        <v>8</v>
      </c>
      <c r="Z115" s="5" t="s">
        <v>9</v>
      </c>
      <c r="AA115" s="5" t="s">
        <v>10</v>
      </c>
      <c r="AB115" s="5" t="s">
        <v>11</v>
      </c>
      <c r="AC115" s="5" t="s">
        <v>12</v>
      </c>
      <c r="AD115" s="5" t="s">
        <v>13</v>
      </c>
      <c r="AE115" s="5" t="s">
        <v>14</v>
      </c>
      <c r="AF115" s="5" t="s">
        <v>15</v>
      </c>
    </row>
    <row r="116" spans="18:32" ht="21" customHeight="1">
      <c r="R116" s="38" t="s">
        <v>95</v>
      </c>
      <c r="S116" s="8" t="s">
        <v>17</v>
      </c>
      <c r="T116" s="13">
        <v>328</v>
      </c>
      <c r="U116" s="13">
        <v>25</v>
      </c>
      <c r="V116" s="13">
        <v>19</v>
      </c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8:32" ht="21" customHeight="1">
      <c r="R117" s="38" t="s">
        <v>95</v>
      </c>
      <c r="S117" s="8" t="s">
        <v>18</v>
      </c>
      <c r="T117" s="13">
        <v>170</v>
      </c>
      <c r="U117" s="13">
        <v>8</v>
      </c>
      <c r="V117" s="13">
        <v>5</v>
      </c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8:32" ht="21" customHeight="1">
      <c r="R118" s="38" t="s">
        <v>95</v>
      </c>
      <c r="S118" s="8" t="s">
        <v>19</v>
      </c>
      <c r="T118" s="13">
        <v>2610</v>
      </c>
      <c r="U118" s="13">
        <v>196</v>
      </c>
      <c r="V118" s="13">
        <v>220</v>
      </c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8:32" ht="21" customHeight="1">
      <c r="R119" s="38" t="s">
        <v>95</v>
      </c>
      <c r="S119" s="8" t="s">
        <v>20</v>
      </c>
      <c r="T119" s="13">
        <v>899</v>
      </c>
      <c r="U119" s="13">
        <v>25</v>
      </c>
      <c r="V119" s="13">
        <v>36</v>
      </c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8:32" ht="21" customHeight="1">
      <c r="R120" s="38" t="s">
        <v>95</v>
      </c>
      <c r="S120" s="8" t="s">
        <v>23</v>
      </c>
      <c r="T120" s="13">
        <v>88</v>
      </c>
      <c r="U120" s="13">
        <v>8</v>
      </c>
      <c r="V120" s="13">
        <v>18</v>
      </c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8:32" ht="21" customHeight="1">
      <c r="R121" s="38" t="s">
        <v>95</v>
      </c>
      <c r="S121" s="8" t="s">
        <v>24</v>
      </c>
      <c r="T121" s="13">
        <v>623</v>
      </c>
      <c r="U121" s="13">
        <v>14</v>
      </c>
      <c r="V121" s="13">
        <v>28</v>
      </c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8:32" ht="21" customHeight="1">
      <c r="R122" s="38" t="s">
        <v>95</v>
      </c>
      <c r="S122" s="8" t="s">
        <v>25</v>
      </c>
      <c r="T122" s="13">
        <v>2232</v>
      </c>
      <c r="U122" s="13">
        <v>167</v>
      </c>
      <c r="V122" s="13">
        <v>198</v>
      </c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8:32" ht="21" customHeight="1">
      <c r="R123" s="38" t="s">
        <v>95</v>
      </c>
      <c r="S123" s="8" t="s">
        <v>30</v>
      </c>
      <c r="T123" s="13">
        <v>1404</v>
      </c>
      <c r="U123" s="13">
        <v>58</v>
      </c>
      <c r="V123" s="13">
        <v>76</v>
      </c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8:32" ht="21" customHeight="1">
      <c r="R124" s="38" t="s">
        <v>95</v>
      </c>
      <c r="S124" s="8" t="s">
        <v>31</v>
      </c>
      <c r="T124" s="13">
        <v>0</v>
      </c>
      <c r="U124" s="13">
        <v>0</v>
      </c>
      <c r="V124" s="13">
        <v>0</v>
      </c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8:32" ht="21" customHeight="1">
      <c r="R125" s="38" t="s">
        <v>95</v>
      </c>
      <c r="S125" s="8" t="s">
        <v>61</v>
      </c>
      <c r="T125" s="13">
        <v>1083</v>
      </c>
      <c r="U125" s="13">
        <v>100</v>
      </c>
      <c r="V125" s="13">
        <v>125</v>
      </c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8:32" ht="21" customHeight="1">
      <c r="R126" s="38" t="s">
        <v>95</v>
      </c>
      <c r="S126" s="8" t="s">
        <v>33</v>
      </c>
      <c r="T126" s="13">
        <v>2338</v>
      </c>
      <c r="U126" s="13">
        <v>135</v>
      </c>
      <c r="V126" s="13">
        <v>155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8:32" ht="21" customHeight="1">
      <c r="R127" s="38" t="s">
        <v>95</v>
      </c>
      <c r="S127" s="44" t="s">
        <v>35</v>
      </c>
      <c r="T127" s="45"/>
      <c r="U127" s="45"/>
      <c r="V127" s="45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</row>
    <row r="128" spans="18:32" ht="21" customHeight="1">
      <c r="R128" s="38" t="s">
        <v>95</v>
      </c>
      <c r="S128" s="44" t="s">
        <v>36</v>
      </c>
      <c r="T128" s="45"/>
      <c r="U128" s="45"/>
      <c r="V128" s="45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</row>
    <row r="129" spans="18:32" ht="21" customHeight="1">
      <c r="R129" s="38" t="s">
        <v>95</v>
      </c>
      <c r="S129" s="8" t="s">
        <v>37</v>
      </c>
      <c r="T129" s="13">
        <v>118</v>
      </c>
      <c r="U129" s="13">
        <v>5</v>
      </c>
      <c r="V129" s="13">
        <v>0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8:32" ht="21" customHeight="1"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</sheetData>
  <mergeCells count="6">
    <mergeCell ref="B9:B11"/>
    <mergeCell ref="B16:B19"/>
    <mergeCell ref="B12:C12"/>
    <mergeCell ref="B8:C8"/>
    <mergeCell ref="B21:B23"/>
    <mergeCell ref="B4:B7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F82"/>
  <sheetViews>
    <sheetView showGridLines="0" topLeftCell="O75" workbookViewId="0">
      <selection activeCell="R83" sqref="R83"/>
    </sheetView>
  </sheetViews>
  <sheetFormatPr defaultRowHeight="21" customHeight="1"/>
  <cols>
    <col min="1" max="1" width="2.25" style="43" customWidth="1"/>
    <col min="2" max="2" width="17.25" style="43" customWidth="1"/>
    <col min="3" max="3" width="23.08203125" style="43" bestFit="1" customWidth="1"/>
    <col min="4" max="16" width="9" style="1" customWidth="1"/>
    <col min="18" max="18" width="16.25" style="43" customWidth="1"/>
    <col min="19" max="19" width="23.08203125" style="43" bestFit="1" customWidth="1"/>
  </cols>
  <sheetData>
    <row r="2" spans="2:32" ht="21" customHeight="1">
      <c r="B2" t="s">
        <v>56</v>
      </c>
      <c r="P2" s="7" t="s">
        <v>57</v>
      </c>
      <c r="R2" t="s">
        <v>104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2:32" ht="21" customHeight="1">
      <c r="B3" s="9"/>
      <c r="C3" s="4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R3" s="11" t="s">
        <v>59</v>
      </c>
      <c r="S3" s="5" t="s">
        <v>2</v>
      </c>
      <c r="T3" s="5" t="s">
        <v>3</v>
      </c>
      <c r="U3" s="5" t="s">
        <v>4</v>
      </c>
      <c r="V3" s="5" t="s">
        <v>5</v>
      </c>
      <c r="W3" s="5" t="s">
        <v>6</v>
      </c>
      <c r="X3" s="5" t="s">
        <v>7</v>
      </c>
      <c r="Y3" s="5" t="s">
        <v>8</v>
      </c>
      <c r="Z3" s="5" t="s">
        <v>9</v>
      </c>
      <c r="AA3" s="5" t="s">
        <v>10</v>
      </c>
      <c r="AB3" s="5" t="s">
        <v>11</v>
      </c>
      <c r="AC3" s="5" t="s">
        <v>12</v>
      </c>
      <c r="AD3" s="5" t="s">
        <v>13</v>
      </c>
      <c r="AE3" s="5" t="s">
        <v>14</v>
      </c>
      <c r="AF3" s="5" t="s">
        <v>15</v>
      </c>
    </row>
    <row r="4" spans="2:32" ht="21" customHeight="1">
      <c r="B4" s="52" t="s">
        <v>16</v>
      </c>
      <c r="C4" s="8" t="s">
        <v>17</v>
      </c>
      <c r="D4" s="13">
        <f>SUMIF($S:$S,$C4,T:T)</f>
        <v>2393</v>
      </c>
      <c r="E4" s="13">
        <f>SUMIF($S:$S,$C4,U:U)</f>
        <v>155</v>
      </c>
      <c r="F4" s="13">
        <f>SUMIF($S:$S,$C4,V:V)</f>
        <v>167</v>
      </c>
      <c r="G4" s="13">
        <f>SUMIF($S:$S,$C4,W:W)</f>
        <v>0</v>
      </c>
      <c r="H4" s="13">
        <f>SUMIF($S:$S,$C4,X:X)</f>
        <v>0</v>
      </c>
      <c r="I4" s="13">
        <f>SUMIF($S:$S,$C4,Y:Y)</f>
        <v>0</v>
      </c>
      <c r="J4" s="13">
        <f>SUMIF($S:$S,$C4,Z:Z)</f>
        <v>0</v>
      </c>
      <c r="K4" s="13">
        <f>SUMIF($S:$S,$C4,AA:AA)</f>
        <v>0</v>
      </c>
      <c r="L4" s="13">
        <f>SUMIF($S:$S,$C4,AB:AB)</f>
        <v>0</v>
      </c>
      <c r="M4" s="13">
        <f>SUMIF($S:$S,$C4,AC:AC)</f>
        <v>0</v>
      </c>
      <c r="N4" s="13">
        <f>SUMIF($S:$S,$C4,AD:AD)</f>
        <v>0</v>
      </c>
      <c r="O4" s="13">
        <f>SUMIF($S:$S,$C4,AE:AE)</f>
        <v>0</v>
      </c>
      <c r="P4" s="13">
        <f>SUMIF($S:$S,$C4,AF:AF)</f>
        <v>0</v>
      </c>
      <c r="R4" s="38" t="s">
        <v>96</v>
      </c>
      <c r="S4" s="8" t="s">
        <v>17</v>
      </c>
      <c r="T4" s="13">
        <v>763</v>
      </c>
      <c r="U4" s="13">
        <v>41</v>
      </c>
      <c r="V4" s="3">
        <v>62</v>
      </c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2:32" ht="21" customHeight="1">
      <c r="B5" s="53"/>
      <c r="C5" s="8" t="s">
        <v>18</v>
      </c>
      <c r="D5" s="13">
        <f>SUMIF($S:$S,$C5,T:T)</f>
        <v>890</v>
      </c>
      <c r="E5" s="13">
        <f>SUMIF($S:$S,$C5,U:U)</f>
        <v>70</v>
      </c>
      <c r="F5" s="13">
        <f>SUMIF($S:$S,$C5,V:V)</f>
        <v>87</v>
      </c>
      <c r="G5" s="13">
        <f>SUMIF($S:$S,$C5,W:W)</f>
        <v>0</v>
      </c>
      <c r="H5" s="13">
        <f>SUMIF($S:$S,$C5,X:X)</f>
        <v>0</v>
      </c>
      <c r="I5" s="13">
        <f>SUMIF($S:$S,$C5,Y:Y)</f>
        <v>0</v>
      </c>
      <c r="J5" s="13">
        <f>SUMIF($S:$S,$C5,Z:Z)</f>
        <v>0</v>
      </c>
      <c r="K5" s="13">
        <f>SUMIF($S:$S,$C5,AA:AA)</f>
        <v>0</v>
      </c>
      <c r="L5" s="13">
        <f>SUMIF($S:$S,$C5,AB:AB)</f>
        <v>0</v>
      </c>
      <c r="M5" s="13">
        <f>SUMIF($S:$S,$C5,AC:AC)</f>
        <v>0</v>
      </c>
      <c r="N5" s="13">
        <f>SUMIF($S:$S,$C5,AD:AD)</f>
        <v>0</v>
      </c>
      <c r="O5" s="13">
        <f>SUMIF($S:$S,$C5,AE:AE)</f>
        <v>0</v>
      </c>
      <c r="P5" s="13">
        <f>SUMIF($S:$S,$C5,AF:AF)</f>
        <v>0</v>
      </c>
      <c r="R5" s="38" t="s">
        <v>96</v>
      </c>
      <c r="S5" s="8" t="s">
        <v>18</v>
      </c>
      <c r="T5" s="13">
        <v>500</v>
      </c>
      <c r="U5" s="13">
        <v>40</v>
      </c>
      <c r="V5" s="3">
        <v>50</v>
      </c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2:32" ht="21" customHeight="1">
      <c r="B6" s="53"/>
      <c r="C6" s="8" t="s">
        <v>19</v>
      </c>
      <c r="D6" s="13">
        <f>SUMIF($S:$S,$C6,T:T)</f>
        <v>5100</v>
      </c>
      <c r="E6" s="13">
        <f>SUMIF($S:$S,$C6,U:U)</f>
        <v>398</v>
      </c>
      <c r="F6" s="13">
        <f>SUMIF($S:$S,$C6,V:V)</f>
        <v>237</v>
      </c>
      <c r="G6" s="13">
        <f>SUMIF($S:$S,$C6,W:W)</f>
        <v>0</v>
      </c>
      <c r="H6" s="13">
        <f>SUMIF($S:$S,$C6,X:X)</f>
        <v>0</v>
      </c>
      <c r="I6" s="13">
        <f>SUMIF($S:$S,$C6,Y:Y)</f>
        <v>0</v>
      </c>
      <c r="J6" s="13">
        <f>SUMIF($S:$S,$C6,Z:Z)</f>
        <v>0</v>
      </c>
      <c r="K6" s="13">
        <f>SUMIF($S:$S,$C6,AA:AA)</f>
        <v>0</v>
      </c>
      <c r="L6" s="13">
        <f>SUMIF($S:$S,$C6,AB:AB)</f>
        <v>0</v>
      </c>
      <c r="M6" s="13">
        <f>SUMIF($S:$S,$C6,AC:AC)</f>
        <v>0</v>
      </c>
      <c r="N6" s="13">
        <f>SUMIF($S:$S,$C6,AD:AD)</f>
        <v>0</v>
      </c>
      <c r="O6" s="13">
        <f>SUMIF($S:$S,$C6,AE:AE)</f>
        <v>0</v>
      </c>
      <c r="P6" s="13">
        <f>SUMIF($S:$S,$C6,AF:AF)</f>
        <v>0</v>
      </c>
      <c r="R6" s="38" t="s">
        <v>96</v>
      </c>
      <c r="S6" s="8" t="s">
        <v>19</v>
      </c>
      <c r="T6" s="13">
        <v>1200</v>
      </c>
      <c r="U6" s="13">
        <v>88</v>
      </c>
      <c r="V6" s="3">
        <v>90</v>
      </c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2:32" ht="21" customHeight="1">
      <c r="B7" s="54"/>
      <c r="C7" s="8" t="s">
        <v>20</v>
      </c>
      <c r="D7" s="13">
        <f>SUMIF($S:$S,$C7,T:T)</f>
        <v>680</v>
      </c>
      <c r="E7" s="13">
        <f>SUMIF($S:$S,$C7,U:U)</f>
        <v>54</v>
      </c>
      <c r="F7" s="13">
        <f>SUMIF($S:$S,$C7,V:V)</f>
        <v>51</v>
      </c>
      <c r="G7" s="13">
        <f>SUMIF($S:$S,$C7,W:W)</f>
        <v>0</v>
      </c>
      <c r="H7" s="13">
        <f>SUMIF($S:$S,$C7,X:X)</f>
        <v>0</v>
      </c>
      <c r="I7" s="13">
        <f>SUMIF($S:$S,$C7,Y:Y)</f>
        <v>0</v>
      </c>
      <c r="J7" s="13">
        <f>SUMIF($S:$S,$C7,Z:Z)</f>
        <v>0</v>
      </c>
      <c r="K7" s="13">
        <f>SUMIF($S:$S,$C7,AA:AA)</f>
        <v>0</v>
      </c>
      <c r="L7" s="13">
        <f>SUMIF($S:$S,$C7,AB:AB)</f>
        <v>0</v>
      </c>
      <c r="M7" s="13">
        <f>SUMIF($S:$S,$C7,AC:AC)</f>
        <v>0</v>
      </c>
      <c r="N7" s="13">
        <f>SUMIF($S:$S,$C7,AD:AD)</f>
        <v>0</v>
      </c>
      <c r="O7" s="13">
        <f>SUMIF($S:$S,$C7,AE:AE)</f>
        <v>0</v>
      </c>
      <c r="P7" s="13">
        <f>SUMIF($S:$S,$C7,AF:AF)</f>
        <v>0</v>
      </c>
      <c r="R7" s="38" t="s">
        <v>96</v>
      </c>
      <c r="S7" s="8" t="s">
        <v>20</v>
      </c>
      <c r="T7" s="13">
        <v>250</v>
      </c>
      <c r="U7" s="13">
        <v>20</v>
      </c>
      <c r="V7" s="3">
        <v>15</v>
      </c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2:32" ht="21" customHeight="1">
      <c r="B8" s="65" t="s">
        <v>21</v>
      </c>
      <c r="C8" s="56"/>
      <c r="D8" s="12">
        <f t="shared" ref="D8:P8" si="0">SUM(D4:D7)</f>
        <v>9063</v>
      </c>
      <c r="E8" s="12">
        <f t="shared" si="0"/>
        <v>677</v>
      </c>
      <c r="F8" s="12">
        <f t="shared" si="0"/>
        <v>542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R8" s="38" t="s">
        <v>96</v>
      </c>
      <c r="S8" s="8" t="s">
        <v>23</v>
      </c>
      <c r="T8" s="13">
        <v>26</v>
      </c>
      <c r="U8" s="13">
        <f>2*0.76</f>
        <v>1.52</v>
      </c>
      <c r="V8" s="3">
        <v>1</v>
      </c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2:32" ht="21" customHeight="1">
      <c r="B9" s="57" t="s">
        <v>22</v>
      </c>
      <c r="C9" s="2" t="s">
        <v>23</v>
      </c>
      <c r="D9" s="13">
        <f>SUMIF($S:$S,$C9,T:T)</f>
        <v>1562</v>
      </c>
      <c r="E9" s="13">
        <f>SUMIF($S:$S,$C9,U:U)</f>
        <v>114.2</v>
      </c>
      <c r="F9" s="13">
        <f>SUMIF($S:$S,$C9,V:V)</f>
        <v>140</v>
      </c>
      <c r="G9" s="13">
        <f>SUMIF($S:$S,$C9,W:W)</f>
        <v>0</v>
      </c>
      <c r="H9" s="13">
        <f>SUMIF($S:$S,$C9,X:X)</f>
        <v>0</v>
      </c>
      <c r="I9" s="13">
        <f>SUMIF($S:$S,$C9,Y:Y)</f>
        <v>0</v>
      </c>
      <c r="J9" s="13">
        <f>SUMIF($S:$S,$C9,Z:Z)</f>
        <v>0</v>
      </c>
      <c r="K9" s="13">
        <f>SUMIF($S:$S,$C9,AA:AA)</f>
        <v>0</v>
      </c>
      <c r="L9" s="13">
        <f>SUMIF($S:$S,$C9,AB:AB)</f>
        <v>0</v>
      </c>
      <c r="M9" s="13">
        <f>SUMIF($S:$S,$C9,AC:AC)</f>
        <v>0</v>
      </c>
      <c r="N9" s="13">
        <f>SUMIF($S:$S,$C9,AD:AD)</f>
        <v>0</v>
      </c>
      <c r="O9" s="13">
        <f>SUMIF($S:$S,$C9,AE:AE)</f>
        <v>0</v>
      </c>
      <c r="P9" s="13">
        <f>SUMIF($S:$S,$C9,AF:AF)</f>
        <v>0</v>
      </c>
      <c r="R9" s="38" t="s">
        <v>96</v>
      </c>
      <c r="S9" s="8" t="s">
        <v>24</v>
      </c>
      <c r="T9" s="13">
        <v>160</v>
      </c>
      <c r="U9" s="13">
        <v>13</v>
      </c>
      <c r="V9" s="3">
        <v>15</v>
      </c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2:32" ht="21" customHeight="1">
      <c r="B10" s="58"/>
      <c r="C10" s="2" t="s">
        <v>24</v>
      </c>
      <c r="D10" s="13">
        <f>SUMIF($S:$S,$C10,T:T)</f>
        <v>1995</v>
      </c>
      <c r="E10" s="13">
        <f>SUMIF($S:$S,$C10,U:U)</f>
        <v>151</v>
      </c>
      <c r="F10" s="13">
        <f>SUMIF($S:$S,$C10,V:V)</f>
        <v>244</v>
      </c>
      <c r="G10" s="13">
        <f>SUMIF($S:$S,$C10,W:W)</f>
        <v>0</v>
      </c>
      <c r="H10" s="13">
        <f>SUMIF($S:$S,$C10,X:X)</f>
        <v>0</v>
      </c>
      <c r="I10" s="13">
        <f>SUMIF($S:$S,$C10,Y:Y)</f>
        <v>0</v>
      </c>
      <c r="J10" s="13">
        <f>SUMIF($S:$S,$C10,Z:Z)</f>
        <v>0</v>
      </c>
      <c r="K10" s="13">
        <f>SUMIF($S:$S,$C10,AA:AA)</f>
        <v>0</v>
      </c>
      <c r="L10" s="13">
        <f>SUMIF($S:$S,$C10,AB:AB)</f>
        <v>0</v>
      </c>
      <c r="M10" s="13">
        <f>SUMIF($S:$S,$C10,AC:AC)</f>
        <v>0</v>
      </c>
      <c r="N10" s="13">
        <f>SUMIF($S:$S,$C10,AD:AD)</f>
        <v>0</v>
      </c>
      <c r="O10" s="13">
        <f>SUMIF($S:$S,$C10,AE:AE)</f>
        <v>0</v>
      </c>
      <c r="P10" s="13">
        <f>SUMIF($S:$S,$C10,AF:AF)</f>
        <v>0</v>
      </c>
      <c r="R10" s="38" t="s">
        <v>96</v>
      </c>
      <c r="S10" s="8" t="s">
        <v>25</v>
      </c>
      <c r="T10" s="13">
        <v>450</v>
      </c>
      <c r="U10" s="13">
        <v>35</v>
      </c>
      <c r="V10" s="3">
        <v>40</v>
      </c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2:32" ht="21" customHeight="1">
      <c r="B11" s="59"/>
      <c r="C11" s="2" t="s">
        <v>25</v>
      </c>
      <c r="D11" s="13">
        <f>SUMIF($S:$S,$C11,T:T)</f>
        <v>25750</v>
      </c>
      <c r="E11" s="13">
        <f>SUMIF($S:$S,$C11,U:U)</f>
        <v>1836</v>
      </c>
      <c r="F11" s="13">
        <f>SUMIF($S:$S,$C11,V:V)</f>
        <v>1850</v>
      </c>
      <c r="G11" s="13">
        <f>SUMIF($S:$S,$C11,W:W)</f>
        <v>0</v>
      </c>
      <c r="H11" s="13">
        <f>SUMIF($S:$S,$C11,X:X)</f>
        <v>0</v>
      </c>
      <c r="I11" s="13">
        <f>SUMIF($S:$S,$C11,Y:Y)</f>
        <v>0</v>
      </c>
      <c r="J11" s="13">
        <f>SUMIF($S:$S,$C11,Z:Z)</f>
        <v>0</v>
      </c>
      <c r="K11" s="13">
        <f>SUMIF($S:$S,$C11,AA:AA)</f>
        <v>0</v>
      </c>
      <c r="L11" s="13">
        <f>SUMIF($S:$S,$C11,AB:AB)</f>
        <v>0</v>
      </c>
      <c r="M11" s="13">
        <f>SUMIF($S:$S,$C11,AC:AC)</f>
        <v>0</v>
      </c>
      <c r="N11" s="13">
        <f>SUMIF($S:$S,$C11,AD:AD)</f>
        <v>0</v>
      </c>
      <c r="O11" s="13">
        <f>SUMIF($S:$S,$C11,AE:AE)</f>
        <v>0</v>
      </c>
      <c r="P11" s="13">
        <f>SUMIF($S:$S,$C11,AF:AF)</f>
        <v>0</v>
      </c>
      <c r="R11" s="38" t="s">
        <v>96</v>
      </c>
      <c r="S11" s="8" t="s">
        <v>30</v>
      </c>
      <c r="T11" s="13">
        <v>429</v>
      </c>
      <c r="U11" s="13">
        <v>35</v>
      </c>
      <c r="V11" s="3">
        <v>48</v>
      </c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2:32" ht="21" customHeight="1">
      <c r="B12" s="66" t="s">
        <v>21</v>
      </c>
      <c r="C12" s="51"/>
      <c r="D12" s="12">
        <f t="shared" ref="D12:P12" si="1">SUM(D9:D11)</f>
        <v>29307</v>
      </c>
      <c r="E12" s="12">
        <f t="shared" si="1"/>
        <v>2101.1999999999998</v>
      </c>
      <c r="F12" s="12">
        <f t="shared" si="1"/>
        <v>2234</v>
      </c>
      <c r="G12" s="12">
        <f t="shared" si="1"/>
        <v>0</v>
      </c>
      <c r="H12" s="12">
        <f t="shared" si="1"/>
        <v>0</v>
      </c>
      <c r="I12" s="12">
        <f t="shared" si="1"/>
        <v>0</v>
      </c>
      <c r="J12" s="12">
        <f t="shared" si="1"/>
        <v>0</v>
      </c>
      <c r="K12" s="12">
        <f t="shared" si="1"/>
        <v>0</v>
      </c>
      <c r="L12" s="12">
        <f t="shared" si="1"/>
        <v>0</v>
      </c>
      <c r="M12" s="12">
        <f t="shared" si="1"/>
        <v>0</v>
      </c>
      <c r="N12" s="12">
        <f t="shared" si="1"/>
        <v>0</v>
      </c>
      <c r="O12" s="12">
        <f t="shared" si="1"/>
        <v>0</v>
      </c>
      <c r="P12" s="12">
        <f t="shared" si="1"/>
        <v>0</v>
      </c>
      <c r="R12" s="38" t="s">
        <v>96</v>
      </c>
      <c r="S12" s="8" t="s">
        <v>31</v>
      </c>
      <c r="T12" s="13">
        <v>815</v>
      </c>
      <c r="U12" s="13">
        <f>2.5*22</f>
        <v>55</v>
      </c>
      <c r="V12" s="3">
        <v>42</v>
      </c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2:32" ht="21" customHeight="1">
      <c r="R13" s="38" t="s">
        <v>96</v>
      </c>
      <c r="S13" s="8" t="s">
        <v>61</v>
      </c>
      <c r="T13" s="13">
        <v>900</v>
      </c>
      <c r="U13" s="13">
        <f>30*2.5</f>
        <v>75</v>
      </c>
      <c r="V13" s="3">
        <v>82</v>
      </c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2:32" ht="21" customHeight="1">
      <c r="B14" t="s">
        <v>62</v>
      </c>
      <c r="P14" s="7" t="s">
        <v>57</v>
      </c>
      <c r="R14" s="38" t="s">
        <v>96</v>
      </c>
      <c r="S14" s="8" t="s">
        <v>33</v>
      </c>
      <c r="T14" s="13">
        <v>1300</v>
      </c>
      <c r="U14" s="13">
        <v>100</v>
      </c>
      <c r="V14" s="3">
        <v>162</v>
      </c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2:32" ht="21" customHeight="1">
      <c r="B15" s="9"/>
      <c r="C15" s="4" t="s">
        <v>2</v>
      </c>
      <c r="D15" s="5" t="s">
        <v>3</v>
      </c>
      <c r="E15" s="5" t="s">
        <v>4</v>
      </c>
      <c r="F15" s="5" t="s">
        <v>5</v>
      </c>
      <c r="G15" s="5" t="s">
        <v>6</v>
      </c>
      <c r="H15" s="5" t="s">
        <v>7</v>
      </c>
      <c r="I15" s="5" t="s">
        <v>8</v>
      </c>
      <c r="J15" s="5" t="s">
        <v>9</v>
      </c>
      <c r="K15" s="5" t="s">
        <v>10</v>
      </c>
      <c r="L15" s="5" t="s">
        <v>11</v>
      </c>
      <c r="M15" s="5" t="s">
        <v>12</v>
      </c>
      <c r="N15" s="5" t="s">
        <v>13</v>
      </c>
      <c r="O15" s="5" t="s">
        <v>14</v>
      </c>
      <c r="P15" s="5" t="s">
        <v>15</v>
      </c>
      <c r="R15" s="38" t="s">
        <v>96</v>
      </c>
      <c r="S15" s="44" t="s">
        <v>35</v>
      </c>
      <c r="T15" s="45"/>
      <c r="U15" s="45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</row>
    <row r="16" spans="2:32" ht="21" customHeight="1">
      <c r="B16" s="62" t="s">
        <v>29</v>
      </c>
      <c r="C16" s="8" t="s">
        <v>30</v>
      </c>
      <c r="D16" s="13">
        <f>SUMIF($S:$S,$C16,T:T)</f>
        <v>843</v>
      </c>
      <c r="E16" s="13">
        <f>SUMIF($S:$S,$C16,U:U)</f>
        <v>55</v>
      </c>
      <c r="F16" s="13">
        <f>SUMIF($S:$S,$C16,V:V)</f>
        <v>80</v>
      </c>
      <c r="G16" s="13">
        <f>SUMIF($S:$S,$C16,W:W)</f>
        <v>0</v>
      </c>
      <c r="H16" s="13">
        <f>SUMIF($S:$S,$C16,X:X)</f>
        <v>0</v>
      </c>
      <c r="I16" s="13">
        <f>SUMIF($S:$S,$C16,Y:Y)</f>
        <v>0</v>
      </c>
      <c r="J16" s="13">
        <f>SUMIF($S:$S,$C16,Z:Z)</f>
        <v>0</v>
      </c>
      <c r="K16" s="13">
        <f>SUMIF($S:$S,$C16,AA:AA)</f>
        <v>0</v>
      </c>
      <c r="L16" s="13">
        <f>SUMIF($S:$S,$C16,AB:AB)</f>
        <v>0</v>
      </c>
      <c r="M16" s="13">
        <f>SUMIF($S:$S,$C16,AC:AC)</f>
        <v>0</v>
      </c>
      <c r="N16" s="13">
        <f>SUMIF($S:$S,$C16,AD:AD)</f>
        <v>0</v>
      </c>
      <c r="O16" s="13">
        <f>SUMIF($S:$S,$C16,AE:AE)</f>
        <v>0</v>
      </c>
      <c r="P16" s="13">
        <f>SUMIF($S:$S,$C16,AF:AF)</f>
        <v>0</v>
      </c>
      <c r="R16" s="38" t="s">
        <v>96</v>
      </c>
      <c r="S16" s="44" t="s">
        <v>36</v>
      </c>
      <c r="T16" s="45"/>
      <c r="U16" s="45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</row>
    <row r="17" spans="2:32" ht="21" customHeight="1">
      <c r="B17" s="53"/>
      <c r="C17" s="8" t="s">
        <v>31</v>
      </c>
      <c r="D17" s="13">
        <f>SUMIF($S:$S,$C17,T:T)</f>
        <v>2059</v>
      </c>
      <c r="E17" s="13">
        <f>SUMIF($S:$S,$C17,U:U)</f>
        <v>142.5</v>
      </c>
      <c r="F17" s="13">
        <f>SUMIF($S:$S,$C17,V:V)</f>
        <v>92</v>
      </c>
      <c r="G17" s="13">
        <f>SUMIF($S:$S,$C17,W:W)</f>
        <v>0</v>
      </c>
      <c r="H17" s="13">
        <f>SUMIF($S:$S,$C17,X:X)</f>
        <v>0</v>
      </c>
      <c r="I17" s="13">
        <f>SUMIF($S:$S,$C17,Y:Y)</f>
        <v>0</v>
      </c>
      <c r="J17" s="13">
        <f>SUMIF($S:$S,$C17,Z:Z)</f>
        <v>0</v>
      </c>
      <c r="K17" s="13">
        <f>SUMIF($S:$S,$C17,AA:AA)</f>
        <v>0</v>
      </c>
      <c r="L17" s="13">
        <f>SUMIF($S:$S,$C17,AB:AB)</f>
        <v>0</v>
      </c>
      <c r="M17" s="13">
        <f>SUMIF($S:$S,$C17,AC:AC)</f>
        <v>0</v>
      </c>
      <c r="N17" s="13">
        <f>SUMIF($S:$S,$C17,AD:AD)</f>
        <v>0</v>
      </c>
      <c r="O17" s="13">
        <f>SUMIF($S:$S,$C17,AE:AE)</f>
        <v>0</v>
      </c>
      <c r="P17" s="13">
        <f>SUMIF($S:$S,$C17,AF:AF)</f>
        <v>0</v>
      </c>
      <c r="R17" s="38" t="s">
        <v>96</v>
      </c>
      <c r="S17" s="8" t="s">
        <v>37</v>
      </c>
      <c r="T17" s="13">
        <v>60</v>
      </c>
      <c r="U17" s="13">
        <v>5</v>
      </c>
      <c r="V17" s="3">
        <v>3</v>
      </c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2:32" ht="21" customHeight="1">
      <c r="B18" s="53"/>
      <c r="C18" s="8" t="s">
        <v>61</v>
      </c>
      <c r="D18" s="13">
        <f>SUMIF($S:$S,$C18,T:T)</f>
        <v>1335</v>
      </c>
      <c r="E18" s="13">
        <f>SUMIF($S:$S,$C18,U:U)</f>
        <v>108</v>
      </c>
      <c r="F18" s="13">
        <f>SUMIF($S:$S,$C18,V:V)</f>
        <v>132</v>
      </c>
      <c r="G18" s="13">
        <f>SUMIF($S:$S,$C18,W:W)</f>
        <v>0</v>
      </c>
      <c r="H18" s="13">
        <f>SUMIF($S:$S,$C18,X:X)</f>
        <v>0</v>
      </c>
      <c r="I18" s="13">
        <f>SUMIF($S:$S,$C18,Y:Y)</f>
        <v>0</v>
      </c>
      <c r="J18" s="13">
        <f>SUMIF($S:$S,$C18,Z:Z)</f>
        <v>0</v>
      </c>
      <c r="K18" s="13">
        <f>SUMIF($S:$S,$C18,AA:AA)</f>
        <v>0</v>
      </c>
      <c r="L18" s="13">
        <f>SUMIF($S:$S,$C18,AB:AB)</f>
        <v>0</v>
      </c>
      <c r="M18" s="13">
        <f>SUMIF($S:$S,$C18,AC:AC)</f>
        <v>0</v>
      </c>
      <c r="N18" s="13">
        <f>SUMIF($S:$S,$C18,AD:AD)</f>
        <v>0</v>
      </c>
      <c r="O18" s="13">
        <f>SUMIF($S:$S,$C18,AE:AE)</f>
        <v>0</v>
      </c>
      <c r="P18" s="13">
        <f>SUMIF($S:$S,$C18,AF:AF)</f>
        <v>0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2:32" ht="21" customHeight="1">
      <c r="B19" s="63"/>
      <c r="C19" s="8" t="s">
        <v>33</v>
      </c>
      <c r="D19" s="13">
        <f>SUMIF($S:$S,$C19,T:T)</f>
        <v>3050</v>
      </c>
      <c r="E19" s="13">
        <f>SUMIF($S:$S,$C19,U:U)</f>
        <v>235</v>
      </c>
      <c r="F19" s="13">
        <f>SUMIF($S:$S,$C19,V:V)</f>
        <v>241</v>
      </c>
      <c r="G19" s="13">
        <f>SUMIF($S:$S,$C19,W:W)</f>
        <v>0</v>
      </c>
      <c r="H19" s="13">
        <f>SUMIF($S:$S,$C19,X:X)</f>
        <v>0</v>
      </c>
      <c r="I19" s="13">
        <f>SUMIF($S:$S,$C19,Y:Y)</f>
        <v>0</v>
      </c>
      <c r="J19" s="13">
        <f>SUMIF($S:$S,$C19,Z:Z)</f>
        <v>0</v>
      </c>
      <c r="K19" s="13">
        <f>SUMIF($S:$S,$C19,AA:AA)</f>
        <v>0</v>
      </c>
      <c r="L19" s="13">
        <f>SUMIF($S:$S,$C19,AB:AB)</f>
        <v>0</v>
      </c>
      <c r="M19" s="13">
        <f>SUMIF($S:$S,$C19,AC:AC)</f>
        <v>0</v>
      </c>
      <c r="N19" s="13">
        <f>SUMIF($S:$S,$C19,AD:AD)</f>
        <v>0</v>
      </c>
      <c r="O19" s="13">
        <f>SUMIF($S:$S,$C19,AE:AE)</f>
        <v>0</v>
      </c>
      <c r="P19" s="13">
        <f>SUMIF($S:$S,$C19,AF:AF)</f>
        <v>0</v>
      </c>
      <c r="R19" s="11" t="s">
        <v>59</v>
      </c>
      <c r="S19" s="5" t="s">
        <v>2</v>
      </c>
      <c r="T19" s="5" t="s">
        <v>3</v>
      </c>
      <c r="U19" s="5" t="s">
        <v>4</v>
      </c>
      <c r="V19" s="5" t="s">
        <v>5</v>
      </c>
      <c r="W19" s="5" t="s">
        <v>6</v>
      </c>
      <c r="X19" s="5" t="s">
        <v>7</v>
      </c>
      <c r="Y19" s="5" t="s">
        <v>8</v>
      </c>
      <c r="Z19" s="5" t="s">
        <v>9</v>
      </c>
      <c r="AA19" s="5" t="s">
        <v>10</v>
      </c>
      <c r="AB19" s="5" t="s">
        <v>11</v>
      </c>
      <c r="AC19" s="5" t="s">
        <v>12</v>
      </c>
      <c r="AD19" s="5" t="s">
        <v>13</v>
      </c>
      <c r="AE19" s="5" t="s">
        <v>14</v>
      </c>
      <c r="AF19" s="5" t="s">
        <v>15</v>
      </c>
    </row>
    <row r="20" spans="2:32" ht="21" customHeight="1">
      <c r="B20" s="10"/>
      <c r="C20" s="6" t="s">
        <v>21</v>
      </c>
      <c r="D20" s="12">
        <f t="shared" ref="D20:P20" si="2">SUM(D16:D19)</f>
        <v>7287</v>
      </c>
      <c r="E20" s="12">
        <f t="shared" si="2"/>
        <v>540.5</v>
      </c>
      <c r="F20" s="12">
        <f t="shared" si="2"/>
        <v>545</v>
      </c>
      <c r="G20" s="12">
        <f t="shared" si="2"/>
        <v>0</v>
      </c>
      <c r="H20" s="12">
        <f t="shared" si="2"/>
        <v>0</v>
      </c>
      <c r="I20" s="12">
        <f t="shared" si="2"/>
        <v>0</v>
      </c>
      <c r="J20" s="12">
        <f t="shared" si="2"/>
        <v>0</v>
      </c>
      <c r="K20" s="12">
        <f t="shared" si="2"/>
        <v>0</v>
      </c>
      <c r="L20" s="12">
        <f t="shared" si="2"/>
        <v>0</v>
      </c>
      <c r="M20" s="12">
        <f t="shared" si="2"/>
        <v>0</v>
      </c>
      <c r="N20" s="12">
        <f t="shared" si="2"/>
        <v>0</v>
      </c>
      <c r="O20" s="12">
        <f t="shared" si="2"/>
        <v>0</v>
      </c>
      <c r="P20" s="12">
        <f t="shared" si="2"/>
        <v>0</v>
      </c>
      <c r="R20" s="38" t="s">
        <v>97</v>
      </c>
      <c r="S20" s="8" t="s">
        <v>17</v>
      </c>
      <c r="T20" s="13">
        <v>696</v>
      </c>
      <c r="U20" s="13">
        <v>36</v>
      </c>
      <c r="V20" s="3">
        <v>45</v>
      </c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2:32" ht="21" customHeight="1">
      <c r="B21" s="64" t="s">
        <v>34</v>
      </c>
      <c r="C21" s="8" t="s">
        <v>35</v>
      </c>
      <c r="D21" s="13">
        <f>SUMIF($S:$S,$C21,T:T)</f>
        <v>0</v>
      </c>
      <c r="E21" s="13">
        <f>SUMIF($S:$S,$C21,U:U)</f>
        <v>0</v>
      </c>
      <c r="F21" s="13">
        <f>SUMIF($S:$S,$C21,V:V)</f>
        <v>0</v>
      </c>
      <c r="G21" s="13">
        <f>SUMIF($S:$S,$C21,W:W)</f>
        <v>0</v>
      </c>
      <c r="H21" s="13">
        <f>SUMIF($S:$S,$C21,X:X)</f>
        <v>0</v>
      </c>
      <c r="I21" s="13">
        <f>SUMIF($S:$S,$C21,Y:Y)</f>
        <v>0</v>
      </c>
      <c r="J21" s="13">
        <f>SUMIF($S:$S,$C21,Z:Z)</f>
        <v>0</v>
      </c>
      <c r="K21" s="13">
        <f>SUMIF($S:$S,$C21,AA:AA)</f>
        <v>0</v>
      </c>
      <c r="L21" s="13">
        <f>SUMIF($S:$S,$C21,AB:AB)</f>
        <v>0</v>
      </c>
      <c r="M21" s="13">
        <f>SUMIF($S:$S,$C21,AC:AC)</f>
        <v>0</v>
      </c>
      <c r="N21" s="13">
        <f>SUMIF($S:$S,$C21,AD:AD)</f>
        <v>0</v>
      </c>
      <c r="O21" s="13">
        <f>SUMIF($S:$S,$C21,AE:AE)</f>
        <v>0</v>
      </c>
      <c r="P21" s="13">
        <f>SUMIF($S:$S,$C21,AF:AF)</f>
        <v>0</v>
      </c>
      <c r="R21" s="38" t="s">
        <v>97</v>
      </c>
      <c r="S21" s="8" t="s">
        <v>18</v>
      </c>
      <c r="T21" s="13">
        <v>130</v>
      </c>
      <c r="U21" s="13">
        <v>10</v>
      </c>
      <c r="V21" s="3">
        <v>15</v>
      </c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2:32" ht="21" customHeight="1">
      <c r="B22" s="53"/>
      <c r="C22" s="8" t="s">
        <v>36</v>
      </c>
      <c r="D22" s="13">
        <f>SUMIF($S:$S,$C22,T:T)</f>
        <v>0</v>
      </c>
      <c r="E22" s="13">
        <f>SUMIF($S:$S,$C22,U:U)</f>
        <v>0</v>
      </c>
      <c r="F22" s="13">
        <f>SUMIF($S:$S,$C22,V:V)</f>
        <v>0</v>
      </c>
      <c r="G22" s="13">
        <f>SUMIF($S:$S,$C22,W:W)</f>
        <v>0</v>
      </c>
      <c r="H22" s="13">
        <f>SUMIF($S:$S,$C22,X:X)</f>
        <v>0</v>
      </c>
      <c r="I22" s="13">
        <f>SUMIF($S:$S,$C22,Y:Y)</f>
        <v>0</v>
      </c>
      <c r="J22" s="13">
        <f>SUMIF($S:$S,$C22,Z:Z)</f>
        <v>0</v>
      </c>
      <c r="K22" s="13">
        <f>SUMIF($S:$S,$C22,AA:AA)</f>
        <v>0</v>
      </c>
      <c r="L22" s="13">
        <f>SUMIF($S:$S,$C22,AB:AB)</f>
        <v>0</v>
      </c>
      <c r="M22" s="13">
        <f>SUMIF($S:$S,$C22,AC:AC)</f>
        <v>0</v>
      </c>
      <c r="N22" s="13">
        <f>SUMIF($S:$S,$C22,AD:AD)</f>
        <v>0</v>
      </c>
      <c r="O22" s="13">
        <f>SUMIF($S:$S,$C22,AE:AE)</f>
        <v>0</v>
      </c>
      <c r="P22" s="13">
        <f>SUMIF($S:$S,$C22,AF:AF)</f>
        <v>0</v>
      </c>
      <c r="R22" s="38" t="s">
        <v>97</v>
      </c>
      <c r="S22" s="8" t="s">
        <v>19</v>
      </c>
      <c r="T22" s="13">
        <v>1600</v>
      </c>
      <c r="U22" s="13">
        <v>130</v>
      </c>
      <c r="V22" s="3">
        <v>13</v>
      </c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2:32" ht="21" customHeight="1">
      <c r="B23" s="54"/>
      <c r="C23" s="8" t="s">
        <v>37</v>
      </c>
      <c r="D23" s="13">
        <f>SUMIF($S:$S,$C23,T:T)</f>
        <v>320</v>
      </c>
      <c r="E23" s="13">
        <f>SUMIF($S:$S,$C23,U:U)</f>
        <v>24</v>
      </c>
      <c r="F23" s="13">
        <f>SUMIF($S:$S,$C23,V:V)</f>
        <v>7</v>
      </c>
      <c r="G23" s="13">
        <f>SUMIF($S:$S,$C23,W:W)</f>
        <v>0</v>
      </c>
      <c r="H23" s="13">
        <f>SUMIF($S:$S,$C23,X:X)</f>
        <v>0</v>
      </c>
      <c r="I23" s="13">
        <f>SUMIF($S:$S,$C23,Y:Y)</f>
        <v>0</v>
      </c>
      <c r="J23" s="13">
        <f>SUMIF($S:$S,$C23,Z:Z)</f>
        <v>0</v>
      </c>
      <c r="K23" s="13">
        <f>SUMIF($S:$S,$C23,AA:AA)</f>
        <v>0</v>
      </c>
      <c r="L23" s="13">
        <f>SUMIF($S:$S,$C23,AB:AB)</f>
        <v>0</v>
      </c>
      <c r="M23" s="13">
        <f>SUMIF($S:$S,$C23,AC:AC)</f>
        <v>0</v>
      </c>
      <c r="N23" s="13">
        <f>SUMIF($S:$S,$C23,AD:AD)</f>
        <v>0</v>
      </c>
      <c r="O23" s="13">
        <f>SUMIF($S:$S,$C23,AE:AE)</f>
        <v>0</v>
      </c>
      <c r="P23" s="13">
        <f>SUMIF($S:$S,$C23,AF:AF)</f>
        <v>0</v>
      </c>
      <c r="R23" s="38" t="s">
        <v>97</v>
      </c>
      <c r="S23" s="8" t="s">
        <v>20</v>
      </c>
      <c r="T23" s="13">
        <v>60</v>
      </c>
      <c r="U23" s="13">
        <v>5</v>
      </c>
      <c r="V23" s="3">
        <v>15</v>
      </c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2:32" ht="21" customHeight="1">
      <c r="B24" s="10"/>
      <c r="C24" s="6" t="s">
        <v>21</v>
      </c>
      <c r="D24" s="12">
        <f t="shared" ref="D24:P24" si="3">SUM(D21:D23)</f>
        <v>320</v>
      </c>
      <c r="E24" s="12">
        <f t="shared" si="3"/>
        <v>24</v>
      </c>
      <c r="F24" s="12">
        <f t="shared" si="3"/>
        <v>7</v>
      </c>
      <c r="G24" s="12">
        <f t="shared" si="3"/>
        <v>0</v>
      </c>
      <c r="H24" s="12">
        <f t="shared" si="3"/>
        <v>0</v>
      </c>
      <c r="I24" s="12">
        <f t="shared" si="3"/>
        <v>0</v>
      </c>
      <c r="J24" s="12">
        <f t="shared" si="3"/>
        <v>0</v>
      </c>
      <c r="K24" s="12">
        <f t="shared" si="3"/>
        <v>0</v>
      </c>
      <c r="L24" s="12">
        <f t="shared" si="3"/>
        <v>0</v>
      </c>
      <c r="M24" s="12">
        <f t="shared" si="3"/>
        <v>0</v>
      </c>
      <c r="N24" s="12">
        <f t="shared" si="3"/>
        <v>0</v>
      </c>
      <c r="O24" s="12">
        <f t="shared" si="3"/>
        <v>0</v>
      </c>
      <c r="P24" s="12">
        <f t="shared" si="3"/>
        <v>0</v>
      </c>
      <c r="R24" s="38" t="s">
        <v>97</v>
      </c>
      <c r="S24" s="8" t="s">
        <v>23</v>
      </c>
      <c r="T24" s="13">
        <v>210</v>
      </c>
      <c r="U24" s="13">
        <f>0.76*18</f>
        <v>13.68</v>
      </c>
      <c r="V24" s="3">
        <v>32</v>
      </c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2:32" ht="21" customHeight="1">
      <c r="R25" s="38" t="s">
        <v>97</v>
      </c>
      <c r="S25" s="8" t="s">
        <v>24</v>
      </c>
      <c r="T25" s="13">
        <v>190</v>
      </c>
      <c r="U25" s="13">
        <v>15</v>
      </c>
      <c r="V25" s="3">
        <v>37</v>
      </c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2:32" ht="21" customHeight="1">
      <c r="R26" s="38" t="s">
        <v>97</v>
      </c>
      <c r="S26" s="8" t="s">
        <v>25</v>
      </c>
      <c r="T26" s="13">
        <v>500</v>
      </c>
      <c r="U26" s="13">
        <v>40</v>
      </c>
      <c r="V26" s="3">
        <v>65</v>
      </c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2:32" ht="21" customHeight="1">
      <c r="R27" s="38" t="s">
        <v>97</v>
      </c>
      <c r="S27" s="8" t="s">
        <v>30</v>
      </c>
      <c r="T27" s="13">
        <v>180</v>
      </c>
      <c r="U27" s="13">
        <v>7</v>
      </c>
      <c r="V27" s="3">
        <v>16</v>
      </c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2:32" ht="21" customHeight="1">
      <c r="R28" s="38" t="s">
        <v>97</v>
      </c>
      <c r="S28" s="8" t="s">
        <v>31</v>
      </c>
      <c r="T28" s="13">
        <v>481</v>
      </c>
      <c r="U28" s="13">
        <f>2.5*7</f>
        <v>17.5</v>
      </c>
      <c r="V28" s="3">
        <v>4</v>
      </c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2:32" ht="21" customHeight="1">
      <c r="R29" s="38" t="s">
        <v>97</v>
      </c>
      <c r="S29" s="8" t="s">
        <v>61</v>
      </c>
      <c r="T29" s="13">
        <v>260</v>
      </c>
      <c r="U29" s="13">
        <v>20</v>
      </c>
      <c r="V29" s="3">
        <v>42</v>
      </c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2:32" ht="21" customHeight="1">
      <c r="R30" s="38" t="s">
        <v>97</v>
      </c>
      <c r="S30" s="8" t="s">
        <v>33</v>
      </c>
      <c r="T30" s="13">
        <v>650</v>
      </c>
      <c r="U30" s="13">
        <v>50</v>
      </c>
      <c r="V30" s="3">
        <v>31</v>
      </c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2:32" ht="21" customHeight="1">
      <c r="R31" s="38" t="s">
        <v>97</v>
      </c>
      <c r="S31" s="44" t="s">
        <v>35</v>
      </c>
      <c r="T31" s="45"/>
      <c r="U31" s="45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</row>
    <row r="32" spans="2:32" ht="21" customHeight="1">
      <c r="R32" s="38" t="s">
        <v>97</v>
      </c>
      <c r="S32" s="44" t="s">
        <v>36</v>
      </c>
      <c r="T32" s="45"/>
      <c r="U32" s="45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</row>
    <row r="33" spans="18:32" ht="21" customHeight="1">
      <c r="R33" s="38" t="s">
        <v>97</v>
      </c>
      <c r="S33" s="8" t="s">
        <v>37</v>
      </c>
      <c r="T33" s="13">
        <v>200</v>
      </c>
      <c r="U33" s="13">
        <v>15</v>
      </c>
      <c r="V33" s="3">
        <v>1</v>
      </c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8:32" ht="21" customHeight="1"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8:32" ht="21" customHeight="1">
      <c r="R35" s="11" t="s">
        <v>59</v>
      </c>
      <c r="S35" s="5" t="s">
        <v>2</v>
      </c>
      <c r="T35" s="5" t="s">
        <v>3</v>
      </c>
      <c r="U35" s="5" t="s">
        <v>4</v>
      </c>
      <c r="V35" s="5" t="s">
        <v>5</v>
      </c>
      <c r="W35" s="5" t="s">
        <v>6</v>
      </c>
      <c r="X35" s="5" t="s">
        <v>7</v>
      </c>
      <c r="Y35" s="5" t="s">
        <v>8</v>
      </c>
      <c r="Z35" s="5" t="s">
        <v>9</v>
      </c>
      <c r="AA35" s="5" t="s">
        <v>10</v>
      </c>
      <c r="AB35" s="5" t="s">
        <v>11</v>
      </c>
      <c r="AC35" s="5" t="s">
        <v>12</v>
      </c>
      <c r="AD35" s="5" t="s">
        <v>13</v>
      </c>
      <c r="AE35" s="5" t="s">
        <v>14</v>
      </c>
      <c r="AF35" s="5" t="s">
        <v>15</v>
      </c>
    </row>
    <row r="36" spans="18:32" ht="21" customHeight="1">
      <c r="R36" s="38" t="s">
        <v>98</v>
      </c>
      <c r="S36" s="8" t="s">
        <v>17</v>
      </c>
      <c r="T36" s="13">
        <v>470</v>
      </c>
      <c r="U36" s="13">
        <v>48</v>
      </c>
      <c r="V36" s="3">
        <v>22</v>
      </c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8:32" ht="21" customHeight="1">
      <c r="R37" s="38" t="s">
        <v>98</v>
      </c>
      <c r="S37" s="8" t="s">
        <v>18</v>
      </c>
      <c r="T37" s="13">
        <v>80</v>
      </c>
      <c r="U37" s="13">
        <v>6</v>
      </c>
      <c r="V37" s="3">
        <v>4</v>
      </c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8:32" ht="21" customHeight="1">
      <c r="R38" s="38" t="s">
        <v>98</v>
      </c>
      <c r="S38" s="8" t="s">
        <v>19</v>
      </c>
      <c r="T38" s="13">
        <v>1300</v>
      </c>
      <c r="U38" s="13">
        <v>100</v>
      </c>
      <c r="V38" s="3">
        <v>47</v>
      </c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8:32" ht="21" customHeight="1">
      <c r="R39" s="38" t="s">
        <v>98</v>
      </c>
      <c r="S39" s="8" t="s">
        <v>20</v>
      </c>
      <c r="T39" s="13">
        <v>120</v>
      </c>
      <c r="U39" s="13">
        <v>10</v>
      </c>
      <c r="V39" s="3">
        <v>4</v>
      </c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8:32" ht="21" customHeight="1">
      <c r="R40" s="38" t="s">
        <v>98</v>
      </c>
      <c r="S40" s="8" t="s">
        <v>23</v>
      </c>
      <c r="T40" s="13">
        <v>0</v>
      </c>
      <c r="U40" s="13">
        <v>0</v>
      </c>
      <c r="V40" s="3">
        <v>0</v>
      </c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8:32" ht="21" customHeight="1">
      <c r="R41" s="38" t="s">
        <v>98</v>
      </c>
      <c r="S41" s="8" t="s">
        <v>24</v>
      </c>
      <c r="T41" s="13">
        <v>30</v>
      </c>
      <c r="U41" s="13">
        <v>2</v>
      </c>
      <c r="V41" s="3">
        <v>2</v>
      </c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8:32" ht="21" customHeight="1">
      <c r="R42" s="38" t="s">
        <v>98</v>
      </c>
      <c r="S42" s="8" t="s">
        <v>25</v>
      </c>
      <c r="T42" s="13">
        <v>280</v>
      </c>
      <c r="U42" s="13">
        <v>20</v>
      </c>
      <c r="V42" s="3">
        <v>3</v>
      </c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8:32" ht="21" customHeight="1">
      <c r="R43" s="38" t="s">
        <v>98</v>
      </c>
      <c r="S43" s="8" t="s">
        <v>30</v>
      </c>
      <c r="T43" s="13">
        <v>108</v>
      </c>
      <c r="U43" s="13">
        <v>6</v>
      </c>
      <c r="V43" s="3">
        <v>8</v>
      </c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8:32" ht="21" customHeight="1">
      <c r="R44" s="38" t="s">
        <v>98</v>
      </c>
      <c r="S44" s="8" t="s">
        <v>31</v>
      </c>
      <c r="T44" s="13">
        <v>729</v>
      </c>
      <c r="U44" s="13">
        <f>2.5*26</f>
        <v>65</v>
      </c>
      <c r="V44" s="3">
        <v>44</v>
      </c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8:32" ht="21" customHeight="1">
      <c r="R45" s="38" t="s">
        <v>98</v>
      </c>
      <c r="S45" s="8" t="s">
        <v>61</v>
      </c>
      <c r="T45" s="13">
        <v>130</v>
      </c>
      <c r="U45" s="13">
        <v>10</v>
      </c>
      <c r="V45" s="3">
        <v>3</v>
      </c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8:32" ht="21" customHeight="1">
      <c r="R46" s="38" t="s">
        <v>98</v>
      </c>
      <c r="S46" s="8" t="s">
        <v>33</v>
      </c>
      <c r="T46" s="13">
        <v>600</v>
      </c>
      <c r="U46" s="13">
        <v>50</v>
      </c>
      <c r="V46" s="3">
        <v>20</v>
      </c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8:32" ht="21" customHeight="1">
      <c r="R47" s="38" t="s">
        <v>98</v>
      </c>
      <c r="S47" s="44" t="s">
        <v>35</v>
      </c>
      <c r="T47" s="45"/>
      <c r="U47" s="45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</row>
    <row r="48" spans="18:32" ht="21" customHeight="1">
      <c r="R48" s="38" t="s">
        <v>98</v>
      </c>
      <c r="S48" s="44" t="s">
        <v>36</v>
      </c>
      <c r="T48" s="45"/>
      <c r="U48" s="45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</row>
    <row r="49" spans="18:32" ht="21" customHeight="1">
      <c r="R49" s="38" t="s">
        <v>98</v>
      </c>
      <c r="S49" s="8" t="s">
        <v>37</v>
      </c>
      <c r="T49" s="13">
        <v>30</v>
      </c>
      <c r="U49" s="13">
        <v>2</v>
      </c>
      <c r="V49" s="3">
        <v>1</v>
      </c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8:32" ht="21" customHeight="1"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8:32" ht="21" customHeight="1">
      <c r="R51" s="11" t="s">
        <v>59</v>
      </c>
      <c r="S51" s="5" t="s">
        <v>2</v>
      </c>
      <c r="T51" s="5" t="s">
        <v>3</v>
      </c>
      <c r="U51" s="5" t="s">
        <v>4</v>
      </c>
      <c r="V51" s="5" t="s">
        <v>5</v>
      </c>
      <c r="W51" s="5" t="s">
        <v>6</v>
      </c>
      <c r="X51" s="5" t="s">
        <v>7</v>
      </c>
      <c r="Y51" s="5" t="s">
        <v>8</v>
      </c>
      <c r="Z51" s="5" t="s">
        <v>9</v>
      </c>
      <c r="AA51" s="5" t="s">
        <v>10</v>
      </c>
      <c r="AB51" s="5" t="s">
        <v>11</v>
      </c>
      <c r="AC51" s="5" t="s">
        <v>12</v>
      </c>
      <c r="AD51" s="5" t="s">
        <v>13</v>
      </c>
      <c r="AE51" s="5" t="s">
        <v>14</v>
      </c>
      <c r="AF51" s="5" t="s">
        <v>15</v>
      </c>
    </row>
    <row r="52" spans="18:32" ht="21" customHeight="1">
      <c r="R52" s="38" t="s">
        <v>99</v>
      </c>
      <c r="S52" s="8" t="s">
        <v>17</v>
      </c>
      <c r="T52" s="13">
        <v>464</v>
      </c>
      <c r="U52" s="13">
        <v>30</v>
      </c>
      <c r="V52" s="3">
        <v>38</v>
      </c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8:32" ht="21" customHeight="1">
      <c r="R53" s="38" t="s">
        <v>99</v>
      </c>
      <c r="S53" s="8" t="s">
        <v>18</v>
      </c>
      <c r="T53" s="13">
        <v>180</v>
      </c>
      <c r="U53" s="13">
        <v>14</v>
      </c>
      <c r="V53" s="3">
        <v>18</v>
      </c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8:32" ht="21" customHeight="1">
      <c r="R54" s="38" t="s">
        <v>99</v>
      </c>
      <c r="S54" s="8" t="s">
        <v>19</v>
      </c>
      <c r="T54" s="13">
        <v>1000</v>
      </c>
      <c r="U54" s="13">
        <v>80</v>
      </c>
      <c r="V54" s="3">
        <v>87</v>
      </c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8:32" ht="21" customHeight="1">
      <c r="R55" s="38" t="s">
        <v>99</v>
      </c>
      <c r="S55" s="8" t="s">
        <v>20</v>
      </c>
      <c r="T55" s="13">
        <v>250</v>
      </c>
      <c r="U55" s="13">
        <v>19</v>
      </c>
      <c r="V55" s="3">
        <v>17</v>
      </c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8:32" ht="21" customHeight="1">
      <c r="R56" s="38" t="s">
        <v>99</v>
      </c>
      <c r="S56" s="8" t="s">
        <v>23</v>
      </c>
      <c r="T56" s="13">
        <v>16</v>
      </c>
      <c r="U56" s="13">
        <v>0</v>
      </c>
      <c r="V56" s="3">
        <v>10</v>
      </c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8:32" ht="21" customHeight="1">
      <c r="R57" s="38" t="s">
        <v>99</v>
      </c>
      <c r="S57" s="8" t="s">
        <v>24</v>
      </c>
      <c r="T57" s="13">
        <v>15</v>
      </c>
      <c r="U57" s="13">
        <v>1</v>
      </c>
      <c r="V57" s="3">
        <v>0</v>
      </c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8:32" ht="21" customHeight="1">
      <c r="R58" s="38" t="s">
        <v>99</v>
      </c>
      <c r="S58" s="8" t="s">
        <v>25</v>
      </c>
      <c r="T58" s="13">
        <v>520</v>
      </c>
      <c r="U58" s="13">
        <v>41</v>
      </c>
      <c r="V58" s="3">
        <v>42</v>
      </c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8:32" ht="21" customHeight="1">
      <c r="R59" s="38" t="s">
        <v>99</v>
      </c>
      <c r="S59" s="8" t="s">
        <v>30</v>
      </c>
      <c r="T59" s="13">
        <v>126</v>
      </c>
      <c r="U59" s="13">
        <v>7</v>
      </c>
      <c r="V59" s="3">
        <v>8</v>
      </c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8:32" ht="21" customHeight="1">
      <c r="R60" s="38" t="s">
        <v>99</v>
      </c>
      <c r="S60" s="8" t="s">
        <v>31</v>
      </c>
      <c r="T60" s="13">
        <v>34</v>
      </c>
      <c r="U60" s="13">
        <f>2*2.5</f>
        <v>5</v>
      </c>
      <c r="V60" s="3">
        <v>2</v>
      </c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8:32" ht="21" customHeight="1">
      <c r="R61" s="38" t="s">
        <v>99</v>
      </c>
      <c r="S61" s="8" t="s">
        <v>61</v>
      </c>
      <c r="T61" s="13">
        <v>45</v>
      </c>
      <c r="U61" s="13">
        <v>3</v>
      </c>
      <c r="V61" s="3">
        <v>5</v>
      </c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8:32" ht="21" customHeight="1">
      <c r="R62" s="38" t="s">
        <v>99</v>
      </c>
      <c r="S62" s="8" t="s">
        <v>33</v>
      </c>
      <c r="T62" s="13">
        <v>500</v>
      </c>
      <c r="U62" s="13">
        <v>35</v>
      </c>
      <c r="V62" s="3">
        <v>28</v>
      </c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8:32" ht="21" customHeight="1">
      <c r="R63" s="38" t="s">
        <v>99</v>
      </c>
      <c r="S63" s="44" t="s">
        <v>35</v>
      </c>
      <c r="T63" s="45"/>
      <c r="U63" s="45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</row>
    <row r="64" spans="18:32" ht="21" customHeight="1">
      <c r="R64" s="38" t="s">
        <v>99</v>
      </c>
      <c r="S64" s="44" t="s">
        <v>36</v>
      </c>
      <c r="T64" s="45"/>
      <c r="U64" s="45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</row>
    <row r="65" spans="18:32" ht="21" customHeight="1">
      <c r="R65" s="38" t="s">
        <v>99</v>
      </c>
      <c r="S65" s="8" t="s">
        <v>37</v>
      </c>
      <c r="T65" s="13">
        <v>30</v>
      </c>
      <c r="U65" s="13">
        <v>2</v>
      </c>
      <c r="V65" s="3">
        <v>2</v>
      </c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8:32" ht="21" customHeight="1"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8:32" ht="21" customHeight="1">
      <c r="R67" s="11" t="s">
        <v>59</v>
      </c>
      <c r="S67" s="5" t="s">
        <v>2</v>
      </c>
      <c r="T67" s="5" t="s">
        <v>3</v>
      </c>
      <c r="U67" s="5" t="s">
        <v>4</v>
      </c>
      <c r="V67" s="5" t="s">
        <v>5</v>
      </c>
      <c r="W67" s="5" t="s">
        <v>6</v>
      </c>
      <c r="X67" s="5" t="s">
        <v>7</v>
      </c>
      <c r="Y67" s="5" t="s">
        <v>8</v>
      </c>
      <c r="Z67" s="5" t="s">
        <v>9</v>
      </c>
      <c r="AA67" s="5" t="s">
        <v>10</v>
      </c>
      <c r="AB67" s="5" t="s">
        <v>11</v>
      </c>
      <c r="AC67" s="5" t="s">
        <v>12</v>
      </c>
      <c r="AD67" s="5" t="s">
        <v>13</v>
      </c>
      <c r="AE67" s="5" t="s">
        <v>14</v>
      </c>
      <c r="AF67" s="5" t="s">
        <v>15</v>
      </c>
    </row>
    <row r="68" spans="18:32" ht="21" customHeight="1">
      <c r="R68" s="38" t="s">
        <v>100</v>
      </c>
      <c r="S68" s="8" t="s">
        <v>17</v>
      </c>
      <c r="T68" s="13">
        <v>0</v>
      </c>
      <c r="U68" s="13">
        <v>0</v>
      </c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8:32" ht="21" customHeight="1">
      <c r="R69" s="38" t="s">
        <v>100</v>
      </c>
      <c r="S69" s="8" t="s">
        <v>18</v>
      </c>
      <c r="T69" s="13">
        <v>0</v>
      </c>
      <c r="U69" s="13">
        <v>0</v>
      </c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8:32" ht="21" customHeight="1">
      <c r="R70" s="38" t="s">
        <v>100</v>
      </c>
      <c r="S70" s="8" t="s">
        <v>19</v>
      </c>
      <c r="T70" s="13">
        <v>0</v>
      </c>
      <c r="U70" s="13">
        <v>0</v>
      </c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8:32" ht="21" customHeight="1">
      <c r="R71" s="38" t="s">
        <v>100</v>
      </c>
      <c r="S71" s="8" t="s">
        <v>20</v>
      </c>
      <c r="T71" s="13">
        <v>0</v>
      </c>
      <c r="U71" s="13">
        <v>0</v>
      </c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8:32" ht="21" customHeight="1">
      <c r="R72" s="38" t="s">
        <v>100</v>
      </c>
      <c r="S72" s="8" t="s">
        <v>23</v>
      </c>
      <c r="T72" s="13">
        <v>1310</v>
      </c>
      <c r="U72" s="13">
        <v>99</v>
      </c>
      <c r="V72" s="3">
        <v>97</v>
      </c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8:32" ht="21" customHeight="1">
      <c r="R73" s="38" t="s">
        <v>100</v>
      </c>
      <c r="S73" s="8" t="s">
        <v>24</v>
      </c>
      <c r="T73" s="13">
        <v>1600</v>
      </c>
      <c r="U73" s="13">
        <v>120</v>
      </c>
      <c r="V73" s="3">
        <v>190</v>
      </c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8:32" ht="21" customHeight="1">
      <c r="R74" s="38" t="s">
        <v>100</v>
      </c>
      <c r="S74" s="8" t="s">
        <v>25</v>
      </c>
      <c r="T74" s="13">
        <v>24000</v>
      </c>
      <c r="U74" s="13">
        <v>1700</v>
      </c>
      <c r="V74" s="3">
        <v>1700</v>
      </c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8:32" ht="21" customHeight="1">
      <c r="R75" s="38" t="s">
        <v>100</v>
      </c>
      <c r="S75" s="8" t="s">
        <v>30</v>
      </c>
      <c r="T75" s="13">
        <v>0</v>
      </c>
      <c r="U75" s="13">
        <v>0</v>
      </c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8:32" ht="21" customHeight="1">
      <c r="R76" s="38" t="s">
        <v>100</v>
      </c>
      <c r="S76" s="8" t="s">
        <v>31</v>
      </c>
      <c r="T76" s="13">
        <v>0</v>
      </c>
      <c r="U76" s="13">
        <v>0</v>
      </c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8:32" ht="21" customHeight="1">
      <c r="R77" s="38" t="s">
        <v>100</v>
      </c>
      <c r="S77" s="8" t="s">
        <v>61</v>
      </c>
      <c r="T77" s="13">
        <v>0</v>
      </c>
      <c r="U77" s="13">
        <v>0</v>
      </c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8:32" ht="21" customHeight="1">
      <c r="R78" s="38" t="s">
        <v>100</v>
      </c>
      <c r="S78" s="8" t="s">
        <v>33</v>
      </c>
      <c r="T78" s="13">
        <v>0</v>
      </c>
      <c r="U78" s="13">
        <v>0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8:32" ht="21" customHeight="1">
      <c r="R79" s="38" t="s">
        <v>100</v>
      </c>
      <c r="S79" s="44" t="s">
        <v>35</v>
      </c>
      <c r="T79" s="45"/>
      <c r="U79" s="45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</row>
    <row r="80" spans="18:32" ht="21" customHeight="1">
      <c r="R80" s="38" t="s">
        <v>100</v>
      </c>
      <c r="S80" s="44" t="s">
        <v>36</v>
      </c>
      <c r="T80" s="45"/>
      <c r="U80" s="45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</row>
    <row r="81" spans="18:32" ht="21" customHeight="1">
      <c r="R81" s="38" t="s">
        <v>100</v>
      </c>
      <c r="S81" s="8" t="s">
        <v>37</v>
      </c>
      <c r="T81" s="13">
        <v>0</v>
      </c>
      <c r="U81" s="13">
        <v>0</v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8:32" ht="21" customHeight="1"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</sheetData>
  <mergeCells count="6">
    <mergeCell ref="B9:B11"/>
    <mergeCell ref="B16:B19"/>
    <mergeCell ref="B12:C12"/>
    <mergeCell ref="B8:C8"/>
    <mergeCell ref="B21:B23"/>
    <mergeCell ref="B4:B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총합</vt:lpstr>
      <vt:lpstr>월별 weight</vt:lpstr>
      <vt:lpstr>서울</vt:lpstr>
      <vt:lpstr>부산</vt:lpstr>
      <vt:lpstr>대전</vt:lpstr>
      <vt:lpstr>대구</vt:lpstr>
      <vt:lpstr>광주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Woonggi Kim</dc:creator>
  <cp:lastModifiedBy>Sungwon Kim</cp:lastModifiedBy>
  <dcterms:created xsi:type="dcterms:W3CDTF">2026-02-04T01:01:49Z</dcterms:created>
  <dcterms:modified xsi:type="dcterms:W3CDTF">2026-04-06T12:44:27Z</dcterms:modified>
</cp:coreProperties>
</file>